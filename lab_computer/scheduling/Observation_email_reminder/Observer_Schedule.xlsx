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.sharepoint.com/sites/TrinityDemonstratorObservations/Shared Documents/Calendar/"/>
    </mc:Choice>
  </mc:AlternateContent>
  <xr:revisionPtr revIDLastSave="0" documentId="8_{6B3179F6-58C1-4982-8410-02D5A8FCC8AB}" xr6:coauthVersionLast="47" xr6:coauthVersionMax="47" xr10:uidLastSave="{00000000-0000-0000-0000-000000000000}"/>
  <bookViews>
    <workbookView xWindow="-108" yWindow="-108" windowWidth="24792" windowHeight="14856" firstSheet="1" activeTab="1" xr2:uid="{00000000-000D-0000-FFFF-FFFF00000000}"/>
  </bookViews>
  <sheets>
    <sheet name="Template" sheetId="24" r:id="rId1"/>
    <sheet name="December 2025" sheetId="45" r:id="rId2"/>
    <sheet name="November 2025" sheetId="44" r:id="rId3"/>
    <sheet name="October 2025" sheetId="43" r:id="rId4"/>
    <sheet name="September 2025" sheetId="42" r:id="rId5"/>
    <sheet name="August 2025" sheetId="41" r:id="rId6"/>
    <sheet name="July 2025" sheetId="40" r:id="rId7"/>
    <sheet name="June 2025" sheetId="39" r:id="rId8"/>
    <sheet name="May 2025" sheetId="38" r:id="rId9"/>
    <sheet name="April 2025" sheetId="37" r:id="rId10"/>
    <sheet name="March 2025" sheetId="35" r:id="rId11"/>
    <sheet name="February 2025" sheetId="33" r:id="rId12"/>
    <sheet name="January 2025" sheetId="26" r:id="rId13"/>
    <sheet name="December 2024" sheetId="22" r:id="rId14"/>
    <sheet name="November 2024" sheetId="21" r:id="rId15"/>
    <sheet name="October 2024" sheetId="19" r:id="rId16"/>
    <sheet name="September 2024" sheetId="17" r:id="rId17"/>
    <sheet name="August 2024" sheetId="16" r:id="rId18"/>
    <sheet name="July 2024" sheetId="14" r:id="rId19"/>
    <sheet name="June 2024" sheetId="12" r:id="rId20"/>
    <sheet name="May 2024" sheetId="11" r:id="rId21"/>
    <sheet name="April 2024" sheetId="10" r:id="rId22"/>
    <sheet name="March 2024" sheetId="9" r:id="rId23"/>
    <sheet name="February 2024" sheetId="8" r:id="rId24"/>
    <sheet name="January 2024" sheetId="5" r:id="rId25"/>
    <sheet name="December 2023" sheetId="4" r:id="rId26"/>
    <sheet name="November 2023" sheetId="2" r:id="rId27"/>
    <sheet name="October 2023" sheetId="1" r:id="rId28"/>
    <sheet name="People" sheetId="6" r:id="rId29"/>
  </sheets>
  <definedNames>
    <definedName name="_xlnm._FilterDatabase" localSheetId="0" hidden="1">Template!$C$1:$I$11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45" l="1" a="1"/>
  <c r="J50" i="45"/>
  <c r="J49" i="45" a="1"/>
  <c r="J49" i="45"/>
  <c r="J48" i="45" a="1"/>
  <c r="J48" i="45"/>
  <c r="J42" i="45" a="1"/>
  <c r="J42" i="45"/>
  <c r="J41" i="45" a="1"/>
  <c r="J41" i="45"/>
  <c r="J40" i="45" a="1"/>
  <c r="J40" i="45"/>
  <c r="J34" i="45" a="1"/>
  <c r="J34" i="45"/>
  <c r="J33" i="45" a="1"/>
  <c r="J33" i="45"/>
  <c r="J32" i="45" a="1"/>
  <c r="J32" i="45"/>
  <c r="J26" i="45" a="1"/>
  <c r="J26" i="45"/>
  <c r="J25" i="45" a="1"/>
  <c r="J25" i="45"/>
  <c r="J24" i="45" a="1"/>
  <c r="J24" i="45"/>
  <c r="J18" i="45" a="1"/>
  <c r="J18" i="45"/>
  <c r="J17" i="45" a="1"/>
  <c r="J17" i="45"/>
  <c r="J16" i="45" a="1"/>
  <c r="J16" i="45"/>
  <c r="J10" i="45" a="1"/>
  <c r="J10" i="45"/>
  <c r="J9" i="45" a="1"/>
  <c r="J9" i="45"/>
  <c r="J8" i="45" a="1"/>
  <c r="J8" i="45"/>
  <c r="D2" i="45"/>
  <c r="F2" i="45"/>
  <c r="H2" i="45"/>
  <c r="J50" i="44" a="1"/>
  <c r="J50" i="44"/>
  <c r="J49" i="44" a="1"/>
  <c r="J49" i="44"/>
  <c r="J48" i="44" a="1"/>
  <c r="J48" i="44"/>
  <c r="J42" i="44" a="1"/>
  <c r="J42" i="44"/>
  <c r="J41" i="44" a="1"/>
  <c r="J41" i="44"/>
  <c r="J40" i="44" a="1"/>
  <c r="J40" i="44"/>
  <c r="J34" i="44" a="1"/>
  <c r="J34" i="44" s="1"/>
  <c r="J33" i="44" a="1"/>
  <c r="J33" i="44" s="1"/>
  <c r="J32" i="44" a="1"/>
  <c r="J32" i="44" s="1"/>
  <c r="J26" i="44" a="1"/>
  <c r="J26" i="44" s="1"/>
  <c r="J25" i="44" a="1"/>
  <c r="J25" i="44" s="1"/>
  <c r="J24" i="44" a="1"/>
  <c r="J24" i="44" s="1"/>
  <c r="J18" i="44" a="1"/>
  <c r="J18" i="44" s="1"/>
  <c r="J17" i="44" a="1"/>
  <c r="J17" i="44" s="1"/>
  <c r="J16" i="44" a="1"/>
  <c r="J16" i="44" s="1"/>
  <c r="J10" i="44" a="1"/>
  <c r="J10" i="44"/>
  <c r="J9" i="44" a="1"/>
  <c r="J9" i="44"/>
  <c r="J8" i="44" a="1"/>
  <c r="J8" i="44"/>
  <c r="J50" i="43" a="1"/>
  <c r="J50" i="43"/>
  <c r="J49" i="43" a="1"/>
  <c r="J49" i="43"/>
  <c r="J48" i="43" a="1"/>
  <c r="J48" i="43"/>
  <c r="J42" i="43" a="1"/>
  <c r="J42" i="43"/>
  <c r="J41" i="43" a="1"/>
  <c r="J41" i="43"/>
  <c r="J40" i="43" a="1"/>
  <c r="J40" i="43"/>
  <c r="J34" i="43" a="1"/>
  <c r="J34" i="43"/>
  <c r="J33" i="43" a="1"/>
  <c r="J33" i="43"/>
  <c r="J32" i="43" a="1"/>
  <c r="J32" i="43"/>
  <c r="J26" i="43" a="1"/>
  <c r="J26" i="43"/>
  <c r="J25" i="43" a="1"/>
  <c r="J25" i="43"/>
  <c r="J24" i="43" a="1"/>
  <c r="J24" i="43"/>
  <c r="J18" i="43" a="1"/>
  <c r="J18" i="43"/>
  <c r="J17" i="43" a="1"/>
  <c r="J17" i="43"/>
  <c r="J16" i="43" a="1"/>
  <c r="J16" i="43"/>
  <c r="J10" i="43" a="1"/>
  <c r="J10" i="43"/>
  <c r="J9" i="43" a="1"/>
  <c r="J9" i="43"/>
  <c r="J8" i="43" a="1"/>
  <c r="J8" i="43"/>
  <c r="D2" i="43"/>
  <c r="F2" i="43"/>
  <c r="H2" i="43"/>
  <c r="J50" i="42" a="1"/>
  <c r="J50" i="42"/>
  <c r="J49" i="42" a="1"/>
  <c r="J49" i="42"/>
  <c r="J48" i="42" a="1"/>
  <c r="J48" i="42"/>
  <c r="J42" i="42" a="1"/>
  <c r="J42" i="42"/>
  <c r="J41" i="42" a="1"/>
  <c r="J41" i="42"/>
  <c r="J40" i="42" a="1"/>
  <c r="J40" i="42"/>
  <c r="J34" i="42" a="1"/>
  <c r="J34" i="42"/>
  <c r="J33" i="42" a="1"/>
  <c r="J33" i="42"/>
  <c r="J32" i="42" a="1"/>
  <c r="J32" i="42"/>
  <c r="J26" i="42" a="1"/>
  <c r="J26" i="42"/>
  <c r="J25" i="42" a="1"/>
  <c r="J25" i="42"/>
  <c r="J24" i="42" a="1"/>
  <c r="J24" i="42"/>
  <c r="J18" i="42" a="1"/>
  <c r="J18" i="42"/>
  <c r="J17" i="42" a="1"/>
  <c r="J17" i="42"/>
  <c r="J16" i="42" a="1"/>
  <c r="J16" i="42"/>
  <c r="J10" i="42" a="1"/>
  <c r="J10" i="42"/>
  <c r="J9" i="42" a="1"/>
  <c r="J9" i="42"/>
  <c r="J8" i="42" a="1"/>
  <c r="J8" i="42"/>
  <c r="H2" i="42"/>
  <c r="F2" i="42"/>
  <c r="D2" i="42"/>
  <c r="J8" i="39" a="1"/>
  <c r="J8" i="39"/>
  <c r="J50" i="41" a="1"/>
  <c r="J50" i="41"/>
  <c r="J49" i="41" a="1"/>
  <c r="J49" i="41"/>
  <c r="J48" i="41" a="1"/>
  <c r="J48" i="41"/>
  <c r="J42" i="41" a="1"/>
  <c r="J42" i="41"/>
  <c r="J41" i="41" a="1"/>
  <c r="J41" i="41"/>
  <c r="J40" i="41" a="1"/>
  <c r="J40" i="41"/>
  <c r="J34" i="41" a="1"/>
  <c r="J34" i="41"/>
  <c r="J33" i="41" a="1"/>
  <c r="J33" i="41"/>
  <c r="J32" i="41" a="1"/>
  <c r="J32" i="41"/>
  <c r="J26" i="41" a="1"/>
  <c r="J26" i="41"/>
  <c r="J25" i="41" a="1"/>
  <c r="J25" i="41"/>
  <c r="J24" i="41" a="1"/>
  <c r="J24" i="41"/>
  <c r="J18" i="41" a="1"/>
  <c r="J18" i="41"/>
  <c r="J17" i="41" a="1"/>
  <c r="J17" i="41"/>
  <c r="J16" i="41" a="1"/>
  <c r="J16" i="41"/>
  <c r="J10" i="41" a="1"/>
  <c r="J10" i="41"/>
  <c r="J9" i="41" a="1"/>
  <c r="J9" i="41"/>
  <c r="J8" i="41" a="1"/>
  <c r="J8" i="41"/>
  <c r="H2" i="41"/>
  <c r="F2" i="41"/>
  <c r="D2" i="41"/>
  <c r="J50" i="40" a="1"/>
  <c r="J50" i="40"/>
  <c r="J49" i="40" a="1"/>
  <c r="J49" i="40"/>
  <c r="J48" i="40" a="1"/>
  <c r="J48" i="40"/>
  <c r="J42" i="40" a="1"/>
  <c r="J42" i="40"/>
  <c r="J41" i="40" a="1"/>
  <c r="J41" i="40"/>
  <c r="J40" i="40" a="1"/>
  <c r="J40" i="40"/>
  <c r="J34" i="40" a="1"/>
  <c r="J34" i="40"/>
  <c r="J33" i="40" a="1"/>
  <c r="J33" i="40"/>
  <c r="J32" i="40" a="1"/>
  <c r="J32" i="40"/>
  <c r="J26" i="40" a="1"/>
  <c r="J26" i="40"/>
  <c r="J25" i="40" a="1"/>
  <c r="J25" i="40"/>
  <c r="J24" i="40" a="1"/>
  <c r="J24" i="40"/>
  <c r="J18" i="40" a="1"/>
  <c r="J18" i="40"/>
  <c r="J17" i="40" a="1"/>
  <c r="J17" i="40"/>
  <c r="J16" i="40" a="1"/>
  <c r="J16" i="40"/>
  <c r="J10" i="40" a="1"/>
  <c r="J10" i="40"/>
  <c r="J9" i="40" a="1"/>
  <c r="J9" i="40"/>
  <c r="J8" i="40" a="1"/>
  <c r="J8" i="40"/>
  <c r="H2" i="40"/>
  <c r="F2" i="40"/>
  <c r="D2" i="40"/>
  <c r="J50" i="39" a="1"/>
  <c r="J50" i="39"/>
  <c r="J49" i="39" a="1"/>
  <c r="J49" i="39"/>
  <c r="J48" i="39" a="1"/>
  <c r="J48" i="39"/>
  <c r="J42" i="39" a="1"/>
  <c r="J42" i="39"/>
  <c r="J41" i="39" a="1"/>
  <c r="J41" i="39"/>
  <c r="J40" i="39" a="1"/>
  <c r="J40" i="39"/>
  <c r="J34" i="39" a="1"/>
  <c r="J34" i="39"/>
  <c r="J33" i="39" a="1"/>
  <c r="J33" i="39"/>
  <c r="J32" i="39" a="1"/>
  <c r="J32" i="39"/>
  <c r="J26" i="39" a="1"/>
  <c r="J26" i="39"/>
  <c r="J25" i="39" a="1"/>
  <c r="J25" i="39"/>
  <c r="J24" i="39" a="1"/>
  <c r="J24" i="39"/>
  <c r="J18" i="39" a="1"/>
  <c r="J18" i="39"/>
  <c r="J17" i="39" a="1"/>
  <c r="J17" i="39"/>
  <c r="J16" i="39" a="1"/>
  <c r="J16" i="39"/>
  <c r="J10" i="39" a="1"/>
  <c r="J10" i="39"/>
  <c r="J9" i="39" a="1"/>
  <c r="J9" i="39"/>
  <c r="H2" i="39"/>
  <c r="F2" i="39"/>
  <c r="D2" i="39"/>
  <c r="J16" i="38" a="1"/>
  <c r="J16" i="38"/>
  <c r="J17" i="38" a="1"/>
  <c r="J17" i="38"/>
  <c r="J18" i="38" a="1"/>
  <c r="J18" i="38"/>
  <c r="J24" i="38" a="1"/>
  <c r="J24" i="38"/>
  <c r="J25" i="38" a="1"/>
  <c r="J25" i="38"/>
  <c r="J26" i="38" a="1"/>
  <c r="J26" i="38"/>
  <c r="J32" i="38" a="1"/>
  <c r="J32" i="38"/>
  <c r="J33" i="38" a="1"/>
  <c r="J33" i="38"/>
  <c r="J34" i="38" a="1"/>
  <c r="J34" i="38"/>
  <c r="J40" i="38" a="1"/>
  <c r="J40" i="38"/>
  <c r="J41" i="38" a="1"/>
  <c r="J41" i="38"/>
  <c r="J42" i="38" a="1"/>
  <c r="J42" i="38"/>
  <c r="J50" i="38" a="1"/>
  <c r="J50" i="38"/>
  <c r="J49" i="38" a="1"/>
  <c r="J49" i="38"/>
  <c r="J48" i="38" a="1"/>
  <c r="J48" i="38"/>
  <c r="J10" i="38" a="1"/>
  <c r="J10" i="38"/>
  <c r="J9" i="38" a="1"/>
  <c r="J9" i="38"/>
  <c r="J8" i="38" a="1"/>
  <c r="J8" i="38"/>
  <c r="H2" i="38"/>
  <c r="F2" i="38"/>
  <c r="D2" i="38"/>
  <c r="J50" i="37" a="1"/>
  <c r="J50" i="37"/>
  <c r="J49" i="37" a="1"/>
  <c r="J49" i="37"/>
  <c r="J48" i="37" a="1"/>
  <c r="J48" i="37"/>
  <c r="J42" i="37" a="1"/>
  <c r="J42" i="37"/>
  <c r="J41" i="37" a="1"/>
  <c r="J41" i="37"/>
  <c r="J40" i="37" a="1"/>
  <c r="J40" i="37"/>
  <c r="J34" i="37" a="1"/>
  <c r="J34" i="37"/>
  <c r="J33" i="37" a="1"/>
  <c r="J33" i="37"/>
  <c r="J32" i="37" a="1"/>
  <c r="J32" i="37"/>
  <c r="J26" i="37" a="1"/>
  <c r="J26" i="37"/>
  <c r="J25" i="37" a="1"/>
  <c r="J25" i="37"/>
  <c r="J24" i="37" a="1"/>
  <c r="J24" i="37"/>
  <c r="J18" i="37" a="1"/>
  <c r="J18" i="37"/>
  <c r="J17" i="37" a="1"/>
  <c r="J17" i="37"/>
  <c r="J16" i="37" a="1"/>
  <c r="J16" i="37"/>
  <c r="J10" i="37" a="1"/>
  <c r="J10" i="37"/>
  <c r="J9" i="37" a="1"/>
  <c r="J9" i="37"/>
  <c r="J8" i="37" a="1"/>
  <c r="J8" i="37"/>
  <c r="H2" i="37"/>
  <c r="F2" i="37"/>
  <c r="D2" i="37"/>
  <c r="I10" i="35"/>
  <c r="J50" i="35" a="1"/>
  <c r="J50" i="35"/>
  <c r="J49" i="35" a="1"/>
  <c r="J49" i="35"/>
  <c r="J48" i="35" a="1"/>
  <c r="J48" i="35"/>
  <c r="J42" i="35" a="1"/>
  <c r="J42" i="35"/>
  <c r="J41" i="35" a="1"/>
  <c r="J41" i="35"/>
  <c r="J40" i="35" a="1"/>
  <c r="J40" i="35"/>
  <c r="J34" i="35" a="1"/>
  <c r="J34" i="35"/>
  <c r="J33" i="35" a="1"/>
  <c r="J33" i="35"/>
  <c r="J32" i="35" a="1"/>
  <c r="J32" i="35"/>
  <c r="J26" i="35" a="1"/>
  <c r="J26" i="35"/>
  <c r="J25" i="35" a="1"/>
  <c r="J25" i="35"/>
  <c r="J24" i="35" a="1"/>
  <c r="J24" i="35"/>
  <c r="J18" i="35" a="1"/>
  <c r="J18" i="35"/>
  <c r="J17" i="35" a="1"/>
  <c r="J17" i="35"/>
  <c r="J16" i="35" a="1"/>
  <c r="J16" i="35"/>
  <c r="J10" i="35" a="1"/>
  <c r="J10" i="35"/>
  <c r="J9" i="35" a="1"/>
  <c r="J9" i="35"/>
  <c r="J8" i="35" a="1"/>
  <c r="J8" i="35"/>
  <c r="H2" i="35"/>
  <c r="F2" i="35"/>
  <c r="D2" i="35"/>
  <c r="J41" i="26"/>
  <c r="J42" i="26"/>
  <c r="J40" i="26"/>
  <c r="J33" i="26"/>
  <c r="J34" i="26"/>
  <c r="J32" i="26"/>
  <c r="J25" i="26"/>
  <c r="J26" i="26"/>
  <c r="J24" i="26"/>
  <c r="J41" i="33"/>
  <c r="J42" i="33"/>
  <c r="J40" i="33"/>
  <c r="J33" i="33"/>
  <c r="J34" i="33"/>
  <c r="J32" i="33"/>
  <c r="J25" i="33"/>
  <c r="J26" i="33"/>
  <c r="J24" i="33"/>
  <c r="J18" i="33"/>
  <c r="J17" i="33"/>
  <c r="J16" i="33"/>
  <c r="J9" i="33"/>
  <c r="J8" i="33"/>
  <c r="J50" i="33" a="1"/>
  <c r="J50" i="33"/>
  <c r="J49" i="33" a="1"/>
  <c r="J49" i="33"/>
  <c r="J48" i="33" a="1"/>
  <c r="J48" i="33"/>
  <c r="D2" i="33"/>
  <c r="F2" i="33"/>
  <c r="H2" i="33"/>
  <c r="J18" i="26"/>
  <c r="J17" i="26"/>
  <c r="J16" i="26"/>
  <c r="J10" i="26"/>
  <c r="J9" i="26"/>
  <c r="J8" i="26"/>
  <c r="J8" i="24" a="1"/>
  <c r="J8" i="24"/>
  <c r="J9" i="24" a="1"/>
  <c r="J9" i="24"/>
  <c r="J10" i="24" a="1"/>
  <c r="J10" i="24"/>
  <c r="J16" i="24" a="1"/>
  <c r="J16" i="24"/>
  <c r="J17" i="24" a="1"/>
  <c r="J17" i="24"/>
  <c r="J18" i="24" a="1"/>
  <c r="J18" i="24"/>
  <c r="J24" i="24" a="1"/>
  <c r="J24" i="24"/>
  <c r="J25" i="24" a="1"/>
  <c r="J25" i="24"/>
  <c r="J26" i="24" a="1"/>
  <c r="J26" i="24"/>
  <c r="J32" i="24" a="1"/>
  <c r="J32" i="24"/>
  <c r="J33" i="24" a="1"/>
  <c r="J33" i="24"/>
  <c r="J34" i="24" a="1"/>
  <c r="J34" i="24"/>
  <c r="J40" i="24" a="1"/>
  <c r="J40" i="24"/>
  <c r="J41" i="24" a="1"/>
  <c r="J41" i="24"/>
  <c r="J42" i="24" a="1"/>
  <c r="J42" i="24"/>
  <c r="E50" i="24" a="1"/>
  <c r="E50" i="24"/>
  <c r="E49" i="24" a="1"/>
  <c r="E49" i="24"/>
  <c r="E48" i="24" a="1"/>
  <c r="E48" i="24"/>
  <c r="J18" i="22" a="1"/>
  <c r="J18" i="22"/>
  <c r="E50" i="22" a="1"/>
  <c r="E50" i="22"/>
  <c r="E49" i="22" a="1"/>
  <c r="E49" i="22"/>
  <c r="E48" i="22" a="1"/>
  <c r="E48" i="22"/>
  <c r="J42" i="22" a="1"/>
  <c r="J42" i="22"/>
  <c r="J41" i="22" a="1"/>
  <c r="J41" i="22"/>
  <c r="J40" i="22" a="1"/>
  <c r="J40" i="22"/>
  <c r="J34" i="22" a="1"/>
  <c r="J34" i="22"/>
  <c r="J33" i="22" a="1"/>
  <c r="J33" i="22"/>
  <c r="J32" i="22" a="1"/>
  <c r="J32" i="22"/>
  <c r="J26" i="22" a="1"/>
  <c r="J26" i="22"/>
  <c r="J25" i="22" a="1"/>
  <c r="J25" i="22"/>
  <c r="J24" i="22" a="1"/>
  <c r="J24" i="22"/>
  <c r="J17" i="22" a="1"/>
  <c r="J17" i="22"/>
  <c r="J16" i="22" a="1"/>
  <c r="J16" i="22"/>
  <c r="J10" i="22" a="1"/>
  <c r="J10" i="22"/>
  <c r="J9" i="22" a="1"/>
  <c r="J9" i="22"/>
  <c r="J8" i="22" a="1"/>
  <c r="J8" i="22"/>
  <c r="H2" i="22"/>
  <c r="F2" i="22"/>
  <c r="D2" i="22"/>
  <c r="J41" i="21" a="1"/>
  <c r="J41" i="21"/>
  <c r="E50" i="21" a="1"/>
  <c r="E50" i="21"/>
  <c r="E49" i="21" a="1"/>
  <c r="E49" i="21"/>
  <c r="E48" i="21" a="1"/>
  <c r="E48" i="21"/>
  <c r="J42" i="21" a="1"/>
  <c r="J42" i="21"/>
  <c r="J40" i="21" a="1"/>
  <c r="J40" i="21"/>
  <c r="J34" i="21" a="1"/>
  <c r="J34" i="21"/>
  <c r="J33" i="21" a="1"/>
  <c r="J33" i="21"/>
  <c r="J32" i="21" a="1"/>
  <c r="J32" i="21"/>
  <c r="J26" i="21" a="1"/>
  <c r="J26" i="21"/>
  <c r="J25" i="21" a="1"/>
  <c r="J25" i="21"/>
  <c r="J24" i="21" a="1"/>
  <c r="J24" i="21"/>
  <c r="J18" i="21" a="1"/>
  <c r="J18" i="21"/>
  <c r="J17" i="21" a="1"/>
  <c r="J17" i="21"/>
  <c r="J16" i="21" a="1"/>
  <c r="J16" i="21"/>
  <c r="J10" i="21" a="1"/>
  <c r="J10" i="21"/>
  <c r="J9" i="21" a="1"/>
  <c r="J9" i="21"/>
  <c r="J8" i="21" a="1"/>
  <c r="J8" i="21"/>
  <c r="E50" i="19" a="1"/>
  <c r="E50" i="19"/>
  <c r="E49" i="19" a="1"/>
  <c r="E49" i="19"/>
  <c r="E48" i="19" a="1"/>
  <c r="E48" i="19"/>
  <c r="J42" i="19" a="1"/>
  <c r="J42" i="19"/>
  <c r="J41" i="19" a="1"/>
  <c r="J41" i="19"/>
  <c r="J40" i="19" a="1"/>
  <c r="J40" i="19"/>
  <c r="J34" i="19" a="1"/>
  <c r="J34" i="19"/>
  <c r="J33" i="19" a="1"/>
  <c r="J33" i="19"/>
  <c r="J32" i="19" a="1"/>
  <c r="J32" i="19"/>
  <c r="J26" i="19" a="1"/>
  <c r="J26" i="19"/>
  <c r="J25" i="19" a="1"/>
  <c r="J25" i="19"/>
  <c r="J24" i="19" a="1"/>
  <c r="J24" i="19"/>
  <c r="J18" i="19" a="1"/>
  <c r="J18" i="19"/>
  <c r="J17" i="19" a="1"/>
  <c r="J17" i="19"/>
  <c r="J16" i="19" a="1"/>
  <c r="J16" i="19"/>
  <c r="J10" i="19" a="1"/>
  <c r="J10" i="19"/>
  <c r="J9" i="19" a="1"/>
  <c r="J9" i="19"/>
  <c r="J8" i="19" a="1"/>
  <c r="J8" i="19"/>
  <c r="J8" i="17" a="1"/>
  <c r="J8" i="17"/>
  <c r="E49" i="17" a="1"/>
  <c r="E49" i="17"/>
  <c r="E50" i="17" a="1"/>
  <c r="E50" i="17"/>
  <c r="E48" i="17" a="1"/>
  <c r="E48" i="17"/>
  <c r="J41" i="17" a="1"/>
  <c r="J41" i="17"/>
  <c r="J42" i="17" a="1"/>
  <c r="J42" i="17"/>
  <c r="J40" i="17" a="1"/>
  <c r="J40" i="17"/>
  <c r="J34" i="17" a="1"/>
  <c r="J34" i="17"/>
  <c r="J32" i="17" a="1"/>
  <c r="J32" i="17"/>
  <c r="J26" i="17" a="1"/>
  <c r="J26" i="17"/>
  <c r="J24" i="17" a="1"/>
  <c r="J24" i="17"/>
  <c r="J18" i="17" a="1"/>
  <c r="J18" i="17"/>
  <c r="J16" i="17" a="1"/>
  <c r="J16" i="17"/>
  <c r="J10" i="17" a="1"/>
  <c r="J10" i="17"/>
  <c r="J9" i="17" a="1"/>
  <c r="J9" i="17"/>
  <c r="J17" i="17" a="1"/>
  <c r="J17" i="17"/>
  <c r="J25" i="17" a="1"/>
  <c r="J25" i="17"/>
  <c r="J33" i="17" a="1"/>
  <c r="J33" i="17"/>
  <c r="F2" i="17"/>
  <c r="E40" i="16"/>
  <c r="J33" i="16" a="1"/>
  <c r="J33" i="16"/>
  <c r="J26" i="16" a="1"/>
  <c r="J26" i="16"/>
  <c r="J19" i="16" a="1"/>
  <c r="J19" i="16"/>
  <c r="J12" i="16" a="1"/>
  <c r="J12" i="16"/>
  <c r="J5" i="16" a="1"/>
  <c r="J5" i="16"/>
  <c r="H2" i="19"/>
  <c r="F2" i="19"/>
  <c r="D2" i="16"/>
  <c r="D2" i="19"/>
  <c r="D2" i="21"/>
  <c r="H2" i="21"/>
  <c r="F2" i="21"/>
  <c r="H2" i="17"/>
  <c r="D2" i="17"/>
  <c r="H2" i="24"/>
  <c r="F2" i="24"/>
  <c r="D2" i="24"/>
  <c r="H2" i="44" l="1"/>
  <c r="F2" i="44"/>
  <c r="D2" i="4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<sst xmlns="http://schemas.openxmlformats.org/spreadsheetml/2006/main" count="5923" uniqueCount="836">
  <si>
    <t>Ideal Total:</t>
  </si>
  <si>
    <t>Monthly Total:</t>
  </si>
  <si>
    <t>Monthly TXS:</t>
  </si>
  <si>
    <t>Monthly NGC:</t>
  </si>
  <si>
    <t xml:space="preserve"> </t>
  </si>
  <si>
    <t>Day</t>
  </si>
  <si>
    <t>S</t>
  </si>
  <si>
    <t>M</t>
  </si>
  <si>
    <t>T</t>
  </si>
  <si>
    <t>W</t>
  </si>
  <si>
    <t>Th</t>
  </si>
  <si>
    <t>F</t>
  </si>
  <si>
    <t>Sa</t>
  </si>
  <si>
    <t xml:space="preserve">  # = Time in hours</t>
  </si>
  <si>
    <t>Date</t>
  </si>
  <si>
    <t xml:space="preserve">  ND = No Data</t>
  </si>
  <si>
    <t>Observer</t>
  </si>
  <si>
    <t xml:space="preserve">  All timestamps in EST</t>
  </si>
  <si>
    <t>Moon illumination</t>
  </si>
  <si>
    <t>On call</t>
  </si>
  <si>
    <t>Week 1 Totals:</t>
  </si>
  <si>
    <t>Time observing</t>
  </si>
  <si>
    <t>Total</t>
  </si>
  <si>
    <t>Time on TXS</t>
  </si>
  <si>
    <t>TXS</t>
  </si>
  <si>
    <t>Time on NGC</t>
  </si>
  <si>
    <t>NGC</t>
  </si>
  <si>
    <t>Start/end (EST)</t>
  </si>
  <si>
    <t>Ideal Total</t>
  </si>
  <si>
    <t>Week 2 Totals:</t>
  </si>
  <si>
    <t>Week 3 Totals:</t>
  </si>
  <si>
    <t>Week 4 Totals:</t>
  </si>
  <si>
    <t>Week 5 Totals:</t>
  </si>
  <si>
    <t>Week 6 Totals:</t>
  </si>
  <si>
    <t xml:space="preserve">  Total</t>
  </si>
  <si>
    <t xml:space="preserve">  TXS</t>
  </si>
  <si>
    <t xml:space="preserve">  NGC</t>
  </si>
  <si>
    <t>December</t>
  </si>
  <si>
    <t>Jose</t>
  </si>
  <si>
    <t>Sage</t>
  </si>
  <si>
    <t>Shruti</t>
  </si>
  <si>
    <t>Josslyn</t>
  </si>
  <si>
    <t>Angelina</t>
  </si>
  <si>
    <t>Door Down</t>
  </si>
  <si>
    <t>20:15 PM - 08:15 AM</t>
  </si>
  <si>
    <t>20:15 PM - 08:16 AM</t>
  </si>
  <si>
    <t>20:15 PM - 08:17 AM</t>
  </si>
  <si>
    <t>20:15 PM - 08:18 AM</t>
  </si>
  <si>
    <t>20:15 PM - 08:19 AM</t>
  </si>
  <si>
    <t>David Brown</t>
  </si>
  <si>
    <t>Luis</t>
  </si>
  <si>
    <t>Lily</t>
  </si>
  <si>
    <t>David</t>
  </si>
  <si>
    <t>Alex</t>
  </si>
  <si>
    <t>Eden</t>
  </si>
  <si>
    <t>20:15 PM - 08:20 AM</t>
  </si>
  <si>
    <t>20:15 PM - 08:21 AM</t>
  </si>
  <si>
    <t>20:15 PM - 08:22 AM</t>
  </si>
  <si>
    <t>20:16 PM - 08:22 AM</t>
  </si>
  <si>
    <t>20:16 PM - 08:23 AM</t>
  </si>
  <si>
    <t>20:16 PM - 08:24 AM</t>
  </si>
  <si>
    <t>Neha</t>
  </si>
  <si>
    <t>Sofia</t>
  </si>
  <si>
    <t>20:17 PM - 08:25 AM</t>
  </si>
  <si>
    <t>20:17 PM - 08:26 AM</t>
  </si>
  <si>
    <t>20:18 PM - 08:27 AM</t>
  </si>
  <si>
    <t>20:19 PM - 08:28 AM</t>
  </si>
  <si>
    <t>20:20 PM - 08:29 AM</t>
  </si>
  <si>
    <t>20:21 PM - 08:30 AM</t>
  </si>
  <si>
    <t>20:22 PM - 08:31 AM</t>
  </si>
  <si>
    <t>20:23 PM - 08:31 AM</t>
  </si>
  <si>
    <t>20:24 PM - 08:32 AM</t>
  </si>
  <si>
    <t>20:25 PM - 08:32 AM</t>
  </si>
  <si>
    <t>20:26 PM - 08:32 AM</t>
  </si>
  <si>
    <t>November</t>
  </si>
  <si>
    <t>0</t>
  </si>
  <si>
    <t>21:31 PM - 08:47 AM</t>
  </si>
  <si>
    <t>Neha (Supervised)</t>
  </si>
  <si>
    <t>Door Down - 9.8</t>
  </si>
  <si>
    <t>Door Down - 11.3</t>
  </si>
  <si>
    <t>Door Down - 11.2</t>
  </si>
  <si>
    <t>Door Down - 11.5</t>
  </si>
  <si>
    <t>Noise Runs - 11.2</t>
  </si>
  <si>
    <t>Daylight Savings Ends</t>
  </si>
  <si>
    <t>21:30 PM - 08:48 AM</t>
  </si>
  <si>
    <t>20:29 PM - 07:49 AM</t>
  </si>
  <si>
    <t>20:28 PM - 07:50 AM</t>
  </si>
  <si>
    <t>20:27 PM - 07:51 AM</t>
  </si>
  <si>
    <t>20:26 PM - 07:52 AM</t>
  </si>
  <si>
    <t>20:26 PM - 07:53 AM</t>
  </si>
  <si>
    <t>20:25 PM - 07:54 AM</t>
  </si>
  <si>
    <t xml:space="preserve">David </t>
  </si>
  <si>
    <t>Door Down - 9.4</t>
  </si>
  <si>
    <t>10.7</t>
  </si>
  <si>
    <t>20:24 PM - 07:55 AM</t>
  </si>
  <si>
    <t>20:23 PM - 07:56 AM</t>
  </si>
  <si>
    <t>20:23 PM - 07:57 AM</t>
  </si>
  <si>
    <t>20:22 PM - 07:58 AM</t>
  </si>
  <si>
    <t>20:21 PM - 07:59 AM</t>
  </si>
  <si>
    <t>20:21 PM - 08:00 AM</t>
  </si>
  <si>
    <t>20:20 PM - 08:01 AM</t>
  </si>
  <si>
    <t>20:20 PM - 08:02 AM</t>
  </si>
  <si>
    <t>20:19 PM - 08:03 AM</t>
  </si>
  <si>
    <t>20:19 PM - 08:04 AM</t>
  </si>
  <si>
    <t>20:18 PM - 08:04 AM</t>
  </si>
  <si>
    <t>20:18 PM - 08:05 AM</t>
  </si>
  <si>
    <t>20:17 PM - 08:06 AM</t>
  </si>
  <si>
    <t>20:17 PM - 08:07 AM</t>
  </si>
  <si>
    <t>-</t>
  </si>
  <si>
    <t>20:17 PM - 08:08 AM</t>
  </si>
  <si>
    <t>20:16 PM - 08:09 AM</t>
  </si>
  <si>
    <t>20:16 PM - 08:10 AM</t>
  </si>
  <si>
    <t>20:16 PM - 08:11 AM</t>
  </si>
  <si>
    <t>20:16 PM - 08:12 AM</t>
  </si>
  <si>
    <t>20:15 PM - 08:13 AM</t>
  </si>
  <si>
    <t>20:15 PM - 08:14 AM</t>
  </si>
  <si>
    <t>78%%</t>
  </si>
  <si>
    <t>October</t>
  </si>
  <si>
    <t>Neha (Training)</t>
  </si>
  <si>
    <t>ND</t>
  </si>
  <si>
    <t>Door Down - 1.9</t>
  </si>
  <si>
    <t>22:12 PM - 08:18 AM</t>
  </si>
  <si>
    <t>22:10 PM - 08:19 AM</t>
  </si>
  <si>
    <t>22:09 PM - 08:20 AM</t>
  </si>
  <si>
    <t>22:07 PM - 08:21 AM</t>
  </si>
  <si>
    <t>Alex (Manual Supervision)</t>
  </si>
  <si>
    <t>Door Down - 1.5</t>
  </si>
  <si>
    <t>Door Down - 10.2</t>
  </si>
  <si>
    <t>Door Down -  2.6</t>
  </si>
  <si>
    <t>Noise Runs - 10.2</t>
  </si>
  <si>
    <t>No supervision</t>
  </si>
  <si>
    <t>22:06 PM - 08:22 AM</t>
  </si>
  <si>
    <t>22:04 PM - 08:23 AM</t>
  </si>
  <si>
    <t>22:02 PM - 08:24 AM</t>
  </si>
  <si>
    <t>22:01 PM - 08:25 AM</t>
  </si>
  <si>
    <t>22:00 PM - 08:26 AM</t>
  </si>
  <si>
    <t>21:58 PM - 08:27 AM</t>
  </si>
  <si>
    <t>21:57 PM - 08:27 AM</t>
  </si>
  <si>
    <t>David Brown (Supervised)</t>
  </si>
  <si>
    <t>10.1</t>
  </si>
  <si>
    <t>21:55 PM - 08:28 AM</t>
  </si>
  <si>
    <t>21:54 PM - 08:29 AM</t>
  </si>
  <si>
    <t>21:52 PM - 08:30 AM</t>
  </si>
  <si>
    <t>21:51 PM - 08:31 AM</t>
  </si>
  <si>
    <t>21:50 PM - 08:32 AM</t>
  </si>
  <si>
    <t>21:48 PM - 08:33 AM</t>
  </si>
  <si>
    <t>21:47 PM - 08:34 AM</t>
  </si>
  <si>
    <t>21:46 PM - 08:35 AM</t>
  </si>
  <si>
    <t>21:44 PM - 08:36 AM</t>
  </si>
  <si>
    <t>21:43 PM - 08:37 AM</t>
  </si>
  <si>
    <t>21:42 PM - 08:38 AM</t>
  </si>
  <si>
    <t>21:41 PM - 08:39 AM</t>
  </si>
  <si>
    <t>21:40 PM - 08:40 AM</t>
  </si>
  <si>
    <t>21:38 PM - 08:41 AM</t>
  </si>
  <si>
    <t>21:37 PM - 08:42 AM</t>
  </si>
  <si>
    <t>21:36 PM - 08:43 AM</t>
  </si>
  <si>
    <t>21:35 PM - 08:43 AM</t>
  </si>
  <si>
    <t>21:34 PM - 08:44 AM</t>
  </si>
  <si>
    <t>21:33 PM - 08:45 AM</t>
  </si>
  <si>
    <t>20:32 PM - 07:46 AM</t>
  </si>
  <si>
    <t>September</t>
  </si>
  <si>
    <t>Sage, Jose Antonio, David (Training)</t>
  </si>
  <si>
    <t>(Alex, Luis, Lily) Training</t>
  </si>
  <si>
    <t>On-Call Supervision (Luis)</t>
  </si>
  <si>
    <t>On-Call Supervision (Alex)</t>
  </si>
  <si>
    <t>ND - intrigs only</t>
  </si>
  <si>
    <t>03:40 AM - 07:32 AM</t>
  </si>
  <si>
    <t>04:41 AM - 07:33 AM</t>
  </si>
  <si>
    <t>23:32 PM - 00:41 AM</t>
  </si>
  <si>
    <t>23:30 PM - 01:34 AM</t>
  </si>
  <si>
    <t>23:28 PM - 02:25 AM</t>
  </si>
  <si>
    <t>23:27 PM - 03:14 AM</t>
  </si>
  <si>
    <t>Lily (On-Call Supervision)</t>
  </si>
  <si>
    <t>Sofia (Testing)</t>
  </si>
  <si>
    <t>Sage (Supervised)</t>
  </si>
  <si>
    <t>David, Neha (Training)</t>
  </si>
  <si>
    <t>0.7 - Noise Runs</t>
  </si>
  <si>
    <t>23:25 PM - 04:02 AM</t>
  </si>
  <si>
    <t>23:23 PM - 04:50 AM</t>
  </si>
  <si>
    <t>23:21 PM - 05:40 AM</t>
  </si>
  <si>
    <t>23:20 PM - 06:32 AM</t>
  </si>
  <si>
    <t>23:18 PM - 07:28 AM</t>
  </si>
  <si>
    <t>23:16 PM - 07:44 AM</t>
  </si>
  <si>
    <t>23:14 PM - 07:45 AM</t>
  </si>
  <si>
    <t>David (Supervised)</t>
  </si>
  <si>
    <t>Jose (Supervised)</t>
  </si>
  <si>
    <t>23:12 PM - 07:46 AM</t>
  </si>
  <si>
    <t>23:11 PM - 07:47 AM</t>
  </si>
  <si>
    <t>23:09 PM - 07:48 AM</t>
  </si>
  <si>
    <t>23:07 PM - 07:49 AM</t>
  </si>
  <si>
    <t>23:05 PM - 07:50 AM</t>
  </si>
  <si>
    <t>22:32 PM - 07:51 AM</t>
  </si>
  <si>
    <t>22:30 PM - 07:52 AM</t>
  </si>
  <si>
    <t>Luis (On-Call Supervised)</t>
  </si>
  <si>
    <t>22:28 PM - 07:53 AM</t>
  </si>
  <si>
    <t>22:27 PM - 07:54 AM</t>
  </si>
  <si>
    <t>22:25 PM - 07:55 AM</t>
  </si>
  <si>
    <t>22:23 PM - 07:56 AM</t>
  </si>
  <si>
    <t>22:22 PM - 07:57 AM</t>
  </si>
  <si>
    <t>22:20 PM - 07:58 AM</t>
  </si>
  <si>
    <t>22:18 PM - 08:14 AM</t>
  </si>
  <si>
    <t>22:17 PM - 08:15 AM</t>
  </si>
  <si>
    <t>22:15 PM - 08:16 AM</t>
  </si>
  <si>
    <t>21:13 PM - 07:17 AM</t>
  </si>
  <si>
    <t>August</t>
  </si>
  <si>
    <t>02:55 AM - 06:52 AM</t>
  </si>
  <si>
    <t>03:28 AM - 06:54 AM</t>
  </si>
  <si>
    <t>Anurag</t>
  </si>
  <si>
    <t>Sofia(Testingtrinity.py)</t>
  </si>
  <si>
    <t>Sofia (testing, door closed), Anurag (Moon)</t>
  </si>
  <si>
    <t>Anurag (Moonlight)</t>
  </si>
  <si>
    <t>EE</t>
  </si>
  <si>
    <t>0 (Missed Shift)</t>
  </si>
  <si>
    <t>04:09 AM - 06:55 AM</t>
  </si>
  <si>
    <t>04:58 AM - 06:56 AM</t>
  </si>
  <si>
    <t>05:55 AM - 06:58 AM</t>
  </si>
  <si>
    <t>00:20 AM - 01:59 AM</t>
  </si>
  <si>
    <t>00:19 AM - 02:53 AM</t>
  </si>
  <si>
    <t>00:17 AM - 03:46 AM</t>
  </si>
  <si>
    <t>00:15 AM - 04:35 AM</t>
  </si>
  <si>
    <t>Eden (door closed and moonlight studies)</t>
  </si>
  <si>
    <t>Sofia (Moon) and Testing</t>
  </si>
  <si>
    <t>Sofia (Moonlight Studies &amp; Testing Trinity.py)</t>
  </si>
  <si>
    <t>Sofia (Moon and testing script)</t>
  </si>
  <si>
    <t>00:14 AM - 05:23 AM</t>
  </si>
  <si>
    <t>00:12 AM - 06:10 AM</t>
  </si>
  <si>
    <t>00:10 AM - 06:57 AM</t>
  </si>
  <si>
    <t>00:09 AM - 07:08 AM</t>
  </si>
  <si>
    <t>00:07 AM - 07:10 AM</t>
  </si>
  <si>
    <t>00:05 AM - 07:11 AM</t>
  </si>
  <si>
    <t>00:04 AM - 07:12 AM</t>
  </si>
  <si>
    <t>Sage and Lily Training</t>
  </si>
  <si>
    <t>Shruti (Supervised)</t>
  </si>
  <si>
    <t>Sage, Lily Grace, Jose Antonio (Training)</t>
  </si>
  <si>
    <t>00:02 AM - 07:13 AM</t>
  </si>
  <si>
    <t>00:00 AM - 07:15 AM</t>
  </si>
  <si>
    <t>23:59 PM - 07:16 AM</t>
  </si>
  <si>
    <t>23:57 PM - 07:17 AM</t>
  </si>
  <si>
    <t>23:55 PM - 07:18 AM</t>
  </si>
  <si>
    <t>23:53 PM - 07:20 AM</t>
  </si>
  <si>
    <t>23:52 PM - 07:21 AM</t>
  </si>
  <si>
    <t>Lily(Supervised)</t>
  </si>
  <si>
    <t>7.5 (door closed)</t>
  </si>
  <si>
    <t>23:50 PM - 07:22 AM</t>
  </si>
  <si>
    <t>23:48 PM - 07:23 AM</t>
  </si>
  <si>
    <t>00:04 AM - 07:25 AM</t>
  </si>
  <si>
    <t>00:28 AM - 07:26 AM</t>
  </si>
  <si>
    <t>00:54 AM - 07:27 AM</t>
  </si>
  <si>
    <t>01:26 AM - 07:28 AM</t>
  </si>
  <si>
    <t>02:03 AM - 07:29 AM</t>
  </si>
  <si>
    <t>July</t>
  </si>
  <si>
    <t>Nolan</t>
  </si>
  <si>
    <t>--</t>
  </si>
  <si>
    <t>Mariia</t>
  </si>
  <si>
    <t>5.9 (Door down)</t>
  </si>
  <si>
    <t>6.4 (Door down)</t>
  </si>
  <si>
    <t>4.6 (Door down)</t>
  </si>
  <si>
    <t>03:16 AM - 06:17 AM</t>
  </si>
  <si>
    <t>03:37 AM - 06:18 AM</t>
  </si>
  <si>
    <t>04:00 AM - 06:19 AM</t>
  </si>
  <si>
    <t>04:26 AM - 06:20 AM</t>
  </si>
  <si>
    <t>04:56 AM - 06:21 AM</t>
  </si>
  <si>
    <t>7 (Door down)</t>
  </si>
  <si>
    <t>2 (Door down)</t>
  </si>
  <si>
    <t>1.3 (Door down)</t>
  </si>
  <si>
    <t>6.7 (Door down)</t>
  </si>
  <si>
    <t>6.4 (Moonlight Study)</t>
  </si>
  <si>
    <t>6.5 (Moonlight Study)</t>
  </si>
  <si>
    <t>05:33 AM - 06:22 AM</t>
  </si>
  <si>
    <t>00:55 AM - 01:22 AM</t>
  </si>
  <si>
    <t>00:55 AM - 02:17 AM</t>
  </si>
  <si>
    <t>00:54 AM - 03:13 AM</t>
  </si>
  <si>
    <t>00:53 AM - 04:09 AM</t>
  </si>
  <si>
    <t>00:52 AM - 05:02 AM</t>
  </si>
  <si>
    <t>00:52 AM - 05:52 AM</t>
  </si>
  <si>
    <t>Josslyn, Mariia (Moon)</t>
  </si>
  <si>
    <t>Alex, Eden (Moon)</t>
  </si>
  <si>
    <t>Luis, Angelina (Moon)</t>
  </si>
  <si>
    <t>Luis, Anurag (Moon)</t>
  </si>
  <si>
    <t>Alex, Anurag (Moon)</t>
  </si>
  <si>
    <t>00:51 AM - 06:29 AM</t>
  </si>
  <si>
    <t>00:50 AM - 06:30 AM</t>
  </si>
  <si>
    <t>00:49 AM - 06:31 AM</t>
  </si>
  <si>
    <t>00:48 AM - 06:32 AM</t>
  </si>
  <si>
    <t>00:47 AM - 06:33 AM</t>
  </si>
  <si>
    <t>00:46 AM - 06:34 AM</t>
  </si>
  <si>
    <t>00:45 AM - 06:36 AM</t>
  </si>
  <si>
    <t>Luis, David (Moon)</t>
  </si>
  <si>
    <t>Luis, Eden (Moon)</t>
  </si>
  <si>
    <t>00:44 AM - 06:37 AM</t>
  </si>
  <si>
    <t>00:42 AM - 06:38 AM</t>
  </si>
  <si>
    <t>00:41 AM - 06:39 AM</t>
  </si>
  <si>
    <t>00:40 AM - 06:41 AM</t>
  </si>
  <si>
    <t>00:39 AM - 06:42 AM</t>
  </si>
  <si>
    <t>00:37 AM - 06:43 AM</t>
  </si>
  <si>
    <t>00:36 AM - 06:45 AM</t>
  </si>
  <si>
    <t>Shruti (Training), David</t>
  </si>
  <si>
    <t xml:space="preserve">Shruti (Training), </t>
  </si>
  <si>
    <t>Alex, David</t>
  </si>
  <si>
    <t>00:57 AM - 06:46 AM</t>
  </si>
  <si>
    <t>01:18 AM - 06:47 AM</t>
  </si>
  <si>
    <t>01:39 AM - 06:49 AM</t>
  </si>
  <si>
    <t>02:02 AM - 06:50 AM</t>
  </si>
  <si>
    <t>01:26 AM - 05:51 AM</t>
  </si>
  <si>
    <t>June</t>
  </si>
  <si>
    <t>Josslyn (Supervised)</t>
  </si>
  <si>
    <t>Clark</t>
  </si>
  <si>
    <t>Site Visit</t>
  </si>
  <si>
    <t>04:09 AM - 06:17 AM</t>
  </si>
  <si>
    <t>04:32 AM - 06:16 AM</t>
  </si>
  <si>
    <t>04:52 AM - 06:15 AM</t>
  </si>
  <si>
    <t>05:13 AM - 06:15 AM</t>
  </si>
  <si>
    <t>05:34 AM - 06:14 AM</t>
  </si>
  <si>
    <t>05:58 AM - 06:14 AM</t>
  </si>
  <si>
    <t>00:52 AM - 01:00 AM</t>
  </si>
  <si>
    <t>Noise Runs</t>
  </si>
  <si>
    <t>Moonlight Study</t>
  </si>
  <si>
    <t>00:53 AM - 01:47 AM</t>
  </si>
  <si>
    <t>00:54 AM - 02:37 AM</t>
  </si>
  <si>
    <t>00:54 AM - 03:30 AM</t>
  </si>
  <si>
    <t>00:55 AM - 04:25 AM</t>
  </si>
  <si>
    <t>00:56 AM - 05:21 AM</t>
  </si>
  <si>
    <t>00:56 AM - 06:12 AM</t>
  </si>
  <si>
    <t>00:57 AM - 06:12 AM</t>
  </si>
  <si>
    <t>Varun</t>
  </si>
  <si>
    <t>1.97 (Moonlight Study)</t>
  </si>
  <si>
    <t>Power Outage</t>
  </si>
  <si>
    <t>ND: Misc</t>
  </si>
  <si>
    <t>00:58 AM - 06:12 AM</t>
  </si>
  <si>
    <t>00:59 AM - 06:12 AM</t>
  </si>
  <si>
    <t>Eden (Supervised)</t>
  </si>
  <si>
    <t>Alex (Supervised)</t>
  </si>
  <si>
    <t>00:59 AM - 06:13 AM</t>
  </si>
  <si>
    <t>00:59 AM - 06:14 AM</t>
  </si>
  <si>
    <t>01:06 AM - 06:14 AM</t>
  </si>
  <si>
    <t>01:41 AM - 06:15 AM</t>
  </si>
  <si>
    <t>02:09 AM - 06:15 AM</t>
  </si>
  <si>
    <t>02:33 AM - 06:16 AM</t>
  </si>
  <si>
    <t>02:55 AM - 05:17 AM</t>
  </si>
  <si>
    <t>May</t>
  </si>
  <si>
    <t>Jordan</t>
  </si>
  <si>
    <t>03:57 AM - 06:54 AM</t>
  </si>
  <si>
    <t>04:41 AM - 06:53 AM</t>
  </si>
  <si>
    <t>05:16 AM - 06:51 AM</t>
  </si>
  <si>
    <t>05:43 AM - 06:49 AM</t>
  </si>
  <si>
    <t>06:07 AM - 06:48 AM</t>
  </si>
  <si>
    <t>06:28 AM - 06:46 AM</t>
  </si>
  <si>
    <t>00:15 AM - 00:20 AM</t>
  </si>
  <si>
    <t>00:16 AM - 00:59 AM</t>
  </si>
  <si>
    <t>00:18 AM - 01:38 AM</t>
  </si>
  <si>
    <t>00:19 AM - 02:19 AM</t>
  </si>
  <si>
    <t>00:21 AM - 03:03 AM</t>
  </si>
  <si>
    <t>00:22 AM - 03:51 AM</t>
  </si>
  <si>
    <t>00:23 AM - 04:42 AM</t>
  </si>
  <si>
    <t>00:25 AM - 05:35 AM</t>
  </si>
  <si>
    <t>00:26 AM - 06:30 AM</t>
  </si>
  <si>
    <t>00:27 AM - 06:32 AM</t>
  </si>
  <si>
    <t>00:29 AM - 06:31 AM</t>
  </si>
  <si>
    <t>Clark (Supervised)</t>
  </si>
  <si>
    <t>David/Eden/Anurag  (Training)</t>
  </si>
  <si>
    <t>David, Eden, Anurag, Josslyn (Training)</t>
  </si>
  <si>
    <t>ND:Humidity</t>
  </si>
  <si>
    <t>00:30 AM - 06:30 AM</t>
  </si>
  <si>
    <t>00:31 AM - 06:29 AM</t>
  </si>
  <si>
    <t>00:33 AM - 06:28 AM</t>
  </si>
  <si>
    <t>00:34 AM - 06:26 AM</t>
  </si>
  <si>
    <t>00:35 AM - 06:25 AM</t>
  </si>
  <si>
    <t>00:36 AM - 06:24 AM</t>
  </si>
  <si>
    <t>00:38 AM - 06:23 AM</t>
  </si>
  <si>
    <t>Josslyn (Training)</t>
  </si>
  <si>
    <t>00:39 AM - 06:22 AM</t>
  </si>
  <si>
    <t>00:40 AM - 06:21 AM</t>
  </si>
  <si>
    <t>00:41 AM - 06:20 AM</t>
  </si>
  <si>
    <t>01:42 AM - 06:20 AM</t>
  </si>
  <si>
    <t>02:33 AM - 06:19 AM</t>
  </si>
  <si>
    <t>03:13 AM - 06:18 AM</t>
  </si>
  <si>
    <t>02:44 AM - 05:17 AM</t>
  </si>
  <si>
    <t>Ideal Total: 117.98</t>
  </si>
  <si>
    <t>April</t>
  </si>
  <si>
    <t>Ace</t>
  </si>
  <si>
    <t>ND: Weather</t>
  </si>
  <si>
    <t>02:59 AM - 07:46 AM</t>
  </si>
  <si>
    <t>04:12 AM - 07:44 AM</t>
  </si>
  <si>
    <t>05:14 AM - 07:42 AM</t>
  </si>
  <si>
    <t>06:04 AM - 07:40 AM</t>
  </si>
  <si>
    <t>06:43 AM - 07:39 AM</t>
  </si>
  <si>
    <t>Noah</t>
  </si>
  <si>
    <t>ND: Moon</t>
  </si>
  <si>
    <t>07:14 AM - 07:37 AM</t>
  </si>
  <si>
    <t>23:35 PM - 00:18 AM</t>
  </si>
  <si>
    <t>23:37 PM - 01:01 AM</t>
  </si>
  <si>
    <t>23:38 PM - 01:41 AM</t>
  </si>
  <si>
    <t>23:39 PM - 02:20 AM</t>
  </si>
  <si>
    <t>23:40 PM - 02:59 AM</t>
  </si>
  <si>
    <t>23:42 PM - 03:39 AM</t>
  </si>
  <si>
    <t>ND:weather</t>
  </si>
  <si>
    <t>23:43 PM - 04:21 AM</t>
  </si>
  <si>
    <t>23:44 PM - 05:06 AM</t>
  </si>
  <si>
    <t>23:45 PM - 05:54 AM</t>
  </si>
  <si>
    <t>23:47 PM - 06:46 AM</t>
  </si>
  <si>
    <t>23:48 PM - 07:18 AM</t>
  </si>
  <si>
    <t>23:49 PM - 07:16 AM</t>
  </si>
  <si>
    <t>23:51 PM - 07:14 AM</t>
  </si>
  <si>
    <t>Clark (Training)</t>
  </si>
  <si>
    <t>23:52 PM - 07:12 AM</t>
  </si>
  <si>
    <t>23:53 PM - 07:11 AM</t>
  </si>
  <si>
    <t>23:54 PM - 07:09 AM</t>
  </si>
  <si>
    <t>23:56 PM - 07:07 AM</t>
  </si>
  <si>
    <t>23:57 PM - 07:06 AM</t>
  </si>
  <si>
    <t>23:59 PM - 07:04 AM</t>
  </si>
  <si>
    <t>00:00 AM - 07:02 AM</t>
  </si>
  <si>
    <t>00:01 AM - 07:01 AM</t>
  </si>
  <si>
    <t>00:31 AM - 06:59 AM</t>
  </si>
  <si>
    <t>01:50 AM - 06:57 AM</t>
  </si>
  <si>
    <t>02:00 AM - 05:56 AM</t>
  </si>
  <si>
    <t>March</t>
  </si>
  <si>
    <t>23:08 PM - 07:36 AM</t>
  </si>
  <si>
    <t>Supervised: Alex</t>
  </si>
  <si>
    <t>Training: Clark</t>
  </si>
  <si>
    <t>ND:Weather</t>
  </si>
  <si>
    <t>ND:Moon</t>
  </si>
  <si>
    <t>00:24 AM - 07:34 AM</t>
  </si>
  <si>
    <t>01:42 AM - 07:33 AM</t>
  </si>
  <si>
    <t>03:00 AM - 07:31 AM</t>
  </si>
  <si>
    <t>04:15 AM - 07:30 AM</t>
  </si>
  <si>
    <t>05:23 AM - 07:28 AM</t>
  </si>
  <si>
    <t>06:19 AM - 07:27 AM</t>
  </si>
  <si>
    <t>22:02 PM - 22:52 PM</t>
  </si>
  <si>
    <t>23:03 PM - 00:46 AM</t>
  </si>
  <si>
    <t>23:04 PM - 01:35 AM</t>
  </si>
  <si>
    <t>23:05 PM - 02:19 AM</t>
  </si>
  <si>
    <t>23:06 PM - 03:01 AM</t>
  </si>
  <si>
    <t>23:07 PM - 03:41 AM</t>
  </si>
  <si>
    <t>23:09 PM - 04:20 AM</t>
  </si>
  <si>
    <t>23:10 PM - 05:00 AM</t>
  </si>
  <si>
    <t>23:11 PM - 05:40 AM</t>
  </si>
  <si>
    <t>23:12 PM - 06:23 AM</t>
  </si>
  <si>
    <t>23:13 PM - 07:09 AM</t>
  </si>
  <si>
    <t>23:14 PM - 07:59 AM</t>
  </si>
  <si>
    <t>23:15 PM - 08:06 AM</t>
  </si>
  <si>
    <t>23:16 PM - 08:04 AM</t>
  </si>
  <si>
    <t>23:17 PM - 08:03 AM</t>
  </si>
  <si>
    <t>23:18 PM - 08:01 AM</t>
  </si>
  <si>
    <t>23:19 PM - 07:59 AM</t>
  </si>
  <si>
    <t>23:20 PM - 07:58 AM</t>
  </si>
  <si>
    <t>23:21 PM - 07:56 AM</t>
  </si>
  <si>
    <t>23:23 PM - 07:54 AM</t>
  </si>
  <si>
    <t>23:24 PM - 07:52 AM</t>
  </si>
  <si>
    <t>23:25 PM - 07:51 AM</t>
  </si>
  <si>
    <t>00:18 AM - 07:49 AM</t>
  </si>
  <si>
    <t>00:39 AM - 06:47 AM</t>
  </si>
  <si>
    <t>February</t>
  </si>
  <si>
    <t xml:space="preserve">Sofia </t>
  </si>
  <si>
    <t>00:13 AM - 08:07 AM</t>
  </si>
  <si>
    <t>01:26 AM - 08:06 AM</t>
  </si>
  <si>
    <t>02:40 AM - 08:06 AM</t>
  </si>
  <si>
    <t>03:55 AM - 08:05 AM</t>
  </si>
  <si>
    <t>05:11 AM - 08:04 AM</t>
  </si>
  <si>
    <t>06:23 AM - 08:03 AM</t>
  </si>
  <si>
    <t>21:33 PM - 23:01 PM</t>
  </si>
  <si>
    <t>21:34 PM - 00:00 AM</t>
  </si>
  <si>
    <t>ND:Software</t>
  </si>
  <si>
    <t>21:35 PM - 00:57 AM</t>
  </si>
  <si>
    <t>21:36 PM - 01:50 AM</t>
  </si>
  <si>
    <t>21:37 PM - 02:38 AM</t>
  </si>
  <si>
    <t>21:38 PM - 03:22 AM</t>
  </si>
  <si>
    <t>21:39 PM - 04:04 AM</t>
  </si>
  <si>
    <t>21:40 PM - 04:44 AM</t>
  </si>
  <si>
    <t>21:41 PM - 05:23 AM</t>
  </si>
  <si>
    <t>21:42 PM - 06:02 AM</t>
  </si>
  <si>
    <t>21:43 PM - 06:44 AM</t>
  </si>
  <si>
    <t>21:44 PM - 07:28 AM</t>
  </si>
  <si>
    <t>21:45 PM - 07:49 AM</t>
  </si>
  <si>
    <t>21:46 PM - 07:48 AM</t>
  </si>
  <si>
    <t>21:47 PM - 07:47 AM</t>
  </si>
  <si>
    <t>21:48 PM - 07:45 AM</t>
  </si>
  <si>
    <t>Training: Alex</t>
  </si>
  <si>
    <t>Training: Alex, Clark</t>
  </si>
  <si>
    <t>21:49 PM - 07:44 AM</t>
  </si>
  <si>
    <t>21:50 PM - 07:43 AM</t>
  </si>
  <si>
    <t>21:51 PM - 07:41 AM</t>
  </si>
  <si>
    <t>21:52 PM - 07:40 AM</t>
  </si>
  <si>
    <t>21:53 PM - 07:39 AM</t>
  </si>
  <si>
    <t>21:54 PM - 07:37 AM</t>
  </si>
  <si>
    <t> </t>
  </si>
  <si>
    <t>January</t>
  </si>
  <si>
    <t>21:41 PM - 08:16 AM</t>
  </si>
  <si>
    <t>22:53 PM - 08:17 AM</t>
  </si>
  <si>
    <t>00:03 AM - 08:17 AM</t>
  </si>
  <si>
    <t>01:13 AM - 08:17 AM</t>
  </si>
  <si>
    <t>ND: Flasher</t>
  </si>
  <si>
    <t>ND: Weather&amp;Flasher</t>
  </si>
  <si>
    <t>ND: Moon&amp;Flasher</t>
  </si>
  <si>
    <t>02:23 AM - 08:17 AM</t>
  </si>
  <si>
    <t>03:35 AM - 08:17 AM</t>
  </si>
  <si>
    <t>04:49 AM - 08:17 AM</t>
  </si>
  <si>
    <t>21:04 PM - 22:13 PM</t>
  </si>
  <si>
    <t>21:05 PM - 23:09 PM</t>
  </si>
  <si>
    <t>21:06 PM - 00:09 AM</t>
  </si>
  <si>
    <t>21:07 PM - 01:10 AM</t>
  </si>
  <si>
    <t>21:08 PM - 02:10 AM</t>
  </si>
  <si>
    <t>21:09 PM - 03:06 AM</t>
  </si>
  <si>
    <t>21:10 PM - 03:58 AM</t>
  </si>
  <si>
    <t>21:11 PM - 04:45 AM</t>
  </si>
  <si>
    <t>21:12 PM - 05:28 AM</t>
  </si>
  <si>
    <t>21:12 PM - 06:09 AM</t>
  </si>
  <si>
    <t>21:13 PM - 06:48 AM</t>
  </si>
  <si>
    <t>ND: Configuration issues</t>
  </si>
  <si>
    <t>21:14 PM - 07:27 AM</t>
  </si>
  <si>
    <t>21:15 PM - 08:07 AM</t>
  </si>
  <si>
    <t>21:16 PM - 08:14 AM</t>
  </si>
  <si>
    <t>21:17 PM - 08:13 AM</t>
  </si>
  <si>
    <t>21:18 PM - 08:13 AM</t>
  </si>
  <si>
    <t>21:19 PM - 08:12 AM</t>
  </si>
  <si>
    <t>21:20 PM - 08:12 AM</t>
  </si>
  <si>
    <t>21:21 PM - 08:11 AM</t>
  </si>
  <si>
    <t>21:22 PM - 08:11 AM</t>
  </si>
  <si>
    <t>21:23 PM - 08:10 AM</t>
  </si>
  <si>
    <t>21:24 PM - 08:09 AM</t>
  </si>
  <si>
    <t>21:49 PM - 08:09 AM</t>
  </si>
  <si>
    <t>23:01 PM - 08:08 AM</t>
  </si>
  <si>
    <t>Adam</t>
  </si>
  <si>
    <t>20:47 PM - 8:00 AM</t>
  </si>
  <si>
    <t>21:36 PM - 8:01 AM</t>
  </si>
  <si>
    <t>22:42 PM - 8:02 AM</t>
  </si>
  <si>
    <t>23:52 AM - 8:03 AM</t>
  </si>
  <si>
    <t>01:01 AM - 8:03 AM</t>
  </si>
  <si>
    <t>2:11 AM - 8:04 AM</t>
  </si>
  <si>
    <t>Luigi</t>
  </si>
  <si>
    <t>3:21 AM - 8:05 AM</t>
  </si>
  <si>
    <t>04:32 AM - 8:06 AM</t>
  </si>
  <si>
    <t>20:48 PM - 22:35 PM</t>
  </si>
  <si>
    <t>20:48 PM - 23:27 PM</t>
  </si>
  <si>
    <t>20:48 PM - 00:22 AM</t>
  </si>
  <si>
    <t>20:49 PM - 1:21 AM</t>
  </si>
  <si>
    <t>20:49 PM - 2:23 AM</t>
  </si>
  <si>
    <t>20:49 PM - 03:26 AM</t>
  </si>
  <si>
    <t>20:50 PM - 4:25 AM</t>
  </si>
  <si>
    <t>20:50 PM - 5:20 AM</t>
  </si>
  <si>
    <t>20:50 PM - 6:09 AM</t>
  </si>
  <si>
    <t>20:51 PM - 6:53 AM</t>
  </si>
  <si>
    <t>20:51 PM - 7:35 AM</t>
  </si>
  <si>
    <t>20:52 PM - 8:13 AM</t>
  </si>
  <si>
    <t>20:53 PM - 8:14 AM</t>
  </si>
  <si>
    <t>20:54 PM - 8:15 AM</t>
  </si>
  <si>
    <t>20:55 PM - 8:15 AM</t>
  </si>
  <si>
    <t>20:56 PM - 8:16 AM</t>
  </si>
  <si>
    <t>Angelina/Sofia</t>
  </si>
  <si>
    <t>20:57 PM - 8:16 AM</t>
  </si>
  <si>
    <t>20:58 PM - 8:16 AM</t>
  </si>
  <si>
    <t>10:03 PM - 8:32 AM</t>
  </si>
  <si>
    <t>10:02 PM - 8:33 AM</t>
  </si>
  <si>
    <t>Training/Ace</t>
  </si>
  <si>
    <t>Training/</t>
  </si>
  <si>
    <t>10:01 PM - 8:34 AM</t>
  </si>
  <si>
    <t>9:45 PM - 7:35 AM</t>
  </si>
  <si>
    <t>10:40 PM - 7:36 AM</t>
  </si>
  <si>
    <t>11:42 PM - 7:37 AM</t>
  </si>
  <si>
    <t>12:50 AM - 7:38 AM</t>
  </si>
  <si>
    <t>2:00 AM - 7:39 AM</t>
  </si>
  <si>
    <t>3:11 AM - 7:40 AM</t>
  </si>
  <si>
    <t>ND:  People on Mtn</t>
  </si>
  <si>
    <t>ND:moon</t>
  </si>
  <si>
    <t>4:22 AM - 7:41 AM</t>
  </si>
  <si>
    <t>8:54 PM - 11:06 PM</t>
  </si>
  <si>
    <t>8:54 PM - 11:55 PM</t>
  </si>
  <si>
    <t>Training/Anurag</t>
  </si>
  <si>
    <t>8:50 PM - 5:44 AM</t>
  </si>
  <si>
    <t>8:50 PM - 6:41 AM</t>
  </si>
  <si>
    <t>8:50 PM - 7:31 AM</t>
  </si>
  <si>
    <t>8:49 PM - 7:51 AM</t>
  </si>
  <si>
    <t>8:49 PM - 7:52 AM</t>
  </si>
  <si>
    <t>8:48 PM - 7:53 AM</t>
  </si>
  <si>
    <t>Training/Noah</t>
  </si>
  <si>
    <t>8:48 PM - 7:54 AM</t>
  </si>
  <si>
    <t>8:48 PM - 7:55 AM</t>
  </si>
  <si>
    <t>8:47 PM - 7:56 AM</t>
  </si>
  <si>
    <t>8:47 PM - 7:57 AM</t>
  </si>
  <si>
    <t>8:47 PM - 7:58 AM</t>
  </si>
  <si>
    <t>8:47 PM - 7:59 AM</t>
  </si>
  <si>
    <t>10:43 PM - 8:03 AM</t>
  </si>
  <si>
    <t>10:42 PM - 8:04 AM</t>
  </si>
  <si>
    <t xml:space="preserve">10:40 PM - 8:05 AM </t>
  </si>
  <si>
    <t>10:39 PM - 8:06 AM</t>
  </si>
  <si>
    <t>10:45 PM - 8:07 AM</t>
  </si>
  <si>
    <t>Varun Iyengar</t>
  </si>
  <si>
    <t>11:19 PM - 8:08 AM</t>
  </si>
  <si>
    <t xml:space="preserve">11:59 PM - 8:09 AM </t>
  </si>
  <si>
    <t>12:48 AM - 8:10 AM</t>
  </si>
  <si>
    <t>1:46 AM - 8:10 AM</t>
  </si>
  <si>
    <t>2:51 AM - 8:11 AM</t>
  </si>
  <si>
    <t>4:02 AM - 8:02 AM</t>
  </si>
  <si>
    <t>5:15 AM - 8:13 AM</t>
  </si>
  <si>
    <t>Luis Rojas</t>
  </si>
  <si>
    <t>*10:25 PM - 12:37 AM*</t>
  </si>
  <si>
    <t xml:space="preserve">10:16 PM - 7:01 AM </t>
  </si>
  <si>
    <t>10:15 PM - 8:01 AM</t>
  </si>
  <si>
    <t>10:14 PM - 8:23 AM</t>
  </si>
  <si>
    <t>10:12 PM - 8:24 AM</t>
  </si>
  <si>
    <t>10:11 PM - 8:25 AM</t>
  </si>
  <si>
    <t>10:10 PM - 8:25 AM</t>
  </si>
  <si>
    <t>10:09 PM - 8:26 AM</t>
  </si>
  <si>
    <t>ND: Snow</t>
  </si>
  <si>
    <t>ND: Clouds</t>
  </si>
  <si>
    <t>10:08 PM - 8:27 AM</t>
  </si>
  <si>
    <t>10:07 PM - 8:28 AM</t>
  </si>
  <si>
    <t>10:06 PM - 8:29 AM</t>
  </si>
  <si>
    <t>10:05 PM - 8:30 AM</t>
  </si>
  <si>
    <t>10:04 PM - 8:31 AM</t>
  </si>
  <si>
    <t># = Time in hours</t>
  </si>
  <si>
    <t>ND = No Data</t>
  </si>
  <si>
    <t>11:35 PM - 7:32 AM</t>
  </si>
  <si>
    <t>11:33 PM - 7:33 AM</t>
  </si>
  <si>
    <t>11:32 PM - 7:34 AM</t>
  </si>
  <si>
    <t>11:30 PM - 7:35 AM</t>
  </si>
  <si>
    <t>11:28 PM - 7:36 AM</t>
  </si>
  <si>
    <t>11:49 PM - 07:37 AM</t>
  </si>
  <si>
    <t>12:14 AM - 07:39 AM</t>
  </si>
  <si>
    <t>ND Weather</t>
  </si>
  <si>
    <t>ND Training</t>
  </si>
  <si>
    <t>ND Error</t>
  </si>
  <si>
    <t>12:43 AM - 7:40 AM</t>
  </si>
  <si>
    <t>1:19 AM - 7:41 AM</t>
  </si>
  <si>
    <t>2:03 AM - 7:42 AM</t>
  </si>
  <si>
    <t>2:56 AM - 7:43 AM</t>
  </si>
  <si>
    <t>3:59 AM - 7:44 AM</t>
  </si>
  <si>
    <t>11:14 PM - 12:05 AM</t>
  </si>
  <si>
    <t>11:12 PM - 1:04 AM</t>
  </si>
  <si>
    <t>ND Training/Bright</t>
  </si>
  <si>
    <t>ND: Bright</t>
  </si>
  <si>
    <t>11:02 PM - 6:20 AM</t>
  </si>
  <si>
    <t>11:00 PM - 7:16 AM</t>
  </si>
  <si>
    <t>ND - testing, bright</t>
  </si>
  <si>
    <t>10:58 PM - 7:54 AM</t>
  </si>
  <si>
    <t>10:57 PM - 7:55 AM</t>
  </si>
  <si>
    <t>10:55 PM - 7:56 AM</t>
  </si>
  <si>
    <t>10:53 PM - 7:57 AM</t>
  </si>
  <si>
    <t>10:52 PM - 7:58 AM</t>
  </si>
  <si>
    <t>10:50 PM - 7:59 AM</t>
  </si>
  <si>
    <t>10:48 PM - 8:00 AM</t>
  </si>
  <si>
    <t>10:47 PM - 8:01 AM</t>
  </si>
  <si>
    <t>10:45 PM - 8:02 AM</t>
  </si>
  <si>
    <t>Time = # of hours</t>
  </si>
  <si>
    <t>Week 1</t>
  </si>
  <si>
    <t>Time on TXS/NGC</t>
  </si>
  <si>
    <t>Start/end times (EST)</t>
  </si>
  <si>
    <t>Week 2</t>
  </si>
  <si>
    <t>ND: Trigger rate</t>
  </si>
  <si>
    <t xml:space="preserve">ND: SIAB problem </t>
  </si>
  <si>
    <t>Week 3</t>
  </si>
  <si>
    <t xml:space="preserve">ND: Weather </t>
  </si>
  <si>
    <t>Week 4</t>
  </si>
  <si>
    <t>11:51 PM - 7:21 AM</t>
  </si>
  <si>
    <t>11:49 PM - 7:22 AM</t>
  </si>
  <si>
    <t>Week 5</t>
  </si>
  <si>
    <t>11:48 PM - 7:24 AM</t>
  </si>
  <si>
    <t>11:46 PM - 7:25 AM</t>
  </si>
  <si>
    <t>11:44 PM - 7:26 AM</t>
  </si>
  <si>
    <t>11:42 PM - 7:27 AM</t>
  </si>
  <si>
    <t>11:40 PM - 7:28 AM</t>
  </si>
  <si>
    <t>11:39 PM - 7:30 AM</t>
  </si>
  <si>
    <t>11:37 PM - 7:31 AM</t>
  </si>
  <si>
    <t>Week 6</t>
  </si>
  <si>
    <t>Moon Illumination</t>
  </si>
  <si>
    <t>ND: windy</t>
  </si>
  <si>
    <t>ND: winds</t>
  </si>
  <si>
    <t>ND: Wind</t>
  </si>
  <si>
    <t>&lt;5 min</t>
  </si>
  <si>
    <t>Observing time</t>
  </si>
  <si>
    <t>Time TXS/NGC</t>
  </si>
  <si>
    <t>None</t>
  </si>
  <si>
    <t>Data Quality</t>
  </si>
  <si>
    <t>Arnav</t>
  </si>
  <si>
    <t>ND: operation difficulties</t>
  </si>
  <si>
    <t>30 min</t>
  </si>
  <si>
    <t>2 hours</t>
  </si>
  <si>
    <t>Error: TriggerRate</t>
  </si>
  <si>
    <t>Testing: TriggerRate</t>
  </si>
  <si>
    <t>3 hours</t>
  </si>
  <si>
    <t>Issue</t>
  </si>
  <si>
    <t>ND: VPN Error</t>
  </si>
  <si>
    <t xml:space="preserve"> 1 hour</t>
  </si>
  <si>
    <t>7 hr</t>
  </si>
  <si>
    <t xml:space="preserve">File saving </t>
  </si>
  <si>
    <t>good</t>
  </si>
  <si>
    <t>Good</t>
  </si>
  <si>
    <t>ND: error</t>
  </si>
  <si>
    <t>ND: TriggerScan</t>
  </si>
  <si>
    <t>ND:TriggerScan</t>
  </si>
  <si>
    <t>ND: ASAD 1.8</t>
  </si>
  <si>
    <t>ND:</t>
  </si>
  <si>
    <t>4hs</t>
  </si>
  <si>
    <t>3.5 hrs</t>
  </si>
  <si>
    <t>ND: wind</t>
  </si>
  <si>
    <t>ND:wind</t>
  </si>
  <si>
    <t>ND:intrigs error</t>
  </si>
  <si>
    <t>1.5 hrs</t>
  </si>
  <si>
    <t>ND:Wind</t>
  </si>
  <si>
    <t>ND: storm</t>
  </si>
  <si>
    <t>0.25 hr</t>
  </si>
  <si>
    <t>ND: connection issues</t>
  </si>
  <si>
    <t>ND:forgotten shift</t>
  </si>
  <si>
    <t>Moon Illuminsation</t>
  </si>
  <si>
    <t>_</t>
  </si>
  <si>
    <t>7hr</t>
  </si>
  <si>
    <t>0hr</t>
  </si>
  <si>
    <t>0hrs</t>
  </si>
  <si>
    <t>Srikar</t>
  </si>
  <si>
    <t>DAQ:error</t>
  </si>
  <si>
    <t>7 hrs</t>
  </si>
  <si>
    <t>Error</t>
  </si>
  <si>
    <t>IT Error</t>
  </si>
  <si>
    <t>4 hr</t>
  </si>
  <si>
    <t>Aurora</t>
  </si>
  <si>
    <t>3 hr 43 min</t>
  </si>
  <si>
    <t>1hr</t>
  </si>
  <si>
    <t>VPN Error</t>
  </si>
  <si>
    <t>0/0</t>
  </si>
  <si>
    <t>ND: ice</t>
  </si>
  <si>
    <t>ND: technical</t>
  </si>
  <si>
    <t>ND: Flasher Data</t>
  </si>
  <si>
    <t>ND: OIT Issues</t>
  </si>
  <si>
    <t>ND: Technical</t>
  </si>
  <si>
    <t>Nicholas</t>
  </si>
  <si>
    <t>ND: Hot SIAB</t>
  </si>
  <si>
    <t>5hrs</t>
  </si>
  <si>
    <t>3hr</t>
  </si>
  <si>
    <t>5hr</t>
  </si>
  <si>
    <t>2hr</t>
  </si>
  <si>
    <t>0/1</t>
  </si>
  <si>
    <t>1:30hr</t>
  </si>
  <si>
    <t>1 hr</t>
  </si>
  <si>
    <t>ND: monitoring issues</t>
  </si>
  <si>
    <t>OIT</t>
  </si>
  <si>
    <t>Mariia Testing</t>
  </si>
  <si>
    <t>lab CPU testing</t>
  </si>
  <si>
    <t>Pixel Testing</t>
  </si>
  <si>
    <t>Lab CPU testing</t>
  </si>
  <si>
    <t>5 hr</t>
  </si>
  <si>
    <t>ND: pixel and test system</t>
  </si>
  <si>
    <t>ND: ran intrigs</t>
  </si>
  <si>
    <t>ND: cam cover</t>
  </si>
  <si>
    <t>ND: data saving</t>
  </si>
  <si>
    <t>ND: intrigs problem</t>
  </si>
  <si>
    <t>7hr 26min</t>
  </si>
  <si>
    <t>1hr/1hr</t>
  </si>
  <si>
    <t>Sofia/Srikar</t>
  </si>
  <si>
    <t>9hr 1min</t>
  </si>
  <si>
    <t>8 hr 7 min</t>
  </si>
  <si>
    <t>ND: weather</t>
  </si>
  <si>
    <t xml:space="preserve"> ND: snow</t>
  </si>
  <si>
    <t>ND: weather iv</t>
  </si>
  <si>
    <t>1hr.1hr</t>
  </si>
  <si>
    <t>Sofia/Adam</t>
  </si>
  <si>
    <t>59 min</t>
  </si>
  <si>
    <t>ND: moon</t>
  </si>
  <si>
    <t>Pixel script Testing</t>
  </si>
  <si>
    <t>Pixel testing</t>
  </si>
  <si>
    <t>Flasher</t>
  </si>
  <si>
    <t>DV offset</t>
  </si>
  <si>
    <t>1 hr 52 min</t>
  </si>
  <si>
    <t>0/1hr</t>
  </si>
  <si>
    <t>4hr 40 min</t>
  </si>
  <si>
    <t>ND: Door failure</t>
  </si>
  <si>
    <t>Testing Pixels</t>
  </si>
  <si>
    <t>ECND:Door failure</t>
  </si>
  <si>
    <t>Mariia (late)</t>
  </si>
  <si>
    <t>1 h 4 min</t>
  </si>
  <si>
    <t>5 h 49 min</t>
  </si>
  <si>
    <t>4 h 46 m</t>
  </si>
  <si>
    <t>6 h 24 min</t>
  </si>
  <si>
    <t>Training Nick, Ace</t>
  </si>
  <si>
    <t>8 h 16 m</t>
  </si>
  <si>
    <t xml:space="preserve">ND: Flasher issue </t>
  </si>
  <si>
    <t>ND: Flasher issue</t>
  </si>
  <si>
    <t>8 hr</t>
  </si>
  <si>
    <t>9 hr 17 min</t>
  </si>
  <si>
    <t>1 hr/1 hr</t>
  </si>
  <si>
    <t>Srikar/Training Nick and Ace</t>
  </si>
  <si>
    <t>7 h 40 m</t>
  </si>
  <si>
    <t>5.5 hrs</t>
  </si>
  <si>
    <t>5h 10 m</t>
  </si>
  <si>
    <t>3hr 44m</t>
  </si>
  <si>
    <t>2 hr 8 m</t>
  </si>
  <si>
    <t>1hr/0hr</t>
  </si>
  <si>
    <t>1 hr/0hr</t>
  </si>
  <si>
    <t>ND: Testing Pixels</t>
  </si>
  <si>
    <t>sofia</t>
  </si>
  <si>
    <t>jordan</t>
  </si>
  <si>
    <t>22- ND: weather</t>
  </si>
  <si>
    <t>Mariia,Adam</t>
  </si>
  <si>
    <t>Sofia, Srikar,Adam</t>
  </si>
  <si>
    <t>Srikar Sofia</t>
  </si>
  <si>
    <t>Srikar(starting), Sofia</t>
  </si>
  <si>
    <t>Sofia, Srikar</t>
  </si>
  <si>
    <t>Mariia (after 5 am UTC)</t>
  </si>
  <si>
    <t>Name</t>
  </si>
  <si>
    <t>Level</t>
  </si>
  <si>
    <t>Training 1</t>
  </si>
  <si>
    <t>Training 2</t>
  </si>
  <si>
    <t>Supervision 1</t>
  </si>
  <si>
    <t>Supervision 2</t>
  </si>
  <si>
    <t>Complete</t>
  </si>
  <si>
    <t>Provide on call support</t>
  </si>
  <si>
    <t>Set up on New lab Computer</t>
  </si>
  <si>
    <t>Notes</t>
  </si>
  <si>
    <t>oncall 3</t>
  </si>
  <si>
    <t>SS</t>
  </si>
  <si>
    <t>JB</t>
  </si>
  <si>
    <t>MF</t>
  </si>
  <si>
    <t>X</t>
  </si>
  <si>
    <t>yes</t>
  </si>
  <si>
    <t xml:space="preserve">undergrad 3 </t>
  </si>
  <si>
    <t>ES</t>
  </si>
  <si>
    <t>AZ</t>
  </si>
  <si>
    <t>undergrad 3</t>
  </si>
  <si>
    <t>DR</t>
  </si>
  <si>
    <t>undergrad 1</t>
  </si>
  <si>
    <t>Jose Antonio</t>
  </si>
  <si>
    <t>undergrad</t>
  </si>
  <si>
    <t>Lily Grace</t>
  </si>
  <si>
    <t>Post Bac</t>
  </si>
  <si>
    <t>undergrad 2</t>
  </si>
  <si>
    <t>undergrad 4</t>
  </si>
  <si>
    <t>no</t>
  </si>
  <si>
    <t>Grad 4</t>
  </si>
  <si>
    <t>x</t>
  </si>
  <si>
    <t>Grad 2</t>
  </si>
  <si>
    <t>retired</t>
  </si>
  <si>
    <t>undergrad 3?4?</t>
  </si>
  <si>
    <t>Not available during the summer 2025</t>
  </si>
  <si>
    <t>Quenzler</t>
  </si>
  <si>
    <t>Not responsive</t>
  </si>
  <si>
    <t>Grad</t>
  </si>
  <si>
    <t>post Doc</t>
  </si>
  <si>
    <t>Qichen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</si>
</sst>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59">
    <font>
      <sz val="11"/>
      <color theme="1"/>
      <name val="Calibri"/>
      <family val="2"/>
      <scheme val="minor"/>
    </font>
    <font>
      <sz val="11"/>
      <color theme="1"/>
      <name val="Malgun Gothic"/>
      <family val="2"/>
      <charset val="129"/>
    </font>
    <font>
      <sz val="11"/>
      <color theme="9" tint="0.79998168889431442"/>
      <name val="Malgun Gothic"/>
      <family val="2"/>
      <charset val="129"/>
    </font>
    <font>
      <sz val="26"/>
      <color theme="9" tint="-0.249977111117893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sz val="11"/>
      <color theme="0"/>
      <name val="Malgun Gothic"/>
      <family val="2"/>
      <charset val="129"/>
    </font>
    <font>
      <b/>
      <sz val="11"/>
      <color theme="0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i/>
      <sz val="11"/>
      <color theme="1"/>
      <name val="Malgun Gothic"/>
      <family val="2"/>
      <charset val="129"/>
    </font>
    <font>
      <sz val="22"/>
      <color theme="9" tint="-0.249977111117893"/>
      <name val="Malgun Gothic"/>
      <family val="2"/>
      <charset val="129"/>
    </font>
    <font>
      <sz val="12"/>
      <color theme="0"/>
      <name val="Malgun Gothic"/>
      <family val="2"/>
      <charset val="129"/>
    </font>
    <font>
      <b/>
      <sz val="12"/>
      <color theme="0"/>
      <name val="Malgun Gothic"/>
      <family val="2"/>
      <charset val="129"/>
    </font>
    <font>
      <sz val="12"/>
      <color theme="1"/>
      <name val="Malgun Gothic"/>
      <family val="2"/>
      <charset val="129"/>
    </font>
    <font>
      <b/>
      <sz val="12"/>
      <color theme="9" tint="0.79998168889431442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i/>
      <sz val="12"/>
      <color theme="1"/>
      <name val="Malgun Gothic"/>
      <family val="2"/>
      <charset val="129"/>
    </font>
    <font>
      <b/>
      <sz val="12"/>
      <color rgb="FF000000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rgb="FF375623"/>
      <name val="Malgun Gothic"/>
      <family val="2"/>
      <charset val="129"/>
    </font>
    <font>
      <b/>
      <sz val="12"/>
      <color rgb="FF548235"/>
      <name val="Malgun Gothic"/>
      <family val="2"/>
      <charset val="129"/>
    </font>
    <font>
      <b/>
      <sz val="12"/>
      <color theme="9" tint="-0.249977111117893"/>
      <name val="Malgun Gothic"/>
      <family val="2"/>
      <charset val="129"/>
    </font>
    <font>
      <b/>
      <sz val="14"/>
      <color rgb="FF548235"/>
      <name val="Malgun Gothic"/>
      <family val="2"/>
      <charset val="129"/>
    </font>
    <font>
      <i/>
      <sz val="10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i/>
      <sz val="10"/>
      <color rgb="FF000000"/>
      <name val="Malgun Gothic"/>
      <family val="2"/>
      <charset val="129"/>
    </font>
    <font>
      <b/>
      <sz val="12"/>
      <color rgb="FF1F4E78"/>
      <name val="Malgun Gothic"/>
      <family val="2"/>
    </font>
    <font>
      <b/>
      <sz val="12"/>
      <color rgb="FFFFFFFF"/>
      <name val="Malgun Gothic"/>
      <family val="2"/>
      <charset val="129"/>
    </font>
    <font>
      <sz val="12"/>
      <color rgb="FF000000"/>
      <name val="Malgun Gothic"/>
      <family val="2"/>
      <charset val="129"/>
    </font>
    <font>
      <i/>
      <sz val="12"/>
      <color rgb="FF000000"/>
      <name val="Malgun Gothic"/>
      <family val="2"/>
      <charset val="129"/>
    </font>
    <font>
      <sz val="12"/>
      <color rgb="FFFFFFFF"/>
      <name val="Malgun Gothic"/>
      <family val="2"/>
      <charset val="129"/>
    </font>
    <font>
      <b/>
      <sz val="12"/>
      <color rgb="FFDDEBF7"/>
      <name val="Malgun Gothic"/>
      <family val="2"/>
    </font>
    <font>
      <i/>
      <sz val="11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Calibri"/>
      <family val="2"/>
    </font>
    <font>
      <b/>
      <sz val="14"/>
      <color theme="8" tint="-0.499984740745262"/>
      <name val="Malgun Gothic"/>
      <family val="2"/>
      <charset val="129"/>
    </font>
    <font>
      <b/>
      <sz val="12"/>
      <color rgb="FFD642B4"/>
      <name val="Malgun Gothic"/>
      <family val="2"/>
      <charset val="129"/>
    </font>
    <font>
      <b/>
      <sz val="12"/>
      <color rgb="FFF4DCEE"/>
      <name val="Malgun Gothic"/>
      <family val="2"/>
      <charset val="129"/>
    </font>
    <font>
      <b/>
      <sz val="12"/>
      <color rgb="FF13A183"/>
      <name val="Malgun Gothic"/>
      <family val="2"/>
    </font>
    <font>
      <b/>
      <sz val="12"/>
      <color rgb="FFE1F3EF"/>
      <name val="Malgun Gothic"/>
      <family val="2"/>
    </font>
    <font>
      <b/>
      <sz val="12"/>
      <color theme="7" tint="-0.499984740745262"/>
      <name val="Malgun Gothic"/>
      <family val="2"/>
    </font>
    <font>
      <b/>
      <sz val="12"/>
      <color rgb="FFFCFAF2"/>
      <name val="Malgun Gothic"/>
      <family val="2"/>
    </font>
    <font>
      <b/>
      <sz val="12"/>
      <color theme="7" tint="-0.249977111117893"/>
      <name val="Malgun Gothic"/>
      <family val="2"/>
    </font>
    <font>
      <b/>
      <sz val="12"/>
      <color rgb="FFF7F8E8"/>
      <name val="Malgun Gothic"/>
      <family val="2"/>
    </font>
    <font>
      <b/>
      <sz val="12"/>
      <color rgb="FFC00000"/>
      <name val="Malgun Gothic"/>
      <family val="2"/>
    </font>
    <font>
      <b/>
      <sz val="12"/>
      <color rgb="FFF3D9D9"/>
      <name val="Malgun Gothic"/>
      <family val="2"/>
    </font>
    <font>
      <b/>
      <sz val="12"/>
      <color theme="1"/>
      <name val="Malgun Gothic"/>
      <family val="2"/>
    </font>
    <font>
      <b/>
      <sz val="12"/>
      <color rgb="FFF1EDE3"/>
      <name val="Malgun Gothic"/>
      <family val="2"/>
    </font>
    <font>
      <b/>
      <sz val="12"/>
      <color theme="1" tint="0.34998626667073579"/>
      <name val="Malgun Gothic"/>
      <family val="2"/>
      <charset val="129"/>
    </font>
    <font>
      <b/>
      <sz val="12"/>
      <color rgb="FF595959"/>
      <name val="Malgun Gothic"/>
      <family val="2"/>
      <charset val="129"/>
    </font>
    <font>
      <sz val="11"/>
      <color rgb="FF000000"/>
      <name val="Calibri"/>
      <family val="2"/>
      <scheme val="minor"/>
    </font>
    <font>
      <b/>
      <sz val="12"/>
      <color rgb="FF996600"/>
      <name val="Malgun Gothic"/>
      <family val="2"/>
    </font>
    <font>
      <b/>
      <sz val="12"/>
      <color rgb="FF663300"/>
      <name val="Malgun Gothic"/>
      <family val="2"/>
      <charset val="129"/>
    </font>
    <font>
      <b/>
      <sz val="12"/>
      <color theme="5" tint="-0.499984740745262"/>
      <name val="Malgun Gothic"/>
      <family val="2"/>
      <charset val="129"/>
    </font>
    <font>
      <b/>
      <sz val="12"/>
      <color rgb="FFF1EDE3"/>
      <name val="Malgun Gothic"/>
      <family val="2"/>
      <charset val="129"/>
    </font>
    <font>
      <b/>
      <sz val="12"/>
      <color rgb="FF833B0C"/>
      <name val="Malgun Gothic"/>
      <family val="2"/>
      <charset val="129"/>
    </font>
    <font>
      <b/>
      <sz val="12"/>
      <color rgb="FF7030A0"/>
      <name val="Malgun Gothic"/>
      <family val="2"/>
      <charset val="129"/>
    </font>
    <font>
      <b/>
      <sz val="12"/>
      <color rgb="FFE9E0F0"/>
      <name val="Malgun Gothic"/>
      <family val="2"/>
      <charset val="129"/>
    </font>
    <font>
      <b/>
      <sz val="12"/>
      <color rgb="FFC00000"/>
      <name val="Malgun Gothic"/>
      <family val="2"/>
      <charset val="129"/>
    </font>
  </fonts>
  <fills count="7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2F75B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BD299A"/>
        <bgColor indexed="64"/>
      </patternFill>
    </fill>
    <fill>
      <patternFill patternType="solid">
        <fgColor rgb="FFF4AE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1BDF1"/>
        <bgColor indexed="64"/>
      </patternFill>
    </fill>
    <fill>
      <patternFill patternType="solid">
        <fgColor rgb="FFD642B4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1F3EF"/>
        <bgColor indexed="64"/>
      </patternFill>
    </fill>
    <fill>
      <patternFill patternType="solid">
        <fgColor rgb="FF13A183"/>
        <bgColor indexed="64"/>
      </patternFill>
    </fill>
    <fill>
      <patternFill patternType="solid">
        <fgColor rgb="FF99D7B9"/>
        <bgColor indexed="64"/>
      </patternFill>
    </fill>
    <fill>
      <patternFill patternType="solid">
        <fgColor rgb="FFB4E6DA"/>
        <bgColor indexed="64"/>
      </patternFill>
    </fill>
    <fill>
      <patternFill patternType="solid">
        <fgColor rgb="FF72C4A7"/>
        <bgColor indexed="64"/>
      </patternFill>
    </fill>
    <fill>
      <patternFill patternType="solid">
        <fgColor rgb="FF399983"/>
        <bgColor indexed="64"/>
      </patternFill>
    </fill>
    <fill>
      <patternFill patternType="solid">
        <fgColor rgb="FFFCFAF2"/>
        <bgColor indexed="64"/>
      </patternFill>
    </fill>
    <fill>
      <patternFill patternType="solid">
        <fgColor rgb="FFCDAB89"/>
        <bgColor indexed="64"/>
      </patternFill>
    </fill>
    <fill>
      <patternFill patternType="solid">
        <fgColor rgb="FFF0E3CE"/>
        <bgColor indexed="64"/>
      </patternFill>
    </fill>
    <fill>
      <patternFill patternType="solid">
        <fgColor rgb="FFFFF2D7"/>
        <bgColor indexed="64"/>
      </patternFill>
    </fill>
    <fill>
      <patternFill patternType="solid">
        <fgColor rgb="FFEEDEC5"/>
        <bgColor indexed="64"/>
      </patternFill>
    </fill>
    <fill>
      <patternFill patternType="solid">
        <fgColor rgb="FFF7F8E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EDE"/>
        <bgColor indexed="64"/>
      </patternFill>
    </fill>
    <fill>
      <patternFill patternType="solid">
        <fgColor rgb="FF9E1A1A"/>
        <bgColor indexed="64"/>
      </patternFill>
    </fill>
    <fill>
      <patternFill patternType="solid">
        <fgColor rgb="FFD77B7B"/>
        <bgColor indexed="64"/>
      </patternFill>
    </fill>
    <fill>
      <patternFill patternType="solid">
        <fgColor rgb="FFDCA4A4"/>
        <bgColor indexed="64"/>
      </patternFill>
    </fill>
    <fill>
      <patternFill patternType="solid">
        <fgColor rgb="FFF3D9D9"/>
        <bgColor indexed="64"/>
      </patternFill>
    </fill>
    <fill>
      <patternFill patternType="solid">
        <fgColor rgb="FFD066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1EDE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B29F80"/>
        <bgColor indexed="64"/>
      </patternFill>
    </fill>
    <fill>
      <patternFill patternType="solid">
        <fgColor rgb="FFCAB8A2"/>
        <bgColor indexed="64"/>
      </patternFill>
    </fill>
    <fill>
      <patternFill patternType="solid">
        <fgColor rgb="FFE9E3DB"/>
        <bgColor indexed="64"/>
      </patternFill>
    </fill>
    <fill>
      <patternFill patternType="solid">
        <fgColor rgb="FF9F8965"/>
        <bgColor indexed="64"/>
      </patternFill>
    </fill>
    <fill>
      <patternFill patternType="solid">
        <fgColor rgb="FFCAB8A1"/>
        <bgColor indexed="64"/>
      </patternFill>
    </fill>
    <fill>
      <patternFill patternType="solid">
        <fgColor rgb="FFDC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6614"/>
        <bgColor indexed="64"/>
      </patternFill>
    </fill>
    <fill>
      <patternFill patternType="solid">
        <fgColor rgb="FFEAAA70"/>
        <bgColor indexed="64"/>
      </patternFill>
    </fill>
    <fill>
      <patternFill patternType="solid">
        <fgColor rgb="FFFFD49F"/>
        <bgColor indexed="64"/>
      </patternFill>
    </fill>
    <fill>
      <patternFill patternType="solid">
        <fgColor rgb="FFECE4F0"/>
        <bgColor indexed="64"/>
      </patternFill>
    </fill>
    <fill>
      <patternFill patternType="solid">
        <fgColor rgb="FF815294"/>
        <bgColor indexed="64"/>
      </patternFill>
    </fill>
    <fill>
      <patternFill patternType="solid">
        <fgColor rgb="FFC1A1CF"/>
        <bgColor indexed="64"/>
      </patternFill>
    </fill>
    <fill>
      <patternFill patternType="solid">
        <fgColor rgb="FFDCCAE4"/>
        <bgColor indexed="64"/>
      </patternFill>
    </fill>
    <fill>
      <patternFill patternType="solid">
        <fgColor rgb="FFE9E0F0"/>
        <bgColor indexed="64"/>
      </patternFill>
    </fill>
    <fill>
      <patternFill patternType="solid">
        <fgColor rgb="FFA98FBF"/>
        <bgColor indexed="64"/>
      </patternFill>
    </fill>
    <fill>
      <patternFill patternType="solid">
        <fgColor rgb="FFF4DEDE"/>
        <bgColor indexed="64"/>
      </patternFill>
    </fill>
    <fill>
      <patternFill patternType="solid">
        <fgColor rgb="FFB30505"/>
        <bgColor indexed="64"/>
      </patternFill>
    </fill>
    <fill>
      <patternFill patternType="solid">
        <fgColor rgb="FF8AC985"/>
        <bgColor indexed="64"/>
      </patternFill>
    </fill>
    <fill>
      <patternFill patternType="solid">
        <fgColor rgb="FFB7D3B8"/>
        <bgColor indexed="64"/>
      </patternFill>
    </fill>
    <fill>
      <patternFill patternType="solid">
        <fgColor rgb="FFD7E5D8"/>
        <bgColor indexed="64"/>
      </patternFill>
    </fill>
    <fill>
      <patternFill patternType="solid">
        <fgColor rgb="FFE06E6E"/>
        <bgColor indexed="64"/>
      </patternFill>
    </fill>
  </fills>
  <borders count="10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dotted">
        <color theme="9" tint="-0.499984740745262"/>
      </bottom>
      <diagonal/>
    </border>
    <border>
      <left style="medium">
        <color theme="9" tint="-0.499984740745262"/>
      </left>
      <right/>
      <top style="dotted">
        <color theme="9" tint="-0.499984740745262"/>
      </top>
      <bottom style="dotted">
        <color theme="9" tint="-0.499984740745262"/>
      </bottom>
      <diagonal/>
    </border>
    <border>
      <left style="medium">
        <color theme="9" tint="-0.499984740745262"/>
      </left>
      <right/>
      <top style="dotted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dotted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dotted">
        <color theme="9" tint="-0.499984740745262"/>
      </top>
      <bottom style="dotted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dotted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 style="dotted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 style="dotted">
        <color theme="9" tint="-0.499984740745262"/>
      </bottom>
      <diagonal/>
    </border>
    <border>
      <left style="dotted">
        <color theme="9" tint="-0.499984740745262"/>
      </left>
      <right style="dotted">
        <color theme="9" tint="-0.499984740745262"/>
      </right>
      <top style="dotted">
        <color theme="9" tint="-0.499984740745262"/>
      </top>
      <bottom style="dotted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theme="9" tint="-0.499984740745262"/>
      </right>
      <top/>
      <bottom/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dotted">
        <color theme="9" tint="-0.499984740745262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 style="dotted">
        <color theme="9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hair">
        <color indexed="64"/>
      </right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 style="medium">
        <color rgb="FF000000"/>
      </top>
      <bottom/>
      <diagonal/>
    </border>
    <border>
      <left/>
      <right style="hair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indexed="64"/>
      </right>
      <top/>
      <bottom style="medium">
        <color rgb="FF000000"/>
      </bottom>
      <diagonal/>
    </border>
    <border>
      <left style="hair">
        <color indexed="64"/>
      </left>
      <right style="hair">
        <color indexed="64"/>
      </right>
      <top/>
      <bottom style="medium">
        <color rgb="FF000000"/>
      </bottom>
      <diagonal/>
    </border>
    <border>
      <left/>
      <right style="hair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hair">
        <color indexed="64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dotted">
        <color theme="9" tint="-0.499984740745262"/>
      </top>
      <bottom style="dotted">
        <color theme="9" tint="-0.499984740745262"/>
      </bottom>
      <diagonal/>
    </border>
    <border>
      <left/>
      <right style="medium">
        <color theme="9" tint="-0.499984740745262"/>
      </right>
      <top style="dotted">
        <color theme="9" tint="-0.499984740745262"/>
      </top>
      <bottom style="dotted">
        <color theme="9" tint="-0.499984740745262"/>
      </bottom>
      <diagonal/>
    </border>
    <border>
      <left style="thick">
        <color rgb="FF000000"/>
      </left>
      <right style="hair">
        <color indexed="64"/>
      </right>
      <top/>
      <bottom/>
      <diagonal/>
    </border>
    <border>
      <left style="hair">
        <color indexed="64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36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0" fontId="1" fillId="0" borderId="13" xfId="0" applyNumberFormat="1" applyFont="1" applyBorder="1"/>
    <xf numFmtId="10" fontId="1" fillId="0" borderId="14" xfId="0" applyNumberFormat="1" applyFont="1" applyBorder="1"/>
    <xf numFmtId="10" fontId="1" fillId="0" borderId="15" xfId="0" applyNumberFormat="1" applyFont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2" borderId="0" xfId="0" applyFont="1" applyFill="1"/>
    <xf numFmtId="0" fontId="1" fillId="5" borderId="0" xfId="0" applyFont="1" applyFill="1"/>
    <xf numFmtId="10" fontId="1" fillId="0" borderId="0" xfId="0" applyNumberFormat="1" applyFont="1"/>
    <xf numFmtId="10" fontId="1" fillId="3" borderId="0" xfId="0" applyNumberFormat="1" applyFont="1" applyFill="1"/>
    <xf numFmtId="0" fontId="2" fillId="4" borderId="18" xfId="0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0" fontId="1" fillId="0" borderId="24" xfId="0" applyNumberFormat="1" applyFont="1" applyBorder="1"/>
    <xf numFmtId="0" fontId="1" fillId="2" borderId="25" xfId="0" applyFont="1" applyFill="1" applyBorder="1" applyAlignment="1">
      <alignment horizontal="center" vertical="center"/>
    </xf>
    <xf numFmtId="10" fontId="1" fillId="0" borderId="27" xfId="0" applyNumberFormat="1" applyFont="1" applyBorder="1"/>
    <xf numFmtId="0" fontId="1" fillId="6" borderId="0" xfId="0" applyFont="1" applyFill="1"/>
    <xf numFmtId="0" fontId="3" fillId="6" borderId="0" xfId="0" applyFont="1" applyFill="1"/>
    <xf numFmtId="0" fontId="2" fillId="2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  <xf numFmtId="10" fontId="2" fillId="0" borderId="24" xfId="0" applyNumberFormat="1" applyFont="1" applyBorder="1"/>
    <xf numFmtId="0" fontId="4" fillId="3" borderId="23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1" fillId="6" borderId="30" xfId="0" applyFont="1" applyFill="1" applyBorder="1"/>
    <xf numFmtId="0" fontId="5" fillId="4" borderId="32" xfId="0" applyFont="1" applyFill="1" applyBorder="1"/>
    <xf numFmtId="0" fontId="5" fillId="4" borderId="31" xfId="0" applyFont="1" applyFill="1" applyBorder="1"/>
    <xf numFmtId="0" fontId="5" fillId="4" borderId="33" xfId="0" applyFont="1" applyFill="1" applyBorder="1"/>
    <xf numFmtId="10" fontId="1" fillId="7" borderId="28" xfId="0" applyNumberFormat="1" applyFont="1" applyFill="1" applyBorder="1" applyAlignment="1">
      <alignment horizontal="center" vertical="center"/>
    </xf>
    <xf numFmtId="10" fontId="1" fillId="7" borderId="29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6" fillId="4" borderId="31" xfId="0" applyFont="1" applyFill="1" applyBorder="1"/>
    <xf numFmtId="0" fontId="1" fillId="7" borderId="23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0" fillId="6" borderId="34" xfId="0" applyFill="1" applyBorder="1"/>
    <xf numFmtId="0" fontId="0" fillId="6" borderId="37" xfId="0" applyFill="1" applyBorder="1"/>
    <xf numFmtId="0" fontId="0" fillId="8" borderId="39" xfId="0" applyFill="1" applyBorder="1"/>
    <xf numFmtId="0" fontId="0" fillId="8" borderId="40" xfId="0" applyFill="1" applyBorder="1"/>
    <xf numFmtId="0" fontId="0" fillId="8" borderId="41" xfId="0" applyFill="1" applyBorder="1"/>
    <xf numFmtId="0" fontId="0" fillId="6" borderId="0" xfId="0" applyFill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16" fontId="1" fillId="7" borderId="23" xfId="0" applyNumberFormat="1" applyFont="1" applyFill="1" applyBorder="1" applyAlignment="1">
      <alignment horizontal="center"/>
    </xf>
    <xf numFmtId="16" fontId="4" fillId="7" borderId="23" xfId="0" applyNumberFormat="1" applyFont="1" applyFill="1" applyBorder="1" applyAlignment="1">
      <alignment horizontal="center"/>
    </xf>
    <xf numFmtId="0" fontId="7" fillId="0" borderId="0" xfId="0" applyFont="1"/>
    <xf numFmtId="0" fontId="8" fillId="5" borderId="23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9" fillId="7" borderId="28" xfId="0" applyFont="1" applyFill="1" applyBorder="1" applyAlignment="1">
      <alignment horizontal="center"/>
    </xf>
    <xf numFmtId="0" fontId="12" fillId="4" borderId="52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/>
    <xf numFmtId="0" fontId="14" fillId="4" borderId="49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/>
    </xf>
    <xf numFmtId="0" fontId="14" fillId="4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5" fillId="8" borderId="5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10" fontId="13" fillId="7" borderId="55" xfId="0" applyNumberFormat="1" applyFont="1" applyFill="1" applyBorder="1" applyAlignment="1">
      <alignment horizontal="center" vertical="center"/>
    </xf>
    <xf numFmtId="0" fontId="11" fillId="6" borderId="0" xfId="0" applyFont="1" applyFill="1"/>
    <xf numFmtId="0" fontId="15" fillId="7" borderId="55" xfId="0" applyFont="1" applyFill="1" applyBorder="1" applyAlignment="1">
      <alignment horizontal="center" vertical="center"/>
    </xf>
    <xf numFmtId="0" fontId="12" fillId="6" borderId="0" xfId="0" applyFont="1" applyFill="1"/>
    <xf numFmtId="0" fontId="13" fillId="7" borderId="55" xfId="0" applyFont="1" applyFill="1" applyBorder="1" applyAlignment="1">
      <alignment horizontal="center" vertical="center"/>
    </xf>
    <xf numFmtId="0" fontId="13" fillId="7" borderId="56" xfId="0" applyFont="1" applyFill="1" applyBorder="1" applyAlignment="1">
      <alignment horizontal="center" vertical="center"/>
    </xf>
    <xf numFmtId="0" fontId="15" fillId="8" borderId="46" xfId="0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/>
    </xf>
    <xf numFmtId="0" fontId="17" fillId="9" borderId="51" xfId="0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left" vertical="center"/>
    </xf>
    <xf numFmtId="0" fontId="11" fillId="4" borderId="53" xfId="0" applyFont="1" applyFill="1" applyBorder="1" applyAlignment="1">
      <alignment horizontal="left" vertical="center"/>
    </xf>
    <xf numFmtId="0" fontId="12" fillId="4" borderId="53" xfId="0" applyFont="1" applyFill="1" applyBorder="1" applyAlignment="1">
      <alignment horizontal="left" vertical="center"/>
    </xf>
    <xf numFmtId="0" fontId="11" fillId="4" borderId="54" xfId="0" applyFont="1" applyFill="1" applyBorder="1" applyAlignment="1">
      <alignment horizontal="left" vertical="center"/>
    </xf>
    <xf numFmtId="9" fontId="13" fillId="7" borderId="55" xfId="0" applyNumberFormat="1" applyFont="1" applyFill="1" applyBorder="1" applyAlignment="1">
      <alignment horizontal="center" vertical="center"/>
    </xf>
    <xf numFmtId="0" fontId="16" fillId="6" borderId="0" xfId="0" applyFont="1" applyFill="1"/>
    <xf numFmtId="0" fontId="16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vertical="top"/>
    </xf>
    <xf numFmtId="0" fontId="4" fillId="3" borderId="28" xfId="0" applyFont="1" applyFill="1" applyBorder="1" applyAlignment="1">
      <alignment horizontal="center" vertical="center"/>
    </xf>
    <xf numFmtId="0" fontId="4" fillId="7" borderId="42" xfId="0" applyFont="1" applyFill="1" applyBorder="1"/>
    <xf numFmtId="0" fontId="6" fillId="4" borderId="42" xfId="0" applyFont="1" applyFill="1" applyBorder="1"/>
    <xf numFmtId="0" fontId="5" fillId="4" borderId="42" xfId="0" applyFont="1" applyFill="1" applyBorder="1"/>
    <xf numFmtId="0" fontId="1" fillId="7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5" fillId="4" borderId="43" xfId="0" applyFont="1" applyFill="1" applyBorder="1"/>
    <xf numFmtId="16" fontId="1" fillId="7" borderId="28" xfId="0" applyNumberFormat="1" applyFont="1" applyFill="1" applyBorder="1" applyAlignment="1">
      <alignment horizontal="center"/>
    </xf>
    <xf numFmtId="20" fontId="4" fillId="7" borderId="23" xfId="0" applyNumberFormat="1" applyFont="1" applyFill="1" applyBorder="1" applyAlignment="1">
      <alignment horizontal="center"/>
    </xf>
    <xf numFmtId="0" fontId="1" fillId="7" borderId="44" xfId="0" applyFont="1" applyFill="1" applyBorder="1" applyAlignment="1">
      <alignment horizontal="center"/>
    </xf>
    <xf numFmtId="0" fontId="1" fillId="7" borderId="45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 vertical="center"/>
    </xf>
    <xf numFmtId="0" fontId="1" fillId="7" borderId="42" xfId="0" applyFont="1" applyFill="1" applyBorder="1"/>
    <xf numFmtId="0" fontId="13" fillId="2" borderId="57" xfId="0" applyFont="1" applyFill="1" applyBorder="1" applyAlignment="1">
      <alignment horizontal="center" vertical="center"/>
    </xf>
    <xf numFmtId="0" fontId="15" fillId="3" borderId="58" xfId="0" applyFont="1" applyFill="1" applyBorder="1" applyAlignment="1">
      <alignment horizontal="center" vertical="center"/>
    </xf>
    <xf numFmtId="9" fontId="13" fillId="7" borderId="58" xfId="0" applyNumberFormat="1" applyFont="1" applyFill="1" applyBorder="1" applyAlignment="1">
      <alignment horizontal="center" vertical="center"/>
    </xf>
    <xf numFmtId="0" fontId="15" fillId="7" borderId="58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vertical="center"/>
    </xf>
    <xf numFmtId="0" fontId="13" fillId="7" borderId="59" xfId="0" applyFont="1" applyFill="1" applyBorder="1" applyAlignment="1">
      <alignment horizontal="center" vertical="center"/>
    </xf>
    <xf numFmtId="0" fontId="15" fillId="3" borderId="60" xfId="0" applyFont="1" applyFill="1" applyBorder="1" applyAlignment="1">
      <alignment horizontal="center" vertical="center"/>
    </xf>
    <xf numFmtId="9" fontId="13" fillId="7" borderId="60" xfId="0" applyNumberFormat="1" applyFont="1" applyFill="1" applyBorder="1" applyAlignment="1">
      <alignment horizontal="center" vertical="center"/>
    </xf>
    <xf numFmtId="0" fontId="15" fillId="7" borderId="60" xfId="0" applyFont="1" applyFill="1" applyBorder="1" applyAlignment="1">
      <alignment horizontal="center" vertical="center"/>
    </xf>
    <xf numFmtId="0" fontId="13" fillId="7" borderId="60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5" fillId="3" borderId="62" xfId="0" applyFont="1" applyFill="1" applyBorder="1" applyAlignment="1">
      <alignment horizontal="center" vertical="center"/>
    </xf>
    <xf numFmtId="16" fontId="13" fillId="7" borderId="58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/>
    </xf>
    <xf numFmtId="10" fontId="13" fillId="7" borderId="58" xfId="0" applyNumberFormat="1" applyFont="1" applyFill="1" applyBorder="1" applyAlignment="1">
      <alignment horizontal="center" vertical="center"/>
    </xf>
    <xf numFmtId="0" fontId="15" fillId="3" borderId="63" xfId="0" applyFont="1" applyFill="1" applyBorder="1" applyAlignment="1">
      <alignment horizontal="center" vertical="center"/>
    </xf>
    <xf numFmtId="9" fontId="13" fillId="7" borderId="63" xfId="0" applyNumberFormat="1" applyFont="1" applyFill="1" applyBorder="1" applyAlignment="1">
      <alignment horizontal="center" vertical="center"/>
    </xf>
    <xf numFmtId="0" fontId="15" fillId="7" borderId="63" xfId="0" applyFont="1" applyFill="1" applyBorder="1" applyAlignment="1">
      <alignment horizontal="center" vertical="center"/>
    </xf>
    <xf numFmtId="0" fontId="13" fillId="7" borderId="63" xfId="0" applyFont="1" applyFill="1" applyBorder="1" applyAlignment="1">
      <alignment horizontal="center" vertical="center"/>
    </xf>
    <xf numFmtId="0" fontId="13" fillId="7" borderId="64" xfId="0" applyFont="1" applyFill="1" applyBorder="1" applyAlignment="1">
      <alignment horizontal="center" vertical="center"/>
    </xf>
    <xf numFmtId="0" fontId="15" fillId="3" borderId="65" xfId="0" applyFont="1" applyFill="1" applyBorder="1" applyAlignment="1">
      <alignment horizontal="center" vertical="center"/>
    </xf>
    <xf numFmtId="0" fontId="16" fillId="7" borderId="61" xfId="0" applyFont="1" applyFill="1" applyBorder="1" applyAlignment="1">
      <alignment horizontal="center" vertical="center"/>
    </xf>
    <xf numFmtId="20" fontId="13" fillId="7" borderId="60" xfId="0" applyNumberFormat="1" applyFont="1" applyFill="1" applyBorder="1" applyAlignment="1">
      <alignment horizontal="center" vertical="center"/>
    </xf>
    <xf numFmtId="0" fontId="17" fillId="5" borderId="65" xfId="0" applyFont="1" applyFill="1" applyBorder="1" applyAlignment="1">
      <alignment horizontal="center" vertical="center"/>
    </xf>
    <xf numFmtId="16" fontId="15" fillId="7" borderId="60" xfId="0" applyNumberFormat="1" applyFont="1" applyFill="1" applyBorder="1" applyAlignment="1">
      <alignment horizontal="center" vertical="center"/>
    </xf>
    <xf numFmtId="16" fontId="13" fillId="7" borderId="61" xfId="0" applyNumberFormat="1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0" fontId="17" fillId="3" borderId="6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2" fontId="1" fillId="7" borderId="56" xfId="0" applyNumberFormat="1" applyFont="1" applyFill="1" applyBorder="1" applyAlignment="1">
      <alignment horizontal="center" vertical="center"/>
    </xf>
    <xf numFmtId="18" fontId="1" fillId="7" borderId="61" xfId="0" applyNumberFormat="1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14" fillId="4" borderId="66" xfId="0" applyFont="1" applyFill="1" applyBorder="1" applyAlignment="1">
      <alignment horizontal="center" vertical="center"/>
    </xf>
    <xf numFmtId="0" fontId="12" fillId="4" borderId="68" xfId="0" applyFont="1" applyFill="1" applyBorder="1" applyAlignment="1">
      <alignment horizontal="center" vertical="center"/>
    </xf>
    <xf numFmtId="0" fontId="14" fillId="4" borderId="69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3" borderId="71" xfId="0" applyFont="1" applyFill="1" applyBorder="1" applyAlignment="1">
      <alignment horizontal="center" vertical="center"/>
    </xf>
    <xf numFmtId="0" fontId="15" fillId="3" borderId="73" xfId="0" applyFont="1" applyFill="1" applyBorder="1" applyAlignment="1">
      <alignment horizontal="center" vertical="center"/>
    </xf>
    <xf numFmtId="9" fontId="13" fillId="7" borderId="74" xfId="0" applyNumberFormat="1" applyFont="1" applyFill="1" applyBorder="1" applyAlignment="1">
      <alignment horizontal="center" vertical="center"/>
    </xf>
    <xf numFmtId="9" fontId="13" fillId="7" borderId="75" xfId="0" applyNumberFormat="1" applyFont="1" applyFill="1" applyBorder="1" applyAlignment="1">
      <alignment horizontal="center" vertical="center"/>
    </xf>
    <xf numFmtId="0" fontId="15" fillId="3" borderId="74" xfId="0" applyFont="1" applyFill="1" applyBorder="1" applyAlignment="1">
      <alignment horizontal="center" vertical="center"/>
    </xf>
    <xf numFmtId="0" fontId="15" fillId="3" borderId="75" xfId="0" applyFont="1" applyFill="1" applyBorder="1" applyAlignment="1">
      <alignment horizontal="center" vertical="center"/>
    </xf>
    <xf numFmtId="0" fontId="13" fillId="7" borderId="74" xfId="0" applyFont="1" applyFill="1" applyBorder="1" applyAlignment="1">
      <alignment horizontal="center" vertical="center"/>
    </xf>
    <xf numFmtId="18" fontId="1" fillId="7" borderId="76" xfId="0" applyNumberFormat="1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/>
    </xf>
    <xf numFmtId="18" fontId="1" fillId="7" borderId="78" xfId="0" applyNumberFormat="1" applyFont="1" applyFill="1" applyBorder="1" applyAlignment="1">
      <alignment horizontal="center" vertical="center"/>
    </xf>
    <xf numFmtId="18" fontId="1" fillId="7" borderId="77" xfId="0" applyNumberFormat="1" applyFont="1" applyFill="1" applyBorder="1" applyAlignment="1">
      <alignment horizontal="center" vertical="center"/>
    </xf>
    <xf numFmtId="0" fontId="1" fillId="7" borderId="79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" fillId="7" borderId="75" xfId="0" applyFont="1" applyFill="1" applyBorder="1" applyAlignment="1">
      <alignment horizontal="center" vertical="center"/>
    </xf>
    <xf numFmtId="0" fontId="15" fillId="7" borderId="74" xfId="0" applyFont="1" applyFill="1" applyBorder="1" applyAlignment="1">
      <alignment horizontal="center" vertical="center"/>
    </xf>
    <xf numFmtId="0" fontId="1" fillId="7" borderId="76" xfId="0" applyFont="1" applyFill="1" applyBorder="1" applyAlignment="1">
      <alignment horizontal="center" vertical="center"/>
    </xf>
    <xf numFmtId="20" fontId="18" fillId="7" borderId="77" xfId="0" applyNumberFormat="1" applyFont="1" applyFill="1" applyBorder="1" applyAlignment="1">
      <alignment horizontal="center" vertical="center"/>
    </xf>
    <xf numFmtId="16" fontId="1" fillId="7" borderId="77" xfId="0" applyNumberFormat="1" applyFont="1" applyFill="1" applyBorder="1" applyAlignment="1">
      <alignment horizontal="center" vertical="center"/>
    </xf>
    <xf numFmtId="0" fontId="13" fillId="2" borderId="80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3" borderId="71" xfId="0" applyFont="1" applyFill="1" applyBorder="1" applyAlignment="1">
      <alignment horizontal="center" vertical="center"/>
    </xf>
    <xf numFmtId="0" fontId="13" fillId="7" borderId="77" xfId="0" applyFont="1" applyFill="1" applyBorder="1" applyAlignment="1">
      <alignment horizontal="center" vertical="center"/>
    </xf>
    <xf numFmtId="2" fontId="1" fillId="7" borderId="79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5" fillId="4" borderId="71" xfId="0" applyFont="1" applyFill="1" applyBorder="1" applyAlignment="1">
      <alignment horizontal="center" vertical="center"/>
    </xf>
    <xf numFmtId="16" fontId="13" fillId="7" borderId="74" xfId="0" applyNumberFormat="1" applyFont="1" applyFill="1" applyBorder="1" applyAlignment="1">
      <alignment horizontal="center" vertical="center"/>
    </xf>
    <xf numFmtId="16" fontId="13" fillId="7" borderId="76" xfId="0" applyNumberFormat="1" applyFont="1" applyFill="1" applyBorder="1" applyAlignment="1">
      <alignment horizontal="center" vertical="center"/>
    </xf>
    <xf numFmtId="18" fontId="13" fillId="7" borderId="77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10" fontId="13" fillId="7" borderId="74" xfId="0" applyNumberFormat="1" applyFont="1" applyFill="1" applyBorder="1" applyAlignment="1">
      <alignment horizontal="center" vertical="center"/>
    </xf>
    <xf numFmtId="10" fontId="13" fillId="7" borderId="75" xfId="0" applyNumberFormat="1" applyFont="1" applyFill="1" applyBorder="1" applyAlignment="1">
      <alignment horizontal="center" vertical="center"/>
    </xf>
    <xf numFmtId="0" fontId="13" fillId="7" borderId="76" xfId="0" applyFont="1" applyFill="1" applyBorder="1" applyAlignment="1">
      <alignment horizontal="center" vertical="center"/>
    </xf>
    <xf numFmtId="0" fontId="13" fillId="7" borderId="79" xfId="0" applyFont="1" applyFill="1" applyBorder="1" applyAlignment="1">
      <alignment horizontal="center" vertical="center"/>
    </xf>
    <xf numFmtId="0" fontId="13" fillId="2" borderId="8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" fillId="7" borderId="74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9" fillId="6" borderId="0" xfId="0" applyFont="1" applyFill="1"/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8" fontId="18" fillId="7" borderId="77" xfId="0" applyNumberFormat="1" applyFont="1" applyFill="1" applyBorder="1" applyAlignment="1">
      <alignment horizontal="center" vertical="center"/>
    </xf>
    <xf numFmtId="0" fontId="22" fillId="6" borderId="0" xfId="0" applyFont="1" applyFill="1" applyAlignment="1">
      <alignment vertical="top"/>
    </xf>
    <xf numFmtId="0" fontId="23" fillId="6" borderId="0" xfId="0" applyFont="1" applyFill="1" applyAlignment="1">
      <alignment vertical="center"/>
    </xf>
    <xf numFmtId="0" fontId="24" fillId="6" borderId="0" xfId="0" applyFont="1" applyFill="1"/>
    <xf numFmtId="0" fontId="25" fillId="10" borderId="0" xfId="0" applyFont="1" applyFill="1" applyAlignment="1">
      <alignment vertical="center"/>
    </xf>
    <xf numFmtId="0" fontId="24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5" fillId="3" borderId="70" xfId="0" quotePrefix="1" applyFont="1" applyFill="1" applyBorder="1" applyAlignment="1">
      <alignment horizontal="center" vertical="center"/>
    </xf>
    <xf numFmtId="0" fontId="15" fillId="3" borderId="71" xfId="0" quotePrefix="1" applyFont="1" applyFill="1" applyBorder="1" applyAlignment="1">
      <alignment horizontal="center" vertical="center"/>
    </xf>
    <xf numFmtId="0" fontId="15" fillId="3" borderId="72" xfId="0" quotePrefix="1" applyFont="1" applyFill="1" applyBorder="1" applyAlignment="1">
      <alignment horizontal="center" vertical="center"/>
    </xf>
    <xf numFmtId="0" fontId="15" fillId="3" borderId="60" xfId="0" quotePrefix="1" applyFont="1" applyFill="1" applyBorder="1" applyAlignment="1">
      <alignment horizontal="center" vertical="center"/>
    </xf>
    <xf numFmtId="0" fontId="15" fillId="3" borderId="75" xfId="0" quotePrefix="1" applyFont="1" applyFill="1" applyBorder="1" applyAlignment="1">
      <alignment horizontal="center" vertical="center"/>
    </xf>
    <xf numFmtId="0" fontId="17" fillId="3" borderId="70" xfId="0" quotePrefix="1" applyFont="1" applyFill="1" applyBorder="1" applyAlignment="1">
      <alignment horizontal="center" vertical="center"/>
    </xf>
    <xf numFmtId="0" fontId="17" fillId="3" borderId="71" xfId="0" quotePrefix="1" applyFont="1" applyFill="1" applyBorder="1" applyAlignment="1">
      <alignment horizontal="center" vertical="center"/>
    </xf>
    <xf numFmtId="20" fontId="13" fillId="7" borderId="0" xfId="0" applyNumberFormat="1" applyFont="1" applyFill="1" applyAlignment="1">
      <alignment horizontal="center" vertical="center"/>
    </xf>
    <xf numFmtId="0" fontId="0" fillId="11" borderId="37" xfId="0" applyFill="1" applyBorder="1"/>
    <xf numFmtId="0" fontId="0" fillId="11" borderId="34" xfId="0" applyFill="1" applyBorder="1"/>
    <xf numFmtId="0" fontId="0" fillId="11" borderId="0" xfId="0" applyFill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2" borderId="37" xfId="0" applyFill="1" applyBorder="1"/>
    <xf numFmtId="0" fontId="0" fillId="12" borderId="34" xfId="0" applyFill="1" applyBorder="1"/>
    <xf numFmtId="0" fontId="0" fillId="12" borderId="0" xfId="0" applyFill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15" fillId="3" borderId="70" xfId="0" applyFont="1" applyFill="1" applyBorder="1" applyAlignment="1">
      <alignment horizontal="center" vertical="center"/>
    </xf>
    <xf numFmtId="0" fontId="13" fillId="2" borderId="47" xfId="0" quotePrefix="1" applyFont="1" applyFill="1" applyBorder="1" applyAlignment="1">
      <alignment horizontal="center" vertical="center"/>
    </xf>
    <xf numFmtId="20" fontId="1" fillId="7" borderId="77" xfId="0" applyNumberFormat="1" applyFont="1" applyFill="1" applyBorder="1" applyAlignment="1">
      <alignment horizontal="center" vertical="center"/>
    </xf>
    <xf numFmtId="16" fontId="1" fillId="7" borderId="76" xfId="0" applyNumberFormat="1" applyFont="1" applyFill="1" applyBorder="1" applyAlignment="1">
      <alignment horizontal="center" vertical="center"/>
    </xf>
    <xf numFmtId="164" fontId="1" fillId="7" borderId="79" xfId="0" applyNumberFormat="1" applyFont="1" applyFill="1" applyBorder="1" applyAlignment="1">
      <alignment horizontal="center" vertical="center"/>
    </xf>
    <xf numFmtId="0" fontId="9" fillId="6" borderId="0" xfId="0" applyFont="1" applyFill="1"/>
    <xf numFmtId="0" fontId="15" fillId="4" borderId="73" xfId="0" applyFont="1" applyFill="1" applyBorder="1" applyAlignment="1">
      <alignment horizontal="center" vertical="center"/>
    </xf>
    <xf numFmtId="0" fontId="15" fillId="7" borderId="75" xfId="0" applyFont="1" applyFill="1" applyBorder="1" applyAlignment="1">
      <alignment horizontal="center" vertical="center"/>
    </xf>
    <xf numFmtId="0" fontId="17" fillId="8" borderId="73" xfId="0" applyFont="1" applyFill="1" applyBorder="1" applyAlignment="1">
      <alignment horizontal="center" vertical="center"/>
    </xf>
    <xf numFmtId="0" fontId="17" fillId="8" borderId="75" xfId="0" applyFont="1" applyFill="1" applyBorder="1" applyAlignment="1">
      <alignment horizontal="center" vertical="center"/>
    </xf>
    <xf numFmtId="0" fontId="17" fillId="8" borderId="79" xfId="0" applyFont="1" applyFill="1" applyBorder="1" applyAlignment="1">
      <alignment horizontal="center" vertical="center"/>
    </xf>
    <xf numFmtId="0" fontId="15" fillId="4" borderId="60" xfId="0" quotePrefix="1" applyFont="1" applyFill="1" applyBorder="1" applyAlignment="1">
      <alignment horizontal="center" vertical="center"/>
    </xf>
    <xf numFmtId="0" fontId="15" fillId="4" borderId="75" xfId="0" quotePrefix="1" applyFont="1" applyFill="1" applyBorder="1" applyAlignment="1">
      <alignment horizontal="center" vertical="center"/>
    </xf>
    <xf numFmtId="0" fontId="17" fillId="3" borderId="72" xfId="0" quotePrefix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3" fillId="7" borderId="75" xfId="0" applyFont="1" applyFill="1" applyBorder="1" applyAlignment="1">
      <alignment horizontal="center" vertical="center"/>
    </xf>
    <xf numFmtId="0" fontId="0" fillId="7" borderId="0" xfId="0" applyFill="1"/>
    <xf numFmtId="0" fontId="13" fillId="2" borderId="81" xfId="0" quotePrefix="1" applyFont="1" applyFill="1" applyBorder="1" applyAlignment="1">
      <alignment horizontal="center" vertical="center"/>
    </xf>
    <xf numFmtId="0" fontId="13" fillId="2" borderId="3" xfId="0" quotePrefix="1" applyFont="1" applyFill="1" applyBorder="1" applyAlignment="1">
      <alignment horizontal="center" vertical="center"/>
    </xf>
    <xf numFmtId="0" fontId="15" fillId="4" borderId="71" xfId="0" quotePrefix="1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3" borderId="18" xfId="0" quotePrefix="1" applyFont="1" applyFill="1" applyBorder="1" applyAlignment="1">
      <alignment horizontal="center" vertical="center"/>
    </xf>
    <xf numFmtId="0" fontId="15" fillId="3" borderId="74" xfId="0" quotePrefix="1" applyFont="1" applyFill="1" applyBorder="1" applyAlignment="1">
      <alignment horizontal="center" vertical="center"/>
    </xf>
    <xf numFmtId="0" fontId="15" fillId="3" borderId="0" xfId="0" quotePrefix="1" applyFont="1" applyFill="1" applyAlignment="1">
      <alignment horizontal="center" vertical="center"/>
    </xf>
    <xf numFmtId="0" fontId="15" fillId="3" borderId="63" xfId="0" quotePrefix="1" applyFont="1" applyFill="1" applyBorder="1" applyAlignment="1">
      <alignment horizontal="center" vertical="center"/>
    </xf>
    <xf numFmtId="9" fontId="13" fillId="7" borderId="74" xfId="0" quotePrefix="1" applyNumberFormat="1" applyFont="1" applyFill="1" applyBorder="1" applyAlignment="1">
      <alignment horizontal="center" vertical="center"/>
    </xf>
    <xf numFmtId="9" fontId="13" fillId="7" borderId="60" xfId="0" quotePrefix="1" applyNumberFormat="1" applyFont="1" applyFill="1" applyBorder="1" applyAlignment="1">
      <alignment horizontal="center" vertical="center"/>
    </xf>
    <xf numFmtId="9" fontId="13" fillId="7" borderId="63" xfId="0" quotePrefix="1" applyNumberFormat="1" applyFont="1" applyFill="1" applyBorder="1" applyAlignment="1">
      <alignment horizontal="center" vertical="center"/>
    </xf>
    <xf numFmtId="10" fontId="13" fillId="7" borderId="74" xfId="0" quotePrefix="1" applyNumberFormat="1" applyFont="1" applyFill="1" applyBorder="1" applyAlignment="1">
      <alignment horizontal="center" vertical="center"/>
    </xf>
    <xf numFmtId="10" fontId="13" fillId="7" borderId="75" xfId="0" quotePrefix="1" applyNumberFormat="1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15" fillId="4" borderId="75" xfId="0" applyFont="1" applyFill="1" applyBorder="1" applyAlignment="1">
      <alignment horizontal="center" vertical="center"/>
    </xf>
    <xf numFmtId="0" fontId="15" fillId="4" borderId="74" xfId="0" applyFont="1" applyFill="1" applyBorder="1" applyAlignment="1">
      <alignment horizontal="center" vertical="center"/>
    </xf>
    <xf numFmtId="165" fontId="13" fillId="7" borderId="60" xfId="0" applyNumberFormat="1" applyFont="1" applyFill="1" applyBorder="1" applyAlignment="1">
      <alignment horizontal="center" vertical="center"/>
    </xf>
    <xf numFmtId="0" fontId="17" fillId="4" borderId="7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7" fillId="4" borderId="72" xfId="0" quotePrefix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0" fontId="26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7" fillId="14" borderId="52" xfId="0" applyFont="1" applyFill="1" applyBorder="1" applyAlignment="1">
      <alignment horizontal="center" vertical="center"/>
    </xf>
    <xf numFmtId="0" fontId="27" fillId="14" borderId="68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7" fillId="14" borderId="3" xfId="0" applyFont="1" applyFill="1" applyBorder="1" applyAlignment="1">
      <alignment horizontal="center" vertical="center"/>
    </xf>
    <xf numFmtId="0" fontId="27" fillId="14" borderId="2" xfId="0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9" fillId="10" borderId="0" xfId="0" applyFont="1" applyFill="1" applyAlignment="1">
      <alignment vertical="center"/>
    </xf>
    <xf numFmtId="0" fontId="30" fillId="14" borderId="47" xfId="0" applyFont="1" applyFill="1" applyBorder="1" applyAlignment="1">
      <alignment vertical="center"/>
    </xf>
    <xf numFmtId="0" fontId="31" fillId="14" borderId="50" xfId="0" applyFont="1" applyFill="1" applyBorder="1" applyAlignment="1">
      <alignment horizontal="center" vertical="center"/>
    </xf>
    <xf numFmtId="0" fontId="31" fillId="14" borderId="46" xfId="0" applyFont="1" applyFill="1" applyBorder="1" applyAlignment="1">
      <alignment horizontal="center" vertical="center"/>
    </xf>
    <xf numFmtId="0" fontId="31" fillId="14" borderId="66" xfId="0" applyFont="1" applyFill="1" applyBorder="1" applyAlignment="1">
      <alignment horizontal="center" vertical="center"/>
    </xf>
    <xf numFmtId="0" fontId="31" fillId="14" borderId="69" xfId="0" applyFont="1" applyFill="1" applyBorder="1" applyAlignment="1">
      <alignment horizontal="center" vertical="center"/>
    </xf>
    <xf numFmtId="0" fontId="31" fillId="14" borderId="56" xfId="0" applyFont="1" applyFill="1" applyBorder="1" applyAlignment="1">
      <alignment horizontal="center" vertical="center"/>
    </xf>
    <xf numFmtId="0" fontId="31" fillId="14" borderId="48" xfId="0" applyFont="1" applyFill="1" applyBorder="1" applyAlignment="1">
      <alignment horizontal="center" vertical="center"/>
    </xf>
    <xf numFmtId="0" fontId="28" fillId="10" borderId="0" xfId="0" applyFont="1" applyFill="1" applyAlignment="1">
      <alignment vertical="center"/>
    </xf>
    <xf numFmtId="0" fontId="30" fillId="14" borderId="53" xfId="0" applyFont="1" applyFill="1" applyBorder="1" applyAlignment="1">
      <alignment vertical="center"/>
    </xf>
    <xf numFmtId="0" fontId="28" fillId="15" borderId="80" xfId="0" applyFont="1" applyFill="1" applyBorder="1" applyAlignment="1">
      <alignment horizontal="center" vertical="center"/>
    </xf>
    <xf numFmtId="0" fontId="28" fillId="15" borderId="55" xfId="0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28" fillId="15" borderId="67" xfId="0" applyFont="1" applyFill="1" applyBorder="1" applyAlignment="1">
      <alignment horizontal="center" vertical="center"/>
    </xf>
    <xf numFmtId="0" fontId="32" fillId="10" borderId="0" xfId="0" applyFont="1" applyFill="1" applyAlignment="1">
      <alignment vertical="center"/>
    </xf>
    <xf numFmtId="0" fontId="27" fillId="14" borderId="53" xfId="0" applyFont="1" applyFill="1" applyBorder="1" applyAlignment="1">
      <alignment vertical="center"/>
    </xf>
    <xf numFmtId="0" fontId="17" fillId="16" borderId="18" xfId="0" applyFont="1" applyFill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/>
    </xf>
    <xf numFmtId="0" fontId="17" fillId="16" borderId="72" xfId="0" applyFont="1" applyFill="1" applyBorder="1" applyAlignment="1">
      <alignment horizontal="center" vertical="center"/>
    </xf>
    <xf numFmtId="0" fontId="17" fillId="16" borderId="75" xfId="0" applyFont="1" applyFill="1" applyBorder="1" applyAlignment="1">
      <alignment horizontal="center" vertical="center"/>
    </xf>
    <xf numFmtId="0" fontId="30" fillId="14" borderId="85" xfId="0" applyFont="1" applyFill="1" applyBorder="1" applyAlignment="1">
      <alignment vertical="center"/>
    </xf>
    <xf numFmtId="0" fontId="28" fillId="10" borderId="63" xfId="0" applyFont="1" applyFill="1" applyBorder="1" applyAlignment="1">
      <alignment horizontal="center" vertical="center"/>
    </xf>
    <xf numFmtId="0" fontId="28" fillId="10" borderId="75" xfId="0" applyFont="1" applyFill="1" applyBorder="1" applyAlignment="1">
      <alignment horizontal="center" vertical="center"/>
    </xf>
    <xf numFmtId="0" fontId="30" fillId="10" borderId="0" xfId="0" applyFont="1" applyFill="1" applyAlignment="1">
      <alignment vertical="center"/>
    </xf>
    <xf numFmtId="0" fontId="17" fillId="16" borderId="74" xfId="0" applyFont="1" applyFill="1" applyBorder="1" applyAlignment="1">
      <alignment horizontal="center" vertical="center"/>
    </xf>
    <xf numFmtId="0" fontId="17" fillId="16" borderId="63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33" fillId="10" borderId="0" xfId="0" applyFont="1" applyFill="1" applyAlignment="1">
      <alignment vertical="center"/>
    </xf>
    <xf numFmtId="0" fontId="28" fillId="10" borderId="74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6" xfId="0" applyFont="1" applyFill="1" applyBorder="1" applyAlignment="1">
      <alignment horizontal="center" vertical="center"/>
    </xf>
    <xf numFmtId="0" fontId="30" fillId="14" borderId="54" xfId="0" applyFont="1" applyFill="1" applyBorder="1" applyAlignment="1">
      <alignment vertical="center"/>
    </xf>
    <xf numFmtId="0" fontId="18" fillId="10" borderId="76" xfId="0" applyFont="1" applyFill="1" applyBorder="1" applyAlignment="1">
      <alignment horizontal="center" vertical="center"/>
    </xf>
    <xf numFmtId="0" fontId="18" fillId="10" borderId="78" xfId="0" applyFont="1" applyFill="1" applyBorder="1" applyAlignment="1">
      <alignment horizontal="center" vertical="center"/>
    </xf>
    <xf numFmtId="0" fontId="18" fillId="10" borderId="63" xfId="0" applyFont="1" applyFill="1" applyBorder="1" applyAlignment="1">
      <alignment horizontal="center" vertical="center"/>
    </xf>
    <xf numFmtId="0" fontId="18" fillId="10" borderId="75" xfId="0" applyFont="1" applyFill="1" applyBorder="1" applyAlignment="1">
      <alignment horizontal="center" vertical="center"/>
    </xf>
    <xf numFmtId="0" fontId="17" fillId="17" borderId="79" xfId="0" applyFont="1" applyFill="1" applyBorder="1" applyAlignment="1">
      <alignment horizontal="center" vertical="center"/>
    </xf>
    <xf numFmtId="0" fontId="28" fillId="15" borderId="84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8" fillId="15" borderId="94" xfId="0" applyFont="1" applyFill="1" applyBorder="1" applyAlignment="1">
      <alignment horizontal="center" vertical="center"/>
    </xf>
    <xf numFmtId="0" fontId="28" fillId="15" borderId="96" xfId="0" applyFont="1" applyFill="1" applyBorder="1" applyAlignment="1">
      <alignment horizontal="center" vertical="center"/>
    </xf>
    <xf numFmtId="0" fontId="28" fillId="15" borderId="36" xfId="0" applyFont="1" applyFill="1" applyBorder="1" applyAlignment="1">
      <alignment horizontal="center" vertical="center"/>
    </xf>
    <xf numFmtId="0" fontId="28" fillId="15" borderId="89" xfId="0" applyFont="1" applyFill="1" applyBorder="1" applyAlignment="1">
      <alignment horizontal="center" vertical="center"/>
    </xf>
    <xf numFmtId="0" fontId="28" fillId="15" borderId="97" xfId="0" applyFont="1" applyFill="1" applyBorder="1" applyAlignment="1">
      <alignment horizontal="center" vertical="center"/>
    </xf>
    <xf numFmtId="0" fontId="28" fillId="15" borderId="3" xfId="0" applyFont="1" applyFill="1" applyBorder="1" applyAlignment="1">
      <alignment horizontal="center" vertical="center"/>
    </xf>
    <xf numFmtId="0" fontId="17" fillId="17" borderId="73" xfId="0" applyFont="1" applyFill="1" applyBorder="1" applyAlignment="1">
      <alignment horizontal="center" vertical="center"/>
    </xf>
    <xf numFmtId="0" fontId="17" fillId="10" borderId="63" xfId="0" applyFont="1" applyFill="1" applyBorder="1" applyAlignment="1">
      <alignment horizontal="center" vertical="center"/>
    </xf>
    <xf numFmtId="0" fontId="17" fillId="10" borderId="75" xfId="0" applyFont="1" applyFill="1" applyBorder="1" applyAlignment="1">
      <alignment horizontal="center" vertical="center"/>
    </xf>
    <xf numFmtId="0" fontId="17" fillId="17" borderId="75" xfId="0" applyFont="1" applyFill="1" applyBorder="1" applyAlignment="1">
      <alignment horizontal="center" vertical="center"/>
    </xf>
    <xf numFmtId="0" fontId="17" fillId="16" borderId="73" xfId="0" applyFont="1" applyFill="1" applyBorder="1" applyAlignment="1">
      <alignment horizontal="center" vertical="center"/>
    </xf>
    <xf numFmtId="0" fontId="28" fillId="10" borderId="60" xfId="0" applyFont="1" applyFill="1" applyBorder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0" fontId="17" fillId="16" borderId="70" xfId="0" applyFont="1" applyFill="1" applyBorder="1" applyAlignment="1">
      <alignment horizontal="center" vertical="center"/>
    </xf>
    <xf numFmtId="0" fontId="17" fillId="10" borderId="74" xfId="0" applyFont="1" applyFill="1" applyBorder="1" applyAlignment="1">
      <alignment horizontal="center" vertical="center"/>
    </xf>
    <xf numFmtId="0" fontId="18" fillId="10" borderId="74" xfId="0" applyFont="1" applyFill="1" applyBorder="1" applyAlignment="1">
      <alignment horizontal="center" vertical="center"/>
    </xf>
    <xf numFmtId="0" fontId="34" fillId="10" borderId="0" xfId="0" applyFont="1" applyFill="1" applyAlignment="1">
      <alignment vertical="center"/>
    </xf>
    <xf numFmtId="0" fontId="28" fillId="10" borderId="74" xfId="0" applyFont="1" applyFill="1" applyBorder="1" applyAlignment="1">
      <alignment vertical="center"/>
    </xf>
    <xf numFmtId="0" fontId="28" fillId="10" borderId="75" xfId="0" applyFont="1" applyFill="1" applyBorder="1" applyAlignment="1">
      <alignment vertical="center"/>
    </xf>
    <xf numFmtId="0" fontId="18" fillId="10" borderId="76" xfId="0" applyFont="1" applyFill="1" applyBorder="1" applyAlignment="1">
      <alignment vertical="center"/>
    </xf>
    <xf numFmtId="0" fontId="18" fillId="10" borderId="79" xfId="0" applyFont="1" applyFill="1" applyBorder="1" applyAlignment="1">
      <alignment vertical="center"/>
    </xf>
    <xf numFmtId="0" fontId="31" fillId="18" borderId="56" xfId="0" applyFont="1" applyFill="1" applyBorder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8" borderId="93" xfId="0" applyFont="1" applyFill="1" applyBorder="1" applyAlignment="1">
      <alignment horizontal="center" vertical="center"/>
    </xf>
    <xf numFmtId="0" fontId="17" fillId="18" borderId="87" xfId="0" applyFont="1" applyFill="1" applyBorder="1" applyAlignment="1">
      <alignment horizontal="center" vertical="center"/>
    </xf>
    <xf numFmtId="0" fontId="15" fillId="18" borderId="74" xfId="0" applyFont="1" applyFill="1" applyBorder="1" applyAlignment="1">
      <alignment horizontal="center" vertical="center"/>
    </xf>
    <xf numFmtId="0" fontId="15" fillId="18" borderId="63" xfId="0" applyFont="1" applyFill="1" applyBorder="1" applyAlignment="1">
      <alignment horizontal="center" vertical="center"/>
    </xf>
    <xf numFmtId="0" fontId="17" fillId="18" borderId="74" xfId="0" applyFont="1" applyFill="1" applyBorder="1" applyAlignment="1">
      <alignment horizontal="center" vertical="center"/>
    </xf>
    <xf numFmtId="0" fontId="17" fillId="18" borderId="63" xfId="0" applyFont="1" applyFill="1" applyBorder="1" applyAlignment="1">
      <alignment horizontal="center" vertical="center"/>
    </xf>
    <xf numFmtId="9" fontId="28" fillId="10" borderId="63" xfId="0" applyNumberFormat="1" applyFont="1" applyFill="1" applyBorder="1" applyAlignment="1">
      <alignment horizontal="center" vertical="center"/>
    </xf>
    <xf numFmtId="9" fontId="28" fillId="10" borderId="0" xfId="0" applyNumberFormat="1" applyFont="1" applyFill="1" applyAlignment="1">
      <alignment horizontal="center" vertical="center"/>
    </xf>
    <xf numFmtId="9" fontId="28" fillId="10" borderId="88" xfId="0" applyNumberFormat="1" applyFont="1" applyFill="1" applyBorder="1" applyAlignment="1">
      <alignment horizontal="center" vertical="center"/>
    </xf>
    <xf numFmtId="9" fontId="28" fillId="10" borderId="75" xfId="0" applyNumberFormat="1" applyFont="1" applyFill="1" applyBorder="1" applyAlignment="1">
      <alignment horizontal="center" vertical="center"/>
    </xf>
    <xf numFmtId="9" fontId="28" fillId="10" borderId="16" xfId="0" applyNumberFormat="1" applyFont="1" applyFill="1" applyBorder="1" applyAlignment="1">
      <alignment horizontal="center" vertical="center"/>
    </xf>
    <xf numFmtId="9" fontId="28" fillId="10" borderId="93" xfId="0" applyNumberFormat="1" applyFont="1" applyFill="1" applyBorder="1" applyAlignment="1">
      <alignment horizontal="center" vertical="center"/>
    </xf>
    <xf numFmtId="9" fontId="28" fillId="10" borderId="74" xfId="0" applyNumberFormat="1" applyFont="1" applyFill="1" applyBorder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0" fillId="7" borderId="0" xfId="0" applyFill="1" applyAlignment="1">
      <alignment horizontal="center"/>
    </xf>
    <xf numFmtId="0" fontId="0" fillId="19" borderId="0" xfId="0" applyFill="1"/>
    <xf numFmtId="0" fontId="36" fillId="19" borderId="0" xfId="0" applyFont="1" applyFill="1" applyAlignment="1">
      <alignment horizontal="center" vertical="center"/>
    </xf>
    <xf numFmtId="0" fontId="36" fillId="19" borderId="0" xfId="0" applyFont="1" applyFill="1" applyAlignment="1">
      <alignment horizontal="left" vertical="center"/>
    </xf>
    <xf numFmtId="0" fontId="37" fillId="20" borderId="49" xfId="0" applyFont="1" applyFill="1" applyBorder="1" applyAlignment="1">
      <alignment horizontal="center" vertical="center"/>
    </xf>
    <xf numFmtId="0" fontId="37" fillId="20" borderId="46" xfId="0" applyFont="1" applyFill="1" applyBorder="1" applyAlignment="1">
      <alignment horizontal="center" vertical="center"/>
    </xf>
    <xf numFmtId="0" fontId="37" fillId="20" borderId="66" xfId="0" applyFont="1" applyFill="1" applyBorder="1" applyAlignment="1">
      <alignment horizontal="center" vertical="center"/>
    </xf>
    <xf numFmtId="0" fontId="37" fillId="20" borderId="69" xfId="0" applyFont="1" applyFill="1" applyBorder="1" applyAlignment="1">
      <alignment horizontal="center" vertical="center"/>
    </xf>
    <xf numFmtId="0" fontId="37" fillId="20" borderId="48" xfId="0" applyFont="1" applyFill="1" applyBorder="1" applyAlignment="1">
      <alignment horizontal="center" vertical="center"/>
    </xf>
    <xf numFmtId="0" fontId="17" fillId="17" borderId="67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0" fontId="0" fillId="25" borderId="0" xfId="0" applyFill="1"/>
    <xf numFmtId="0" fontId="38" fillId="28" borderId="0" xfId="0" applyFont="1" applyFill="1" applyAlignment="1">
      <alignment horizontal="center" vertical="center"/>
    </xf>
    <xf numFmtId="0" fontId="0" fillId="28" borderId="0" xfId="0" applyFill="1"/>
    <xf numFmtId="0" fontId="38" fillId="28" borderId="0" xfId="0" applyFont="1" applyFill="1" applyAlignment="1">
      <alignment horizontal="left" vertical="center"/>
    </xf>
    <xf numFmtId="0" fontId="39" fillId="29" borderId="49" xfId="0" applyFont="1" applyFill="1" applyBorder="1" applyAlignment="1">
      <alignment horizontal="center" vertical="center"/>
    </xf>
    <xf numFmtId="0" fontId="39" fillId="29" borderId="46" xfId="0" applyFont="1" applyFill="1" applyBorder="1" applyAlignment="1">
      <alignment horizontal="center" vertical="center"/>
    </xf>
    <xf numFmtId="0" fontId="39" fillId="29" borderId="66" xfId="0" applyFont="1" applyFill="1" applyBorder="1" applyAlignment="1">
      <alignment horizontal="center" vertical="center"/>
    </xf>
    <xf numFmtId="0" fontId="39" fillId="29" borderId="69" xfId="0" applyFont="1" applyFill="1" applyBorder="1" applyAlignment="1">
      <alignment horizontal="center" vertical="center"/>
    </xf>
    <xf numFmtId="0" fontId="39" fillId="29" borderId="48" xfId="0" applyFont="1" applyFill="1" applyBorder="1" applyAlignment="1">
      <alignment horizontal="center" vertical="center"/>
    </xf>
    <xf numFmtId="0" fontId="40" fillId="34" borderId="0" xfId="0" applyFont="1" applyFill="1" applyAlignment="1">
      <alignment horizontal="center" vertical="center"/>
    </xf>
    <xf numFmtId="0" fontId="0" fillId="34" borderId="0" xfId="0" applyFill="1"/>
    <xf numFmtId="0" fontId="40" fillId="34" borderId="0" xfId="0" applyFont="1" applyFill="1" applyAlignment="1">
      <alignment horizontal="left" vertical="center"/>
    </xf>
    <xf numFmtId="0" fontId="41" fillId="35" borderId="49" xfId="0" applyFont="1" applyFill="1" applyBorder="1" applyAlignment="1">
      <alignment horizontal="center" vertical="center"/>
    </xf>
    <xf numFmtId="0" fontId="41" fillId="35" borderId="46" xfId="0" applyFont="1" applyFill="1" applyBorder="1" applyAlignment="1">
      <alignment horizontal="center" vertical="center"/>
    </xf>
    <xf numFmtId="0" fontId="41" fillId="35" borderId="66" xfId="0" applyFont="1" applyFill="1" applyBorder="1" applyAlignment="1">
      <alignment horizontal="center" vertical="center"/>
    </xf>
    <xf numFmtId="0" fontId="41" fillId="35" borderId="69" xfId="0" applyFont="1" applyFill="1" applyBorder="1" applyAlignment="1">
      <alignment horizontal="center" vertical="center"/>
    </xf>
    <xf numFmtId="0" fontId="41" fillId="35" borderId="48" xfId="0" applyFont="1" applyFill="1" applyBorder="1" applyAlignment="1">
      <alignment horizontal="center" vertical="center"/>
    </xf>
    <xf numFmtId="0" fontId="42" fillId="39" borderId="0" xfId="0" applyFont="1" applyFill="1" applyAlignment="1">
      <alignment horizontal="center" vertical="center"/>
    </xf>
    <xf numFmtId="0" fontId="0" fillId="39" borderId="0" xfId="0" applyFill="1"/>
    <xf numFmtId="0" fontId="42" fillId="39" borderId="0" xfId="0" applyFont="1" applyFill="1" applyAlignment="1">
      <alignment horizontal="left" vertical="center"/>
    </xf>
    <xf numFmtId="0" fontId="43" fillId="40" borderId="49" xfId="0" applyFont="1" applyFill="1" applyBorder="1" applyAlignment="1">
      <alignment horizontal="center" vertical="center"/>
    </xf>
    <xf numFmtId="0" fontId="43" fillId="40" borderId="46" xfId="0" applyFont="1" applyFill="1" applyBorder="1" applyAlignment="1">
      <alignment horizontal="center" vertical="center"/>
    </xf>
    <xf numFmtId="0" fontId="43" fillId="40" borderId="66" xfId="0" applyFont="1" applyFill="1" applyBorder="1" applyAlignment="1">
      <alignment horizontal="center" vertical="center"/>
    </xf>
    <xf numFmtId="0" fontId="43" fillId="40" borderId="69" xfId="0" applyFont="1" applyFill="1" applyBorder="1" applyAlignment="1">
      <alignment horizontal="center" vertical="center"/>
    </xf>
    <xf numFmtId="0" fontId="43" fillId="40" borderId="48" xfId="0" applyFont="1" applyFill="1" applyBorder="1" applyAlignment="1">
      <alignment horizontal="center" vertical="center"/>
    </xf>
    <xf numFmtId="0" fontId="44" fillId="42" borderId="0" xfId="0" applyFont="1" applyFill="1" applyAlignment="1">
      <alignment horizontal="center" vertical="center"/>
    </xf>
    <xf numFmtId="0" fontId="0" fillId="42" borderId="0" xfId="0" applyFill="1"/>
    <xf numFmtId="0" fontId="44" fillId="42" borderId="0" xfId="0" applyFont="1" applyFill="1" applyAlignment="1">
      <alignment horizontal="left" vertical="center"/>
    </xf>
    <xf numFmtId="0" fontId="45" fillId="43" borderId="49" xfId="0" applyFont="1" applyFill="1" applyBorder="1" applyAlignment="1">
      <alignment horizontal="center" vertical="center"/>
    </xf>
    <xf numFmtId="0" fontId="45" fillId="43" borderId="46" xfId="0" applyFont="1" applyFill="1" applyBorder="1" applyAlignment="1">
      <alignment horizontal="center" vertical="center"/>
    </xf>
    <xf numFmtId="0" fontId="45" fillId="43" borderId="66" xfId="0" applyFont="1" applyFill="1" applyBorder="1" applyAlignment="1">
      <alignment horizontal="center" vertical="center"/>
    </xf>
    <xf numFmtId="0" fontId="45" fillId="43" borderId="69" xfId="0" applyFont="1" applyFill="1" applyBorder="1" applyAlignment="1">
      <alignment horizontal="center" vertical="center"/>
    </xf>
    <xf numFmtId="0" fontId="45" fillId="43" borderId="48" xfId="0" applyFont="1" applyFill="1" applyBorder="1" applyAlignment="1">
      <alignment horizontal="center" vertical="center"/>
    </xf>
    <xf numFmtId="0" fontId="46" fillId="49" borderId="0" xfId="0" applyFont="1" applyFill="1" applyAlignment="1">
      <alignment horizontal="center" vertical="center"/>
    </xf>
    <xf numFmtId="0" fontId="0" fillId="49" borderId="0" xfId="0" applyFill="1"/>
    <xf numFmtId="0" fontId="46" fillId="49" borderId="0" xfId="0" applyFont="1" applyFill="1" applyAlignment="1">
      <alignment horizontal="left" vertical="center"/>
    </xf>
    <xf numFmtId="0" fontId="47" fillId="50" borderId="49" xfId="0" applyFont="1" applyFill="1" applyBorder="1" applyAlignment="1">
      <alignment horizontal="center" vertical="center"/>
    </xf>
    <xf numFmtId="0" fontId="47" fillId="50" borderId="46" xfId="0" applyFont="1" applyFill="1" applyBorder="1" applyAlignment="1">
      <alignment horizontal="center" vertical="center"/>
    </xf>
    <xf numFmtId="0" fontId="47" fillId="50" borderId="66" xfId="0" applyFont="1" applyFill="1" applyBorder="1" applyAlignment="1">
      <alignment horizontal="center" vertical="center"/>
    </xf>
    <xf numFmtId="0" fontId="47" fillId="50" borderId="69" xfId="0" applyFont="1" applyFill="1" applyBorder="1" applyAlignment="1">
      <alignment horizontal="center" vertical="center"/>
    </xf>
    <xf numFmtId="0" fontId="47" fillId="50" borderId="48" xfId="0" applyFont="1" applyFill="1" applyBorder="1" applyAlignment="1">
      <alignment horizontal="center" vertical="center"/>
    </xf>
    <xf numFmtId="0" fontId="48" fillId="54" borderId="60" xfId="0" applyFont="1" applyFill="1" applyBorder="1" applyAlignment="1">
      <alignment horizontal="center" vertical="center"/>
    </xf>
    <xf numFmtId="0" fontId="48" fillId="54" borderId="86" xfId="0" applyFont="1" applyFill="1" applyBorder="1" applyAlignment="1">
      <alignment horizontal="center" vertical="center"/>
    </xf>
    <xf numFmtId="0" fontId="48" fillId="54" borderId="87" xfId="0" applyFont="1" applyFill="1" applyBorder="1" applyAlignment="1">
      <alignment horizontal="center" vertical="center"/>
    </xf>
    <xf numFmtId="0" fontId="49" fillId="53" borderId="60" xfId="0" quotePrefix="1" applyFont="1" applyFill="1" applyBorder="1" applyAlignment="1">
      <alignment horizontal="center" vertical="center"/>
    </xf>
    <xf numFmtId="0" fontId="50" fillId="11" borderId="37" xfId="0" applyFont="1" applyFill="1" applyBorder="1"/>
    <xf numFmtId="0" fontId="50" fillId="11" borderId="34" xfId="0" applyFont="1" applyFill="1" applyBorder="1"/>
    <xf numFmtId="0" fontId="50" fillId="11" borderId="0" xfId="0" applyFont="1" applyFill="1" applyAlignment="1">
      <alignment horizontal="center" vertical="center"/>
    </xf>
    <xf numFmtId="0" fontId="50" fillId="11" borderId="34" xfId="0" applyFont="1" applyFill="1" applyBorder="1" applyAlignment="1">
      <alignment horizontal="center" vertical="center"/>
    </xf>
    <xf numFmtId="0" fontId="51" fillId="55" borderId="0" xfId="0" applyFont="1" applyFill="1" applyAlignment="1">
      <alignment horizontal="center" vertical="center"/>
    </xf>
    <xf numFmtId="0" fontId="0" fillId="55" borderId="0" xfId="0" applyFill="1"/>
    <xf numFmtId="0" fontId="51" fillId="55" borderId="0" xfId="0" applyFont="1" applyFill="1" applyAlignment="1">
      <alignment horizontal="left" vertical="center"/>
    </xf>
    <xf numFmtId="0" fontId="47" fillId="56" borderId="49" xfId="0" applyFont="1" applyFill="1" applyBorder="1" applyAlignment="1">
      <alignment horizontal="center" vertical="center"/>
    </xf>
    <xf numFmtId="0" fontId="47" fillId="56" borderId="46" xfId="0" applyFont="1" applyFill="1" applyBorder="1" applyAlignment="1">
      <alignment horizontal="center" vertical="center"/>
    </xf>
    <xf numFmtId="0" fontId="47" fillId="56" borderId="66" xfId="0" applyFont="1" applyFill="1" applyBorder="1" applyAlignment="1">
      <alignment horizontal="center" vertical="center"/>
    </xf>
    <xf numFmtId="0" fontId="47" fillId="56" borderId="69" xfId="0" applyFont="1" applyFill="1" applyBorder="1" applyAlignment="1">
      <alignment horizontal="center" vertical="center"/>
    </xf>
    <xf numFmtId="0" fontId="47" fillId="56" borderId="48" xfId="0" applyFont="1" applyFill="1" applyBorder="1" applyAlignment="1">
      <alignment horizontal="center" vertical="center"/>
    </xf>
    <xf numFmtId="0" fontId="0" fillId="59" borderId="0" xfId="0" applyFill="1"/>
    <xf numFmtId="0" fontId="52" fillId="55" borderId="0" xfId="0" applyFont="1" applyFill="1" applyAlignment="1">
      <alignment horizontal="center" vertical="center"/>
    </xf>
    <xf numFmtId="0" fontId="0" fillId="62" borderId="37" xfId="0" applyFill="1" applyBorder="1"/>
    <xf numFmtId="0" fontId="0" fillId="62" borderId="34" xfId="0" applyFill="1" applyBorder="1"/>
    <xf numFmtId="0" fontId="0" fillId="6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2" borderId="0" xfId="0" applyFill="1" applyAlignment="1">
      <alignment horizontal="center"/>
    </xf>
    <xf numFmtId="0" fontId="0" fillId="6" borderId="37" xfId="0" applyFill="1" applyBorder="1" applyAlignment="1">
      <alignment horizontal="center" vertical="center"/>
    </xf>
    <xf numFmtId="0" fontId="0" fillId="49" borderId="37" xfId="0" applyFill="1" applyBorder="1" applyAlignment="1">
      <alignment horizontal="center" vertical="center"/>
    </xf>
    <xf numFmtId="0" fontId="0" fillId="63" borderId="37" xfId="0" applyFill="1" applyBorder="1"/>
    <xf numFmtId="0" fontId="0" fillId="63" borderId="34" xfId="0" applyFill="1" applyBorder="1"/>
    <xf numFmtId="0" fontId="0" fillId="63" borderId="0" xfId="0" applyFill="1" applyAlignment="1">
      <alignment horizontal="center" vertical="center"/>
    </xf>
    <xf numFmtId="0" fontId="0" fillId="63" borderId="34" xfId="0" applyFill="1" applyBorder="1" applyAlignment="1">
      <alignment horizontal="center" vertical="center"/>
    </xf>
    <xf numFmtId="0" fontId="0" fillId="63" borderId="38" xfId="0" applyFill="1" applyBorder="1"/>
    <xf numFmtId="0" fontId="0" fillId="63" borderId="35" xfId="0" applyFill="1" applyBorder="1"/>
    <xf numFmtId="0" fontId="0" fillId="63" borderId="36" xfId="0" applyFill="1" applyBorder="1" applyAlignment="1">
      <alignment horizontal="center" vertical="center"/>
    </xf>
    <xf numFmtId="0" fontId="0" fillId="63" borderId="35" xfId="0" applyFill="1" applyBorder="1" applyAlignment="1">
      <alignment horizontal="center" vertical="center"/>
    </xf>
    <xf numFmtId="0" fontId="0" fillId="13" borderId="0" xfId="0" applyFill="1"/>
    <xf numFmtId="0" fontId="53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left" vertical="center"/>
    </xf>
    <xf numFmtId="0" fontId="54" fillId="64" borderId="49" xfId="0" applyFont="1" applyFill="1" applyBorder="1" applyAlignment="1">
      <alignment horizontal="center" vertical="center"/>
    </xf>
    <xf numFmtId="0" fontId="54" fillId="64" borderId="46" xfId="0" applyFont="1" applyFill="1" applyBorder="1" applyAlignment="1">
      <alignment horizontal="center" vertical="center"/>
    </xf>
    <xf numFmtId="0" fontId="54" fillId="64" borderId="66" xfId="0" applyFont="1" applyFill="1" applyBorder="1" applyAlignment="1">
      <alignment horizontal="center" vertical="center"/>
    </xf>
    <xf numFmtId="0" fontId="54" fillId="64" borderId="69" xfId="0" applyFont="1" applyFill="1" applyBorder="1" applyAlignment="1">
      <alignment horizontal="center" vertical="center"/>
    </xf>
    <xf numFmtId="0" fontId="54" fillId="64" borderId="48" xfId="0" applyFont="1" applyFill="1" applyBorder="1" applyAlignment="1">
      <alignment horizontal="center" vertical="center"/>
    </xf>
    <xf numFmtId="0" fontId="55" fillId="13" borderId="0" xfId="0" applyFont="1" applyFill="1" applyAlignment="1">
      <alignment horizontal="center" vertical="center"/>
    </xf>
    <xf numFmtId="0" fontId="0" fillId="67" borderId="0" xfId="0" applyFill="1"/>
    <xf numFmtId="0" fontId="56" fillId="67" borderId="0" xfId="0" applyFont="1" applyFill="1" applyAlignment="1">
      <alignment horizontal="center" vertical="center"/>
    </xf>
    <xf numFmtId="0" fontId="56" fillId="67" borderId="0" xfId="0" applyFont="1" applyFill="1" applyAlignment="1">
      <alignment horizontal="left" vertical="center"/>
    </xf>
    <xf numFmtId="0" fontId="57" fillId="68" borderId="49" xfId="0" applyFont="1" applyFill="1" applyBorder="1" applyAlignment="1">
      <alignment horizontal="center" vertical="center"/>
    </xf>
    <xf numFmtId="0" fontId="57" fillId="68" borderId="46" xfId="0" applyFont="1" applyFill="1" applyBorder="1" applyAlignment="1">
      <alignment horizontal="center" vertical="center"/>
    </xf>
    <xf numFmtId="0" fontId="57" fillId="68" borderId="66" xfId="0" applyFont="1" applyFill="1" applyBorder="1" applyAlignment="1">
      <alignment horizontal="center" vertical="center"/>
    </xf>
    <xf numFmtId="0" fontId="57" fillId="68" borderId="69" xfId="0" applyFont="1" applyFill="1" applyBorder="1" applyAlignment="1">
      <alignment horizontal="center" vertical="center"/>
    </xf>
    <xf numFmtId="0" fontId="57" fillId="68" borderId="48" xfId="0" applyFont="1" applyFill="1" applyBorder="1" applyAlignment="1">
      <alignment horizontal="center" vertical="center"/>
    </xf>
    <xf numFmtId="0" fontId="0" fillId="71" borderId="0" xfId="0" applyFill="1"/>
    <xf numFmtId="0" fontId="0" fillId="73" borderId="0" xfId="0" applyFill="1"/>
    <xf numFmtId="0" fontId="58" fillId="73" borderId="0" xfId="0" applyFont="1" applyFill="1" applyAlignment="1">
      <alignment horizontal="center" vertical="center"/>
    </xf>
    <xf numFmtId="0" fontId="58" fillId="73" borderId="0" xfId="0" applyFont="1" applyFill="1" applyAlignment="1">
      <alignment horizontal="left" vertical="center"/>
    </xf>
    <xf numFmtId="0" fontId="54" fillId="74" borderId="49" xfId="0" applyFont="1" applyFill="1" applyBorder="1" applyAlignment="1">
      <alignment horizontal="center" vertical="center"/>
    </xf>
    <xf numFmtId="0" fontId="54" fillId="74" borderId="46" xfId="0" applyFont="1" applyFill="1" applyBorder="1" applyAlignment="1">
      <alignment horizontal="center" vertical="center"/>
    </xf>
    <xf numFmtId="0" fontId="54" fillId="74" borderId="66" xfId="0" applyFont="1" applyFill="1" applyBorder="1" applyAlignment="1">
      <alignment horizontal="center" vertical="center"/>
    </xf>
    <xf numFmtId="0" fontId="54" fillId="74" borderId="69" xfId="0" applyFont="1" applyFill="1" applyBorder="1" applyAlignment="1">
      <alignment horizontal="center" vertical="center"/>
    </xf>
    <xf numFmtId="0" fontId="54" fillId="74" borderId="48" xfId="0" applyFont="1" applyFill="1" applyBorder="1" applyAlignment="1">
      <alignment horizontal="center" vertical="center"/>
    </xf>
    <xf numFmtId="0" fontId="0" fillId="77" borderId="0" xfId="0" applyFill="1"/>
    <xf numFmtId="0" fontId="13" fillId="71" borderId="60" xfId="0" applyFont="1" applyFill="1" applyBorder="1" applyAlignment="1">
      <alignment horizontal="center" vertical="center"/>
    </xf>
    <xf numFmtId="0" fontId="13" fillId="71" borderId="74" xfId="0" applyFont="1" applyFill="1" applyBorder="1" applyAlignment="1">
      <alignment horizontal="center" vertical="center"/>
    </xf>
    <xf numFmtId="20" fontId="13" fillId="71" borderId="60" xfId="0" quotePrefix="1" applyNumberFormat="1" applyFont="1" applyFill="1" applyBorder="1" applyAlignment="1">
      <alignment horizontal="center" vertical="center"/>
    </xf>
    <xf numFmtId="0" fontId="13" fillId="71" borderId="75" xfId="0" applyFont="1" applyFill="1" applyBorder="1" applyAlignment="1">
      <alignment horizontal="center" vertical="center"/>
    </xf>
    <xf numFmtId="0" fontId="17" fillId="76" borderId="72" xfId="0" applyFont="1" applyFill="1" applyBorder="1" applyAlignment="1">
      <alignment horizontal="center" vertical="center"/>
    </xf>
    <xf numFmtId="0" fontId="15" fillId="4" borderId="82" xfId="0" quotePrefix="1" applyFont="1" applyFill="1" applyBorder="1" applyAlignment="1">
      <alignment horizontal="center" vertical="center"/>
    </xf>
    <xf numFmtId="0" fontId="15" fillId="4" borderId="83" xfId="0" quotePrefix="1" applyFont="1" applyFill="1" applyBorder="1" applyAlignment="1">
      <alignment horizontal="center" vertical="center"/>
    </xf>
    <xf numFmtId="0" fontId="15" fillId="4" borderId="73" xfId="0" quotePrefix="1" applyFont="1" applyFill="1" applyBorder="1" applyAlignment="1">
      <alignment horizontal="center" vertical="center"/>
    </xf>
    <xf numFmtId="0" fontId="15" fillId="4" borderId="18" xfId="0" quotePrefix="1" applyFont="1" applyFill="1" applyBorder="1" applyAlignment="1">
      <alignment horizontal="center" vertical="center"/>
    </xf>
    <xf numFmtId="0" fontId="15" fillId="4" borderId="72" xfId="0" quotePrefix="1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/>
    </xf>
    <xf numFmtId="0" fontId="4" fillId="7" borderId="98" xfId="0" applyFont="1" applyFill="1" applyBorder="1" applyAlignment="1">
      <alignment horizontal="center"/>
    </xf>
    <xf numFmtId="0" fontId="4" fillId="7" borderId="99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4" fillId="7" borderId="98" xfId="0" applyFont="1" applyFill="1" applyBorder="1" applyAlignment="1">
      <alignment horizontal="center" vertical="center"/>
    </xf>
    <xf numFmtId="0" fontId="4" fillId="7" borderId="99" xfId="0" applyFont="1" applyFill="1" applyBorder="1" applyAlignment="1">
      <alignment horizontal="center" vertical="center"/>
    </xf>
    <xf numFmtId="0" fontId="17" fillId="3" borderId="72" xfId="0" applyFont="1" applyFill="1" applyBorder="1" applyAlignment="1">
      <alignment horizontal="center" vertical="center"/>
    </xf>
    <xf numFmtId="0" fontId="11" fillId="4" borderId="85" xfId="0" applyFont="1" applyFill="1" applyBorder="1" applyAlignment="1">
      <alignment horizontal="left" vertical="center"/>
    </xf>
    <xf numFmtId="9" fontId="13" fillId="7" borderId="86" xfId="0" applyNumberFormat="1" applyFont="1" applyFill="1" applyBorder="1" applyAlignment="1">
      <alignment horizontal="center" vertical="center"/>
    </xf>
    <xf numFmtId="9" fontId="13" fillId="7" borderId="88" xfId="0" applyNumberFormat="1" applyFont="1" applyFill="1" applyBorder="1" applyAlignment="1">
      <alignment horizontal="center" vertical="center"/>
    </xf>
    <xf numFmtId="18" fontId="1" fillId="7" borderId="60" xfId="0" applyNumberFormat="1" applyFont="1" applyFill="1" applyBorder="1" applyAlignment="1">
      <alignment horizontal="center" vertical="center"/>
    </xf>
    <xf numFmtId="0" fontId="13" fillId="2" borderId="84" xfId="0" applyFont="1" applyFill="1" applyBorder="1" applyAlignment="1">
      <alignment horizontal="center" vertical="center"/>
    </xf>
    <xf numFmtId="0" fontId="13" fillId="2" borderId="92" xfId="0" applyFont="1" applyFill="1" applyBorder="1" applyAlignment="1">
      <alignment horizontal="center" vertical="center"/>
    </xf>
    <xf numFmtId="0" fontId="15" fillId="3" borderId="86" xfId="0" applyFont="1" applyFill="1" applyBorder="1" applyAlignment="1">
      <alignment horizontal="center" vertical="center"/>
    </xf>
    <xf numFmtId="0" fontId="15" fillId="3" borderId="93" xfId="0" applyFont="1" applyFill="1" applyBorder="1" applyAlignment="1">
      <alignment horizontal="center" vertical="center"/>
    </xf>
    <xf numFmtId="9" fontId="13" fillId="7" borderId="16" xfId="0" applyNumberFormat="1" applyFont="1" applyFill="1" applyBorder="1" applyAlignment="1">
      <alignment horizontal="center" vertical="center"/>
    </xf>
    <xf numFmtId="9" fontId="13" fillId="7" borderId="0" xfId="0" applyNumberFormat="1" applyFont="1" applyFill="1" applyAlignment="1">
      <alignment horizontal="center" vertical="center"/>
    </xf>
    <xf numFmtId="9" fontId="13" fillId="7" borderId="93" xfId="0" applyNumberFormat="1" applyFont="1" applyFill="1" applyBorder="1" applyAlignment="1">
      <alignment horizontal="center" vertical="center"/>
    </xf>
    <xf numFmtId="0" fontId="15" fillId="3" borderId="87" xfId="0" applyFont="1" applyFill="1" applyBorder="1" applyAlignment="1">
      <alignment horizontal="center" vertical="center"/>
    </xf>
    <xf numFmtId="16" fontId="1" fillId="7" borderId="60" xfId="0" applyNumberFormat="1" applyFont="1" applyFill="1" applyBorder="1" applyAlignment="1">
      <alignment horizontal="center" vertical="center"/>
    </xf>
    <xf numFmtId="18" fontId="18" fillId="7" borderId="60" xfId="0" applyNumberFormat="1" applyFont="1" applyFill="1" applyBorder="1" applyAlignment="1">
      <alignment horizontal="center" vertical="center"/>
    </xf>
    <xf numFmtId="0" fontId="13" fillId="2" borderId="94" xfId="0" applyFont="1" applyFill="1" applyBorder="1" applyAlignment="1">
      <alignment horizontal="center" vertical="center"/>
    </xf>
    <xf numFmtId="0" fontId="13" fillId="2" borderId="95" xfId="0" applyFont="1" applyFill="1" applyBorder="1" applyAlignment="1">
      <alignment horizontal="center" vertical="center"/>
    </xf>
    <xf numFmtId="0" fontId="13" fillId="2" borderId="89" xfId="0" applyFont="1" applyFill="1" applyBorder="1" applyAlignment="1">
      <alignment horizontal="center" vertical="center"/>
    </xf>
    <xf numFmtId="0" fontId="13" fillId="2" borderId="90" xfId="0" applyFont="1" applyFill="1" applyBorder="1" applyAlignment="1">
      <alignment horizontal="center" vertical="center"/>
    </xf>
    <xf numFmtId="0" fontId="13" fillId="2" borderId="91" xfId="0" applyFont="1" applyFill="1" applyBorder="1" applyAlignment="1">
      <alignment horizontal="center" vertical="center"/>
    </xf>
    <xf numFmtId="0" fontId="1" fillId="73" borderId="0" xfId="0" applyFont="1" applyFill="1"/>
    <xf numFmtId="0" fontId="21" fillId="73" borderId="0" xfId="0" applyFont="1" applyFill="1" applyAlignment="1">
      <alignment horizontal="center" vertical="center"/>
    </xf>
    <xf numFmtId="0" fontId="19" fillId="73" borderId="0" xfId="0" applyFont="1" applyFill="1"/>
    <xf numFmtId="0" fontId="12" fillId="74" borderId="52" xfId="0" applyFont="1" applyFill="1" applyBorder="1" applyAlignment="1">
      <alignment horizontal="center" vertical="center"/>
    </xf>
    <xf numFmtId="0" fontId="12" fillId="74" borderId="68" xfId="0" applyFont="1" applyFill="1" applyBorder="1" applyAlignment="1">
      <alignment horizontal="center" vertical="center"/>
    </xf>
    <xf numFmtId="0" fontId="12" fillId="74" borderId="1" xfId="0" applyFont="1" applyFill="1" applyBorder="1" applyAlignment="1">
      <alignment horizontal="center" vertical="center"/>
    </xf>
    <xf numFmtId="0" fontId="12" fillId="74" borderId="3" xfId="0" applyFont="1" applyFill="1" applyBorder="1" applyAlignment="1">
      <alignment horizontal="center" vertical="center"/>
    </xf>
    <xf numFmtId="0" fontId="13" fillId="73" borderId="0" xfId="0" applyFont="1" applyFill="1" applyAlignment="1">
      <alignment horizontal="center" vertical="center"/>
    </xf>
    <xf numFmtId="0" fontId="16" fillId="73" borderId="0" xfId="0" applyFont="1" applyFill="1" applyAlignment="1">
      <alignment vertical="center"/>
    </xf>
    <xf numFmtId="0" fontId="16" fillId="73" borderId="0" xfId="0" applyFont="1" applyFill="1"/>
    <xf numFmtId="0" fontId="11" fillId="74" borderId="47" xfId="0" applyFont="1" applyFill="1" applyBorder="1" applyAlignment="1">
      <alignment horizontal="left" vertical="center"/>
    </xf>
    <xf numFmtId="0" fontId="13" fillId="73" borderId="0" xfId="0" applyFont="1" applyFill="1"/>
    <xf numFmtId="0" fontId="11" fillId="74" borderId="53" xfId="0" applyFont="1" applyFill="1" applyBorder="1" applyAlignment="1">
      <alignment horizontal="left" vertical="center"/>
    </xf>
    <xf numFmtId="0" fontId="13" fillId="75" borderId="47" xfId="0" applyFont="1" applyFill="1" applyBorder="1" applyAlignment="1">
      <alignment horizontal="center" vertical="center"/>
    </xf>
    <xf numFmtId="0" fontId="13" fillId="75" borderId="52" xfId="0" applyFont="1" applyFill="1" applyBorder="1" applyAlignment="1">
      <alignment horizontal="center" vertical="center"/>
    </xf>
    <xf numFmtId="0" fontId="13" fillId="75" borderId="67" xfId="0" applyFont="1" applyFill="1" applyBorder="1" applyAlignment="1">
      <alignment horizontal="center" vertical="center"/>
    </xf>
    <xf numFmtId="0" fontId="9" fillId="73" borderId="0" xfId="0" applyFont="1" applyFill="1" applyAlignment="1">
      <alignment vertical="center"/>
    </xf>
    <xf numFmtId="0" fontId="12" fillId="74" borderId="53" xfId="0" applyFont="1" applyFill="1" applyBorder="1" applyAlignment="1">
      <alignment horizontal="left" vertical="center"/>
    </xf>
    <xf numFmtId="0" fontId="15" fillId="76" borderId="18" xfId="0" applyFont="1" applyFill="1" applyBorder="1" applyAlignment="1">
      <alignment horizontal="center" vertical="center"/>
    </xf>
    <xf numFmtId="0" fontId="17" fillId="76" borderId="71" xfId="0" applyFont="1" applyFill="1" applyBorder="1" applyAlignment="1">
      <alignment horizontal="center" vertical="center"/>
    </xf>
    <xf numFmtId="0" fontId="15" fillId="76" borderId="73" xfId="0" applyFont="1" applyFill="1" applyBorder="1" applyAlignment="1">
      <alignment horizontal="center" vertical="center"/>
    </xf>
    <xf numFmtId="0" fontId="9" fillId="73" borderId="0" xfId="0" applyFont="1" applyFill="1"/>
    <xf numFmtId="0" fontId="11" fillId="74" borderId="85" xfId="0" applyFont="1" applyFill="1" applyBorder="1" applyAlignment="1">
      <alignment horizontal="left" vertical="center"/>
    </xf>
    <xf numFmtId="9" fontId="13" fillId="77" borderId="63" xfId="0" applyNumberFormat="1" applyFont="1" applyFill="1" applyBorder="1" applyAlignment="1">
      <alignment horizontal="center" vertical="center"/>
    </xf>
    <xf numFmtId="9" fontId="13" fillId="77" borderId="60" xfId="0" applyNumberFormat="1" applyFont="1" applyFill="1" applyBorder="1" applyAlignment="1">
      <alignment horizontal="center" vertical="center"/>
    </xf>
    <xf numFmtId="9" fontId="13" fillId="77" borderId="86" xfId="0" applyNumberFormat="1" applyFont="1" applyFill="1" applyBorder="1" applyAlignment="1">
      <alignment horizontal="center" vertical="center"/>
    </xf>
    <xf numFmtId="9" fontId="13" fillId="77" borderId="88" xfId="0" applyNumberFormat="1" applyFont="1" applyFill="1" applyBorder="1" applyAlignment="1">
      <alignment horizontal="center" vertical="center"/>
    </xf>
    <xf numFmtId="9" fontId="13" fillId="77" borderId="75" xfId="0" applyNumberFormat="1" applyFont="1" applyFill="1" applyBorder="1" applyAlignment="1">
      <alignment horizontal="center" vertical="center"/>
    </xf>
    <xf numFmtId="0" fontId="11" fillId="73" borderId="0" xfId="0" applyFont="1" applyFill="1"/>
    <xf numFmtId="0" fontId="15" fillId="76" borderId="74" xfId="0" applyFont="1" applyFill="1" applyBorder="1" applyAlignment="1">
      <alignment horizontal="center" vertical="center"/>
    </xf>
    <xf numFmtId="0" fontId="15" fillId="76" borderId="60" xfId="0" applyFont="1" applyFill="1" applyBorder="1" applyAlignment="1">
      <alignment horizontal="center" vertical="center"/>
    </xf>
    <xf numFmtId="0" fontId="15" fillId="76" borderId="63" xfId="0" applyFont="1" applyFill="1" applyBorder="1" applyAlignment="1">
      <alignment horizontal="center" vertical="center"/>
    </xf>
    <xf numFmtId="0" fontId="17" fillId="78" borderId="4" xfId="0" applyFont="1" applyFill="1" applyBorder="1" applyAlignment="1">
      <alignment horizontal="center" vertical="center"/>
    </xf>
    <xf numFmtId="0" fontId="24" fillId="73" borderId="0" xfId="0" applyFont="1" applyFill="1"/>
    <xf numFmtId="0" fontId="13" fillId="77" borderId="74" xfId="0" applyFont="1" applyFill="1" applyBorder="1" applyAlignment="1">
      <alignment horizontal="center" vertical="center"/>
    </xf>
    <xf numFmtId="0" fontId="13" fillId="77" borderId="60" xfId="0" applyFont="1" applyFill="1" applyBorder="1" applyAlignment="1">
      <alignment horizontal="center" vertical="center"/>
    </xf>
    <xf numFmtId="0" fontId="15" fillId="77" borderId="63" xfId="0" applyFont="1" applyFill="1" applyBorder="1" applyAlignment="1">
      <alignment horizontal="center" vertical="center"/>
    </xf>
    <xf numFmtId="0" fontId="15" fillId="77" borderId="60" xfId="0" applyFont="1" applyFill="1" applyBorder="1" applyAlignment="1">
      <alignment horizontal="center" vertical="center"/>
    </xf>
    <xf numFmtId="0" fontId="17" fillId="78" borderId="5" xfId="0" applyFont="1" applyFill="1" applyBorder="1" applyAlignment="1">
      <alignment horizontal="center" vertical="center"/>
    </xf>
    <xf numFmtId="0" fontId="23" fillId="73" borderId="0" xfId="0" applyFont="1" applyFill="1" applyAlignment="1">
      <alignment vertical="center"/>
    </xf>
    <xf numFmtId="0" fontId="13" fillId="77" borderId="63" xfId="0" applyFont="1" applyFill="1" applyBorder="1" applyAlignment="1">
      <alignment horizontal="center" vertical="center"/>
    </xf>
    <xf numFmtId="0" fontId="13" fillId="77" borderId="0" xfId="0" applyFont="1" applyFill="1" applyAlignment="1">
      <alignment horizontal="center" vertical="center"/>
    </xf>
    <xf numFmtId="20" fontId="13" fillId="77" borderId="0" xfId="0" applyNumberFormat="1" applyFont="1" applyFill="1" applyAlignment="1">
      <alignment horizontal="center" vertical="center"/>
    </xf>
    <xf numFmtId="0" fontId="17" fillId="78" borderId="6" xfId="0" applyFont="1" applyFill="1" applyBorder="1" applyAlignment="1">
      <alignment horizontal="center" vertical="center"/>
    </xf>
    <xf numFmtId="0" fontId="11" fillId="74" borderId="54" xfId="0" applyFont="1" applyFill="1" applyBorder="1" applyAlignment="1">
      <alignment horizontal="left" vertical="center"/>
    </xf>
    <xf numFmtId="18" fontId="1" fillId="77" borderId="76" xfId="0" applyNumberFormat="1" applyFont="1" applyFill="1" applyBorder="1" applyAlignment="1">
      <alignment horizontal="center" vertical="center"/>
    </xf>
    <xf numFmtId="0" fontId="1" fillId="77" borderId="77" xfId="0" applyFont="1" applyFill="1" applyBorder="1" applyAlignment="1">
      <alignment horizontal="center" vertical="center"/>
    </xf>
    <xf numFmtId="18" fontId="1" fillId="77" borderId="78" xfId="0" applyNumberFormat="1" applyFont="1" applyFill="1" applyBorder="1" applyAlignment="1">
      <alignment horizontal="center" vertical="center"/>
    </xf>
    <xf numFmtId="20" fontId="1" fillId="77" borderId="77" xfId="0" applyNumberFormat="1" applyFont="1" applyFill="1" applyBorder="1" applyAlignment="1">
      <alignment horizontal="center" vertical="center"/>
    </xf>
    <xf numFmtId="0" fontId="1" fillId="77" borderId="60" xfId="0" applyFont="1" applyFill="1" applyBorder="1" applyAlignment="1">
      <alignment horizontal="center" vertical="center"/>
    </xf>
    <xf numFmtId="18" fontId="1" fillId="77" borderId="60" xfId="0" applyNumberFormat="1" applyFont="1" applyFill="1" applyBorder="1" applyAlignment="1">
      <alignment horizontal="center" vertical="center"/>
    </xf>
    <xf numFmtId="0" fontId="1" fillId="77" borderId="75" xfId="0" applyFont="1" applyFill="1" applyBorder="1" applyAlignment="1">
      <alignment horizontal="center" vertical="center"/>
    </xf>
    <xf numFmtId="0" fontId="13" fillId="75" borderId="80" xfId="0" applyFont="1" applyFill="1" applyBorder="1" applyAlignment="1">
      <alignment horizontal="center" vertical="center"/>
    </xf>
    <xf numFmtId="0" fontId="13" fillId="75" borderId="53" xfId="0" applyFont="1" applyFill="1" applyBorder="1" applyAlignment="1">
      <alignment horizontal="center" vertical="center"/>
    </xf>
    <xf numFmtId="0" fontId="13" fillId="75" borderId="84" xfId="0" applyFont="1" applyFill="1" applyBorder="1" applyAlignment="1">
      <alignment horizontal="center" vertical="center"/>
    </xf>
    <xf numFmtId="0" fontId="13" fillId="75" borderId="92" xfId="0" applyFont="1" applyFill="1" applyBorder="1" applyAlignment="1">
      <alignment horizontal="center" vertical="center"/>
    </xf>
    <xf numFmtId="0" fontId="15" fillId="73" borderId="0" xfId="0" applyFont="1" applyFill="1" applyAlignment="1">
      <alignment horizontal="center" vertical="center"/>
    </xf>
    <xf numFmtId="0" fontId="24" fillId="73" borderId="0" xfId="0" applyFont="1" applyFill="1" applyAlignment="1">
      <alignment vertical="center"/>
    </xf>
    <xf numFmtId="0" fontId="15" fillId="76" borderId="86" xfId="0" applyFont="1" applyFill="1" applyBorder="1" applyAlignment="1">
      <alignment horizontal="center" vertical="center"/>
    </xf>
    <xf numFmtId="0" fontId="15" fillId="76" borderId="93" xfId="0" applyFont="1" applyFill="1" applyBorder="1" applyAlignment="1">
      <alignment horizontal="center" vertical="center"/>
    </xf>
    <xf numFmtId="9" fontId="13" fillId="77" borderId="16" xfId="0" applyNumberFormat="1" applyFont="1" applyFill="1" applyBorder="1" applyAlignment="1">
      <alignment horizontal="center" vertical="center"/>
    </xf>
    <xf numFmtId="9" fontId="13" fillId="77" borderId="0" xfId="0" applyNumberFormat="1" applyFont="1" applyFill="1" applyAlignment="1">
      <alignment horizontal="center" vertical="center"/>
    </xf>
    <xf numFmtId="9" fontId="13" fillId="77" borderId="93" xfId="0" applyNumberFormat="1" applyFont="1" applyFill="1" applyBorder="1" applyAlignment="1">
      <alignment horizontal="center" vertical="center"/>
    </xf>
    <xf numFmtId="0" fontId="15" fillId="76" borderId="87" xfId="0" applyFont="1" applyFill="1" applyBorder="1" applyAlignment="1">
      <alignment horizontal="center" vertical="center"/>
    </xf>
    <xf numFmtId="0" fontId="25" fillId="73" borderId="0" xfId="0" applyFont="1" applyFill="1" applyAlignment="1">
      <alignment vertical="center"/>
    </xf>
    <xf numFmtId="0" fontId="1" fillId="77" borderId="76" xfId="0" applyFont="1" applyFill="1" applyBorder="1" applyAlignment="1">
      <alignment horizontal="center" vertical="center"/>
    </xf>
    <xf numFmtId="20" fontId="18" fillId="77" borderId="77" xfId="0" applyNumberFormat="1" applyFont="1" applyFill="1" applyBorder="1" applyAlignment="1">
      <alignment horizontal="center" vertical="center"/>
    </xf>
    <xf numFmtId="16" fontId="1" fillId="77" borderId="60" xfId="0" applyNumberFormat="1" applyFont="1" applyFill="1" applyBorder="1" applyAlignment="1">
      <alignment horizontal="center" vertical="center"/>
    </xf>
    <xf numFmtId="18" fontId="18" fillId="77" borderId="60" xfId="0" applyNumberFormat="1" applyFont="1" applyFill="1" applyBorder="1" applyAlignment="1">
      <alignment horizontal="center" vertical="center"/>
    </xf>
    <xf numFmtId="0" fontId="13" fillId="75" borderId="94" xfId="0" applyFont="1" applyFill="1" applyBorder="1" applyAlignment="1">
      <alignment horizontal="center" vertical="center"/>
    </xf>
    <xf numFmtId="0" fontId="13" fillId="75" borderId="95" xfId="0" applyFont="1" applyFill="1" applyBorder="1" applyAlignment="1">
      <alignment horizontal="center" vertical="center"/>
    </xf>
    <xf numFmtId="0" fontId="13" fillId="75" borderId="89" xfId="0" applyFont="1" applyFill="1" applyBorder="1" applyAlignment="1">
      <alignment horizontal="center" vertical="center"/>
    </xf>
    <xf numFmtId="0" fontId="13" fillId="75" borderId="90" xfId="0" applyFont="1" applyFill="1" applyBorder="1" applyAlignment="1">
      <alignment horizontal="center" vertical="center"/>
    </xf>
    <xf numFmtId="0" fontId="13" fillId="75" borderId="91" xfId="0" applyFont="1" applyFill="1" applyBorder="1" applyAlignment="1">
      <alignment horizontal="center" vertical="center"/>
    </xf>
    <xf numFmtId="0" fontId="15" fillId="76" borderId="60" xfId="0" quotePrefix="1" applyFont="1" applyFill="1" applyBorder="1" applyAlignment="1">
      <alignment horizontal="center" vertical="center"/>
    </xf>
    <xf numFmtId="0" fontId="15" fillId="76" borderId="75" xfId="0" applyFont="1" applyFill="1" applyBorder="1" applyAlignment="1">
      <alignment horizontal="center" vertical="center"/>
    </xf>
    <xf numFmtId="9" fontId="13" fillId="77" borderId="74" xfId="0" applyNumberFormat="1" applyFont="1" applyFill="1" applyBorder="1" applyAlignment="1">
      <alignment horizontal="center" vertical="center"/>
    </xf>
    <xf numFmtId="0" fontId="17" fillId="78" borderId="73" xfId="0" applyFont="1" applyFill="1" applyBorder="1" applyAlignment="1">
      <alignment horizontal="center" vertical="center"/>
    </xf>
    <xf numFmtId="20" fontId="13" fillId="77" borderId="60" xfId="0" applyNumberFormat="1" applyFont="1" applyFill="1" applyBorder="1" applyAlignment="1">
      <alignment horizontal="center" vertical="center"/>
    </xf>
    <xf numFmtId="0" fontId="15" fillId="77" borderId="75" xfId="0" applyFont="1" applyFill="1" applyBorder="1" applyAlignment="1">
      <alignment horizontal="center" vertical="center"/>
    </xf>
    <xf numFmtId="0" fontId="17" fillId="78" borderId="75" xfId="0" applyFont="1" applyFill="1" applyBorder="1" applyAlignment="1">
      <alignment horizontal="center" vertical="center"/>
    </xf>
    <xf numFmtId="0" fontId="17" fillId="78" borderId="79" xfId="0" applyFont="1" applyFill="1" applyBorder="1" applyAlignment="1">
      <alignment horizontal="center" vertical="center"/>
    </xf>
    <xf numFmtId="16" fontId="1" fillId="77" borderId="76" xfId="0" applyNumberFormat="1" applyFont="1" applyFill="1" applyBorder="1" applyAlignment="1">
      <alignment horizontal="center" vertical="center"/>
    </xf>
    <xf numFmtId="18" fontId="1" fillId="77" borderId="77" xfId="0" applyNumberFormat="1" applyFont="1" applyFill="1" applyBorder="1" applyAlignment="1">
      <alignment horizontal="center" vertical="center"/>
    </xf>
    <xf numFmtId="0" fontId="1" fillId="77" borderId="79" xfId="0" applyFont="1" applyFill="1" applyBorder="1" applyAlignment="1">
      <alignment horizontal="center" vertical="center"/>
    </xf>
    <xf numFmtId="0" fontId="17" fillId="73" borderId="0" xfId="0" applyFont="1" applyFill="1" applyAlignment="1">
      <alignment horizontal="center" vertical="center"/>
    </xf>
    <xf numFmtId="0" fontId="13" fillId="77" borderId="75" xfId="0" applyFont="1" applyFill="1" applyBorder="1" applyAlignment="1">
      <alignment horizontal="center" vertical="center"/>
    </xf>
    <xf numFmtId="164" fontId="1" fillId="77" borderId="79" xfId="0" applyNumberFormat="1" applyFont="1" applyFill="1" applyBorder="1" applyAlignment="1">
      <alignment horizontal="center" vertical="center"/>
    </xf>
    <xf numFmtId="0" fontId="15" fillId="76" borderId="70" xfId="0" applyFont="1" applyFill="1" applyBorder="1" applyAlignment="1">
      <alignment horizontal="center" vertical="center"/>
    </xf>
    <xf numFmtId="0" fontId="15" fillId="76" borderId="71" xfId="0" applyFont="1" applyFill="1" applyBorder="1" applyAlignment="1">
      <alignment horizontal="center" vertical="center"/>
    </xf>
    <xf numFmtId="0" fontId="15" fillId="76" borderId="0" xfId="0" applyFont="1" applyFill="1" applyAlignment="1">
      <alignment horizontal="center" vertical="center"/>
    </xf>
    <xf numFmtId="0" fontId="15" fillId="77" borderId="74" xfId="0" applyFont="1" applyFill="1" applyBorder="1" applyAlignment="1">
      <alignment horizontal="center" vertical="center"/>
    </xf>
    <xf numFmtId="0" fontId="15" fillId="77" borderId="0" xfId="0" applyFont="1" applyFill="1" applyAlignment="1">
      <alignment horizontal="center" vertical="center"/>
    </xf>
    <xf numFmtId="0" fontId="1" fillId="77" borderId="74" xfId="0" applyFont="1" applyFill="1" applyBorder="1" applyAlignment="1">
      <alignment horizontal="center" vertical="center"/>
    </xf>
    <xf numFmtId="0" fontId="13" fillId="75" borderId="3" xfId="0" applyFont="1" applyFill="1" applyBorder="1" applyAlignment="1">
      <alignment horizontal="center" vertical="center"/>
    </xf>
    <xf numFmtId="10" fontId="13" fillId="77" borderId="74" xfId="0" applyNumberFormat="1" applyFont="1" applyFill="1" applyBorder="1" applyAlignment="1">
      <alignment horizontal="center" vertical="center"/>
    </xf>
    <xf numFmtId="10" fontId="13" fillId="77" borderId="75" xfId="0" applyNumberFormat="1" applyFont="1" applyFill="1" applyBorder="1" applyAlignment="1">
      <alignment horizontal="center" vertical="center"/>
    </xf>
    <xf numFmtId="0" fontId="1" fillId="73" borderId="0" xfId="0" applyFont="1" applyFill="1" applyAlignment="1">
      <alignment vertical="center"/>
    </xf>
    <xf numFmtId="0" fontId="1" fillId="67" borderId="0" xfId="0" applyFont="1" applyFill="1"/>
    <xf numFmtId="0" fontId="19" fillId="67" borderId="0" xfId="0" applyFont="1" applyFill="1"/>
    <xf numFmtId="0" fontId="12" fillId="68" borderId="52" xfId="0" applyFont="1" applyFill="1" applyBorder="1" applyAlignment="1">
      <alignment horizontal="center" vertical="center"/>
    </xf>
    <xf numFmtId="0" fontId="12" fillId="68" borderId="68" xfId="0" applyFont="1" applyFill="1" applyBorder="1" applyAlignment="1">
      <alignment horizontal="center" vertical="center"/>
    </xf>
    <xf numFmtId="0" fontId="12" fillId="68" borderId="1" xfId="0" applyFont="1" applyFill="1" applyBorder="1" applyAlignment="1">
      <alignment horizontal="center" vertical="center"/>
    </xf>
    <xf numFmtId="0" fontId="12" fillId="68" borderId="3" xfId="0" applyFont="1" applyFill="1" applyBorder="1" applyAlignment="1">
      <alignment horizontal="center" vertical="center"/>
    </xf>
    <xf numFmtId="0" fontId="13" fillId="67" borderId="0" xfId="0" applyFont="1" applyFill="1" applyAlignment="1">
      <alignment horizontal="center" vertical="center"/>
    </xf>
    <xf numFmtId="0" fontId="16" fillId="67" borderId="0" xfId="0" applyFont="1" applyFill="1" applyAlignment="1">
      <alignment vertical="center"/>
    </xf>
    <xf numFmtId="0" fontId="16" fillId="67" borderId="0" xfId="0" applyFont="1" applyFill="1"/>
    <xf numFmtId="0" fontId="11" fillId="68" borderId="47" xfId="0" applyFont="1" applyFill="1" applyBorder="1" applyAlignment="1">
      <alignment horizontal="left" vertical="center"/>
    </xf>
    <xf numFmtId="0" fontId="13" fillId="67" borderId="0" xfId="0" applyFont="1" applyFill="1"/>
    <xf numFmtId="0" fontId="11" fillId="68" borderId="53" xfId="0" applyFont="1" applyFill="1" applyBorder="1" applyAlignment="1">
      <alignment horizontal="left" vertical="center"/>
    </xf>
    <xf numFmtId="0" fontId="13" fillId="69" borderId="47" xfId="0" applyFont="1" applyFill="1" applyBorder="1" applyAlignment="1">
      <alignment horizontal="center" vertical="center"/>
    </xf>
    <xf numFmtId="0" fontId="13" fillId="69" borderId="52" xfId="0" applyFont="1" applyFill="1" applyBorder="1" applyAlignment="1">
      <alignment horizontal="center" vertical="center"/>
    </xf>
    <xf numFmtId="0" fontId="13" fillId="69" borderId="67" xfId="0" applyFont="1" applyFill="1" applyBorder="1" applyAlignment="1">
      <alignment horizontal="center" vertical="center"/>
    </xf>
    <xf numFmtId="0" fontId="9" fillId="67" borderId="0" xfId="0" applyFont="1" applyFill="1" applyAlignment="1">
      <alignment vertical="center"/>
    </xf>
    <xf numFmtId="0" fontId="12" fillId="68" borderId="53" xfId="0" applyFont="1" applyFill="1" applyBorder="1" applyAlignment="1">
      <alignment horizontal="left" vertical="center"/>
    </xf>
    <xf numFmtId="0" fontId="15" fillId="70" borderId="18" xfId="0" applyFont="1" applyFill="1" applyBorder="1" applyAlignment="1">
      <alignment horizontal="center" vertical="center"/>
    </xf>
    <xf numFmtId="0" fontId="17" fillId="70" borderId="71" xfId="0" applyFont="1" applyFill="1" applyBorder="1" applyAlignment="1">
      <alignment horizontal="center" vertical="center"/>
    </xf>
    <xf numFmtId="0" fontId="17" fillId="70" borderId="72" xfId="0" applyFont="1" applyFill="1" applyBorder="1" applyAlignment="1">
      <alignment horizontal="center" vertical="center"/>
    </xf>
    <xf numFmtId="0" fontId="15" fillId="70" borderId="73" xfId="0" applyFont="1" applyFill="1" applyBorder="1" applyAlignment="1">
      <alignment horizontal="center" vertical="center"/>
    </xf>
    <xf numFmtId="0" fontId="9" fillId="67" borderId="0" xfId="0" applyFont="1" applyFill="1"/>
    <xf numFmtId="0" fontId="11" fillId="68" borderId="85" xfId="0" applyFont="1" applyFill="1" applyBorder="1" applyAlignment="1">
      <alignment horizontal="left" vertical="center"/>
    </xf>
    <xf numFmtId="9" fontId="13" fillId="71" borderId="63" xfId="0" applyNumberFormat="1" applyFont="1" applyFill="1" applyBorder="1" applyAlignment="1">
      <alignment horizontal="center" vertical="center"/>
    </xf>
    <xf numFmtId="9" fontId="13" fillId="71" borderId="60" xfId="0" applyNumberFormat="1" applyFont="1" applyFill="1" applyBorder="1" applyAlignment="1">
      <alignment horizontal="center" vertical="center"/>
    </xf>
    <xf numFmtId="9" fontId="13" fillId="71" borderId="86" xfId="0" applyNumberFormat="1" applyFont="1" applyFill="1" applyBorder="1" applyAlignment="1">
      <alignment horizontal="center" vertical="center"/>
    </xf>
    <xf numFmtId="9" fontId="13" fillId="71" borderId="88" xfId="0" applyNumberFormat="1" applyFont="1" applyFill="1" applyBorder="1" applyAlignment="1">
      <alignment horizontal="center" vertical="center"/>
    </xf>
    <xf numFmtId="9" fontId="13" fillId="71" borderId="75" xfId="0" applyNumberFormat="1" applyFont="1" applyFill="1" applyBorder="1" applyAlignment="1">
      <alignment horizontal="center" vertical="center"/>
    </xf>
    <xf numFmtId="0" fontId="11" fillId="67" borderId="0" xfId="0" applyFont="1" applyFill="1"/>
    <xf numFmtId="0" fontId="15" fillId="70" borderId="74" xfId="0" applyFont="1" applyFill="1" applyBorder="1" applyAlignment="1">
      <alignment horizontal="center" vertical="center"/>
    </xf>
    <xf numFmtId="0" fontId="15" fillId="70" borderId="60" xfId="0" applyFont="1" applyFill="1" applyBorder="1" applyAlignment="1">
      <alignment horizontal="center" vertical="center"/>
    </xf>
    <xf numFmtId="0" fontId="15" fillId="70" borderId="63" xfId="0" applyFont="1" applyFill="1" applyBorder="1" applyAlignment="1">
      <alignment horizontal="center" vertical="center"/>
    </xf>
    <xf numFmtId="0" fontId="15" fillId="70" borderId="0" xfId="0" applyFont="1" applyFill="1" applyAlignment="1">
      <alignment horizontal="center" vertical="center"/>
    </xf>
    <xf numFmtId="0" fontId="17" fillId="72" borderId="4" xfId="0" applyFont="1" applyFill="1" applyBorder="1" applyAlignment="1">
      <alignment horizontal="center" vertical="center"/>
    </xf>
    <xf numFmtId="0" fontId="24" fillId="67" borderId="0" xfId="0" applyFont="1" applyFill="1"/>
    <xf numFmtId="0" fontId="13" fillId="71" borderId="63" xfId="0" applyFont="1" applyFill="1" applyBorder="1" applyAlignment="1">
      <alignment horizontal="center" vertical="center"/>
    </xf>
    <xf numFmtId="0" fontId="13" fillId="71" borderId="0" xfId="0" applyFont="1" applyFill="1" applyAlignment="1">
      <alignment horizontal="center" vertical="center"/>
    </xf>
    <xf numFmtId="0" fontId="17" fillId="72" borderId="5" xfId="0" applyFont="1" applyFill="1" applyBorder="1" applyAlignment="1">
      <alignment horizontal="center" vertical="center"/>
    </xf>
    <xf numFmtId="0" fontId="23" fillId="67" borderId="0" xfId="0" applyFont="1" applyFill="1" applyAlignment="1">
      <alignment vertical="center"/>
    </xf>
    <xf numFmtId="20" fontId="13" fillId="71" borderId="0" xfId="0" quotePrefix="1" applyNumberFormat="1" applyFont="1" applyFill="1" applyAlignment="1">
      <alignment horizontal="center" vertical="center"/>
    </xf>
    <xf numFmtId="0" fontId="17" fillId="72" borderId="6" xfId="0" applyFont="1" applyFill="1" applyBorder="1" applyAlignment="1">
      <alignment horizontal="center" vertical="center"/>
    </xf>
    <xf numFmtId="0" fontId="11" fillId="68" borderId="54" xfId="0" applyFont="1" applyFill="1" applyBorder="1" applyAlignment="1">
      <alignment horizontal="left" vertical="center"/>
    </xf>
    <xf numFmtId="18" fontId="1" fillId="71" borderId="76" xfId="0" applyNumberFormat="1" applyFont="1" applyFill="1" applyBorder="1" applyAlignment="1">
      <alignment horizontal="center" vertical="center"/>
    </xf>
    <xf numFmtId="0" fontId="1" fillId="71" borderId="77" xfId="0" applyFont="1" applyFill="1" applyBorder="1" applyAlignment="1">
      <alignment horizontal="center" vertical="center"/>
    </xf>
    <xf numFmtId="18" fontId="1" fillId="71" borderId="78" xfId="0" applyNumberFormat="1" applyFont="1" applyFill="1" applyBorder="1" applyAlignment="1">
      <alignment horizontal="center" vertical="center"/>
    </xf>
    <xf numFmtId="20" fontId="1" fillId="71" borderId="77" xfId="0" applyNumberFormat="1" applyFont="1" applyFill="1" applyBorder="1" applyAlignment="1">
      <alignment horizontal="center" vertical="center"/>
    </xf>
    <xf numFmtId="0" fontId="1" fillId="71" borderId="60" xfId="0" applyFont="1" applyFill="1" applyBorder="1" applyAlignment="1">
      <alignment horizontal="center" vertical="center"/>
    </xf>
    <xf numFmtId="18" fontId="1" fillId="71" borderId="60" xfId="0" applyNumberFormat="1" applyFont="1" applyFill="1" applyBorder="1" applyAlignment="1">
      <alignment horizontal="center" vertical="center"/>
    </xf>
    <xf numFmtId="0" fontId="1" fillId="71" borderId="75" xfId="0" applyFont="1" applyFill="1" applyBorder="1" applyAlignment="1">
      <alignment horizontal="center" vertical="center"/>
    </xf>
    <xf numFmtId="0" fontId="13" fillId="69" borderId="80" xfId="0" applyFont="1" applyFill="1" applyBorder="1" applyAlignment="1">
      <alignment horizontal="center" vertical="center"/>
    </xf>
    <xf numFmtId="0" fontId="13" fillId="69" borderId="53" xfId="0" applyFont="1" applyFill="1" applyBorder="1" applyAlignment="1">
      <alignment horizontal="center" vertical="center"/>
    </xf>
    <xf numFmtId="0" fontId="13" fillId="69" borderId="84" xfId="0" applyFont="1" applyFill="1" applyBorder="1" applyAlignment="1">
      <alignment horizontal="center" vertical="center"/>
    </xf>
    <xf numFmtId="0" fontId="13" fillId="69" borderId="92" xfId="0" applyFont="1" applyFill="1" applyBorder="1" applyAlignment="1">
      <alignment horizontal="center" vertical="center"/>
    </xf>
    <xf numFmtId="0" fontId="15" fillId="67" borderId="0" xfId="0" applyFont="1" applyFill="1" applyAlignment="1">
      <alignment horizontal="center" vertical="center"/>
    </xf>
    <xf numFmtId="0" fontId="24" fillId="67" borderId="0" xfId="0" applyFont="1" applyFill="1" applyAlignment="1">
      <alignment vertical="center"/>
    </xf>
    <xf numFmtId="0" fontId="15" fillId="70" borderId="86" xfId="0" applyFont="1" applyFill="1" applyBorder="1" applyAlignment="1">
      <alignment horizontal="center" vertical="center"/>
    </xf>
    <xf numFmtId="0" fontId="15" fillId="70" borderId="93" xfId="0" applyFont="1" applyFill="1" applyBorder="1" applyAlignment="1">
      <alignment horizontal="center" vertical="center"/>
    </xf>
    <xf numFmtId="9" fontId="13" fillId="71" borderId="16" xfId="0" applyNumberFormat="1" applyFont="1" applyFill="1" applyBorder="1" applyAlignment="1">
      <alignment horizontal="center" vertical="center"/>
    </xf>
    <xf numFmtId="9" fontId="13" fillId="71" borderId="0" xfId="0" applyNumberFormat="1" applyFont="1" applyFill="1" applyAlignment="1">
      <alignment horizontal="center" vertical="center"/>
    </xf>
    <xf numFmtId="9" fontId="13" fillId="71" borderId="93" xfId="0" applyNumberFormat="1" applyFont="1" applyFill="1" applyBorder="1" applyAlignment="1">
      <alignment horizontal="center" vertical="center"/>
    </xf>
    <xf numFmtId="0" fontId="15" fillId="70" borderId="60" xfId="0" quotePrefix="1" applyFont="1" applyFill="1" applyBorder="1" applyAlignment="1">
      <alignment horizontal="center" vertical="center"/>
    </xf>
    <xf numFmtId="0" fontId="15" fillId="70" borderId="87" xfId="0" applyFont="1" applyFill="1" applyBorder="1" applyAlignment="1">
      <alignment horizontal="center" vertical="center"/>
    </xf>
    <xf numFmtId="0" fontId="25" fillId="67" borderId="0" xfId="0" applyFont="1" applyFill="1" applyAlignment="1">
      <alignment vertical="center"/>
    </xf>
    <xf numFmtId="0" fontId="1" fillId="71" borderId="76" xfId="0" applyFont="1" applyFill="1" applyBorder="1" applyAlignment="1">
      <alignment horizontal="center" vertical="center"/>
    </xf>
    <xf numFmtId="20" fontId="18" fillId="71" borderId="77" xfId="0" applyNumberFormat="1" applyFont="1" applyFill="1" applyBorder="1" applyAlignment="1">
      <alignment horizontal="center" vertical="center"/>
    </xf>
    <xf numFmtId="16" fontId="1" fillId="71" borderId="60" xfId="0" applyNumberFormat="1" applyFont="1" applyFill="1" applyBorder="1" applyAlignment="1">
      <alignment horizontal="center" vertical="center"/>
    </xf>
    <xf numFmtId="18" fontId="18" fillId="71" borderId="60" xfId="0" applyNumberFormat="1" applyFont="1" applyFill="1" applyBorder="1" applyAlignment="1">
      <alignment horizontal="center" vertical="center"/>
    </xf>
    <xf numFmtId="0" fontId="13" fillId="69" borderId="94" xfId="0" applyFont="1" applyFill="1" applyBorder="1" applyAlignment="1">
      <alignment horizontal="center" vertical="center"/>
    </xf>
    <xf numFmtId="0" fontId="13" fillId="69" borderId="95" xfId="0" applyFont="1" applyFill="1" applyBorder="1" applyAlignment="1">
      <alignment horizontal="center" vertical="center"/>
    </xf>
    <xf numFmtId="0" fontId="13" fillId="69" borderId="89" xfId="0" applyFont="1" applyFill="1" applyBorder="1" applyAlignment="1">
      <alignment horizontal="center" vertical="center"/>
    </xf>
    <xf numFmtId="0" fontId="13" fillId="69" borderId="90" xfId="0" applyFont="1" applyFill="1" applyBorder="1" applyAlignment="1">
      <alignment horizontal="center" vertical="center"/>
    </xf>
    <xf numFmtId="0" fontId="13" fillId="69" borderId="91" xfId="0" applyFont="1" applyFill="1" applyBorder="1" applyAlignment="1">
      <alignment horizontal="center" vertical="center"/>
    </xf>
    <xf numFmtId="0" fontId="15" fillId="70" borderId="75" xfId="0" applyFont="1" applyFill="1" applyBorder="1" applyAlignment="1">
      <alignment horizontal="center" vertical="center"/>
    </xf>
    <xf numFmtId="9" fontId="13" fillId="71" borderId="74" xfId="0" applyNumberFormat="1" applyFont="1" applyFill="1" applyBorder="1" applyAlignment="1">
      <alignment horizontal="center" vertical="center"/>
    </xf>
    <xf numFmtId="0" fontId="15" fillId="70" borderId="74" xfId="0" quotePrefix="1" applyFont="1" applyFill="1" applyBorder="1" applyAlignment="1">
      <alignment horizontal="center" vertical="center"/>
    </xf>
    <xf numFmtId="0" fontId="17" fillId="72" borderId="73" xfId="0" applyFont="1" applyFill="1" applyBorder="1" applyAlignment="1">
      <alignment horizontal="center" vertical="center"/>
    </xf>
    <xf numFmtId="0" fontId="17" fillId="72" borderId="75" xfId="0" applyFont="1" applyFill="1" applyBorder="1" applyAlignment="1">
      <alignment horizontal="center" vertical="center"/>
    </xf>
    <xf numFmtId="0" fontId="17" fillId="72" borderId="79" xfId="0" applyFont="1" applyFill="1" applyBorder="1" applyAlignment="1">
      <alignment horizontal="center" vertical="center"/>
    </xf>
    <xf numFmtId="16" fontId="1" fillId="71" borderId="76" xfId="0" applyNumberFormat="1" applyFont="1" applyFill="1" applyBorder="1" applyAlignment="1">
      <alignment horizontal="center" vertical="center"/>
    </xf>
    <xf numFmtId="18" fontId="1" fillId="71" borderId="77" xfId="0" applyNumberFormat="1" applyFont="1" applyFill="1" applyBorder="1" applyAlignment="1">
      <alignment horizontal="center" vertical="center"/>
    </xf>
    <xf numFmtId="0" fontId="1" fillId="71" borderId="79" xfId="0" applyFont="1" applyFill="1" applyBorder="1" applyAlignment="1">
      <alignment horizontal="center" vertical="center"/>
    </xf>
    <xf numFmtId="0" fontId="17" fillId="67" borderId="0" xfId="0" applyFont="1" applyFill="1" applyAlignment="1">
      <alignment horizontal="center" vertical="center"/>
    </xf>
    <xf numFmtId="0" fontId="17" fillId="70" borderId="71" xfId="0" quotePrefix="1" applyFont="1" applyFill="1" applyBorder="1" applyAlignment="1">
      <alignment horizontal="center" vertical="center"/>
    </xf>
    <xf numFmtId="164" fontId="1" fillId="71" borderId="79" xfId="0" applyNumberFormat="1" applyFont="1" applyFill="1" applyBorder="1" applyAlignment="1">
      <alignment horizontal="center" vertical="center"/>
    </xf>
    <xf numFmtId="0" fontId="15" fillId="70" borderId="70" xfId="0" applyFont="1" applyFill="1" applyBorder="1" applyAlignment="1">
      <alignment horizontal="center" vertical="center"/>
    </xf>
    <xf numFmtId="0" fontId="15" fillId="70" borderId="71" xfId="0" applyFont="1" applyFill="1" applyBorder="1" applyAlignment="1">
      <alignment horizontal="center" vertical="center"/>
    </xf>
    <xf numFmtId="0" fontId="15" fillId="71" borderId="74" xfId="0" applyFont="1" applyFill="1" applyBorder="1" applyAlignment="1">
      <alignment horizontal="center" vertical="center"/>
    </xf>
    <xf numFmtId="0" fontId="15" fillId="71" borderId="60" xfId="0" applyFont="1" applyFill="1" applyBorder="1" applyAlignment="1">
      <alignment horizontal="center" vertical="center"/>
    </xf>
    <xf numFmtId="0" fontId="15" fillId="71" borderId="0" xfId="0" applyFont="1" applyFill="1" applyAlignment="1">
      <alignment horizontal="center" vertical="center"/>
    </xf>
    <xf numFmtId="0" fontId="1" fillId="71" borderId="74" xfId="0" applyFont="1" applyFill="1" applyBorder="1" applyAlignment="1">
      <alignment horizontal="center" vertical="center"/>
    </xf>
    <xf numFmtId="0" fontId="13" fillId="69" borderId="3" xfId="0" applyFont="1" applyFill="1" applyBorder="1" applyAlignment="1">
      <alignment horizontal="center" vertical="center"/>
    </xf>
    <xf numFmtId="10" fontId="13" fillId="71" borderId="74" xfId="0" applyNumberFormat="1" applyFont="1" applyFill="1" applyBorder="1" applyAlignment="1">
      <alignment horizontal="center" vertical="center"/>
    </xf>
    <xf numFmtId="10" fontId="13" fillId="71" borderId="75" xfId="0" applyNumberFormat="1" applyFont="1" applyFill="1" applyBorder="1" applyAlignment="1">
      <alignment horizontal="center" vertical="center"/>
    </xf>
    <xf numFmtId="0" fontId="1" fillId="67" borderId="0" xfId="0" applyFont="1" applyFill="1" applyAlignment="1">
      <alignment vertical="center"/>
    </xf>
    <xf numFmtId="0" fontId="1" fillId="13" borderId="0" xfId="0" applyFont="1" applyFill="1"/>
    <xf numFmtId="0" fontId="19" fillId="13" borderId="0" xfId="0" applyFont="1" applyFill="1"/>
    <xf numFmtId="0" fontId="12" fillId="64" borderId="52" xfId="0" applyFont="1" applyFill="1" applyBorder="1" applyAlignment="1">
      <alignment horizontal="center" vertical="center"/>
    </xf>
    <xf numFmtId="0" fontId="12" fillId="64" borderId="68" xfId="0" applyFont="1" applyFill="1" applyBorder="1" applyAlignment="1">
      <alignment horizontal="center" vertical="center"/>
    </xf>
    <xf numFmtId="0" fontId="12" fillId="64" borderId="1" xfId="0" applyFont="1" applyFill="1" applyBorder="1" applyAlignment="1">
      <alignment horizontal="center" vertical="center"/>
    </xf>
    <xf numFmtId="0" fontId="12" fillId="64" borderId="3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vertical="center"/>
    </xf>
    <xf numFmtId="0" fontId="16" fillId="13" borderId="0" xfId="0" applyFont="1" applyFill="1"/>
    <xf numFmtId="0" fontId="11" fillId="64" borderId="47" xfId="0" applyFont="1" applyFill="1" applyBorder="1" applyAlignment="1">
      <alignment horizontal="left" vertical="center"/>
    </xf>
    <xf numFmtId="0" fontId="13" fillId="13" borderId="0" xfId="0" applyFont="1" applyFill="1"/>
    <xf numFmtId="0" fontId="11" fillId="64" borderId="53" xfId="0" applyFont="1" applyFill="1" applyBorder="1" applyAlignment="1">
      <alignment horizontal="left" vertical="center"/>
    </xf>
    <xf numFmtId="0" fontId="13" fillId="65" borderId="47" xfId="0" applyFont="1" applyFill="1" applyBorder="1" applyAlignment="1">
      <alignment horizontal="center" vertical="center"/>
    </xf>
    <xf numFmtId="0" fontId="13" fillId="65" borderId="52" xfId="0" applyFont="1" applyFill="1" applyBorder="1" applyAlignment="1">
      <alignment horizontal="center" vertical="center"/>
    </xf>
    <xf numFmtId="0" fontId="13" fillId="65" borderId="67" xfId="0" applyFont="1" applyFill="1" applyBorder="1" applyAlignment="1">
      <alignment horizontal="center" vertical="center"/>
    </xf>
    <xf numFmtId="0" fontId="9" fillId="13" borderId="0" xfId="0" applyFont="1" applyFill="1" applyAlignment="1">
      <alignment vertical="center"/>
    </xf>
    <xf numFmtId="0" fontId="12" fillId="64" borderId="53" xfId="0" applyFont="1" applyFill="1" applyBorder="1" applyAlignment="1">
      <alignment horizontal="left" vertical="center"/>
    </xf>
    <xf numFmtId="0" fontId="15" fillId="66" borderId="18" xfId="0" applyFont="1" applyFill="1" applyBorder="1" applyAlignment="1">
      <alignment horizontal="center" vertical="center"/>
    </xf>
    <xf numFmtId="0" fontId="17" fillId="66" borderId="71" xfId="0" applyFont="1" applyFill="1" applyBorder="1" applyAlignment="1">
      <alignment horizontal="center" vertical="center"/>
    </xf>
    <xf numFmtId="0" fontId="17" fillId="66" borderId="72" xfId="0" applyFont="1" applyFill="1" applyBorder="1" applyAlignment="1">
      <alignment horizontal="center" vertical="center"/>
    </xf>
    <xf numFmtId="0" fontId="15" fillId="66" borderId="101" xfId="0" applyFont="1" applyFill="1" applyBorder="1" applyAlignment="1">
      <alignment horizontal="center" vertical="center"/>
    </xf>
    <xf numFmtId="0" fontId="9" fillId="13" borderId="0" xfId="0" applyFont="1" applyFill="1"/>
    <xf numFmtId="0" fontId="11" fillId="64" borderId="85" xfId="0" applyFont="1" applyFill="1" applyBorder="1" applyAlignment="1">
      <alignment horizontal="left" vertical="center"/>
    </xf>
    <xf numFmtId="9" fontId="13" fillId="13" borderId="63" xfId="0" applyNumberFormat="1" applyFont="1" applyFill="1" applyBorder="1" applyAlignment="1">
      <alignment horizontal="center" vertical="center"/>
    </xf>
    <xf numFmtId="9" fontId="13" fillId="13" borderId="60" xfId="0" applyNumberFormat="1" applyFont="1" applyFill="1" applyBorder="1" applyAlignment="1">
      <alignment horizontal="center" vertical="center"/>
    </xf>
    <xf numFmtId="9" fontId="13" fillId="13" borderId="86" xfId="0" applyNumberFormat="1" applyFont="1" applyFill="1" applyBorder="1" applyAlignment="1">
      <alignment horizontal="center" vertical="center"/>
    </xf>
    <xf numFmtId="9" fontId="13" fillId="13" borderId="88" xfId="0" applyNumberFormat="1" applyFont="1" applyFill="1" applyBorder="1" applyAlignment="1">
      <alignment horizontal="center" vertical="center"/>
    </xf>
    <xf numFmtId="9" fontId="13" fillId="13" borderId="75" xfId="0" applyNumberFormat="1" applyFont="1" applyFill="1" applyBorder="1" applyAlignment="1">
      <alignment horizontal="center" vertical="center"/>
    </xf>
    <xf numFmtId="0" fontId="11" fillId="13" borderId="0" xfId="0" applyFont="1" applyFill="1"/>
    <xf numFmtId="0" fontId="15" fillId="66" borderId="74" xfId="0" applyFont="1" applyFill="1" applyBorder="1" applyAlignment="1">
      <alignment horizontal="center" vertical="center"/>
    </xf>
    <xf numFmtId="0" fontId="15" fillId="66" borderId="60" xfId="0" applyFont="1" applyFill="1" applyBorder="1" applyAlignment="1">
      <alignment horizontal="center" vertical="center"/>
    </xf>
    <xf numFmtId="0" fontId="15" fillId="66" borderId="63" xfId="0" applyFont="1" applyFill="1" applyBorder="1" applyAlignment="1">
      <alignment horizontal="center" vertical="center"/>
    </xf>
    <xf numFmtId="0" fontId="17" fillId="41" borderId="4" xfId="0" applyFont="1" applyFill="1" applyBorder="1" applyAlignment="1">
      <alignment horizontal="center" vertical="center"/>
    </xf>
    <xf numFmtId="0" fontId="24" fillId="13" borderId="0" xfId="0" applyFont="1" applyFill="1"/>
    <xf numFmtId="0" fontId="13" fillId="13" borderId="74" xfId="0" applyFont="1" applyFill="1" applyBorder="1" applyAlignment="1">
      <alignment horizontal="center" vertical="center"/>
    </xf>
    <xf numFmtId="0" fontId="13" fillId="13" borderId="60" xfId="0" applyFont="1" applyFill="1" applyBorder="1" applyAlignment="1">
      <alignment horizontal="center" vertical="center"/>
    </xf>
    <xf numFmtId="0" fontId="13" fillId="13" borderId="63" xfId="0" applyFont="1" applyFill="1" applyBorder="1" applyAlignment="1">
      <alignment horizontal="center" vertical="center"/>
    </xf>
    <xf numFmtId="0" fontId="17" fillId="41" borderId="5" xfId="0" applyFont="1" applyFill="1" applyBorder="1" applyAlignment="1">
      <alignment horizontal="center" vertical="center"/>
    </xf>
    <xf numFmtId="0" fontId="23" fillId="13" borderId="0" xfId="0" applyFont="1" applyFill="1" applyAlignment="1">
      <alignment vertical="center"/>
    </xf>
    <xf numFmtId="20" fontId="13" fillId="13" borderId="0" xfId="0" quotePrefix="1" applyNumberFormat="1" applyFont="1" applyFill="1" applyAlignment="1">
      <alignment horizontal="center" vertical="center"/>
    </xf>
    <xf numFmtId="0" fontId="17" fillId="41" borderId="6" xfId="0" applyFont="1" applyFill="1" applyBorder="1" applyAlignment="1">
      <alignment horizontal="center" vertical="center"/>
    </xf>
    <xf numFmtId="0" fontId="11" fillId="64" borderId="54" xfId="0" applyFont="1" applyFill="1" applyBorder="1" applyAlignment="1">
      <alignment horizontal="left" vertical="center"/>
    </xf>
    <xf numFmtId="18" fontId="1" fillId="13" borderId="76" xfId="0" applyNumberFormat="1" applyFont="1" applyFill="1" applyBorder="1" applyAlignment="1">
      <alignment horizontal="center" vertical="center"/>
    </xf>
    <xf numFmtId="0" fontId="1" fillId="13" borderId="77" xfId="0" applyFont="1" applyFill="1" applyBorder="1" applyAlignment="1">
      <alignment horizontal="center" vertical="center"/>
    </xf>
    <xf numFmtId="18" fontId="1" fillId="13" borderId="78" xfId="0" applyNumberFormat="1" applyFont="1" applyFill="1" applyBorder="1" applyAlignment="1">
      <alignment horizontal="center" vertical="center"/>
    </xf>
    <xf numFmtId="20" fontId="1" fillId="13" borderId="77" xfId="0" applyNumberFormat="1" applyFont="1" applyFill="1" applyBorder="1" applyAlignment="1">
      <alignment horizontal="center" vertical="center"/>
    </xf>
    <xf numFmtId="0" fontId="1" fillId="13" borderId="60" xfId="0" applyFont="1" applyFill="1" applyBorder="1" applyAlignment="1">
      <alignment horizontal="center" vertical="center"/>
    </xf>
    <xf numFmtId="18" fontId="1" fillId="13" borderId="60" xfId="0" applyNumberFormat="1" applyFont="1" applyFill="1" applyBorder="1" applyAlignment="1">
      <alignment horizontal="center" vertical="center"/>
    </xf>
    <xf numFmtId="0" fontId="1" fillId="13" borderId="75" xfId="0" applyFont="1" applyFill="1" applyBorder="1" applyAlignment="1">
      <alignment horizontal="center" vertical="center"/>
    </xf>
    <xf numFmtId="0" fontId="13" fillId="65" borderId="80" xfId="0" applyFont="1" applyFill="1" applyBorder="1" applyAlignment="1">
      <alignment horizontal="center" vertical="center"/>
    </xf>
    <xf numFmtId="0" fontId="13" fillId="65" borderId="53" xfId="0" applyFont="1" applyFill="1" applyBorder="1" applyAlignment="1">
      <alignment horizontal="center" vertical="center"/>
    </xf>
    <xf numFmtId="0" fontId="13" fillId="65" borderId="84" xfId="0" applyFont="1" applyFill="1" applyBorder="1" applyAlignment="1">
      <alignment horizontal="center" vertical="center"/>
    </xf>
    <xf numFmtId="0" fontId="13" fillId="65" borderId="92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24" fillId="13" borderId="0" xfId="0" applyFont="1" applyFill="1" applyAlignment="1">
      <alignment vertical="center"/>
    </xf>
    <xf numFmtId="0" fontId="15" fillId="66" borderId="93" xfId="0" applyFont="1" applyFill="1" applyBorder="1" applyAlignment="1">
      <alignment horizontal="center" vertical="center"/>
    </xf>
    <xf numFmtId="9" fontId="13" fillId="13" borderId="16" xfId="0" applyNumberFormat="1" applyFont="1" applyFill="1" applyBorder="1" applyAlignment="1">
      <alignment horizontal="center" vertical="center"/>
    </xf>
    <xf numFmtId="9" fontId="13" fillId="13" borderId="0" xfId="0" applyNumberFormat="1" applyFont="1" applyFill="1" applyAlignment="1">
      <alignment horizontal="center" vertical="center"/>
    </xf>
    <xf numFmtId="9" fontId="13" fillId="13" borderId="93" xfId="0" applyNumberFormat="1" applyFont="1" applyFill="1" applyBorder="1" applyAlignment="1">
      <alignment horizontal="center" vertical="center"/>
    </xf>
    <xf numFmtId="0" fontId="15" fillId="66" borderId="86" xfId="0" applyFont="1" applyFill="1" applyBorder="1" applyAlignment="1">
      <alignment horizontal="center" vertical="center"/>
    </xf>
    <xf numFmtId="0" fontId="15" fillId="66" borderId="87" xfId="0" applyFont="1" applyFill="1" applyBorder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1" fillId="13" borderId="76" xfId="0" applyFont="1" applyFill="1" applyBorder="1" applyAlignment="1">
      <alignment horizontal="center" vertical="center"/>
    </xf>
    <xf numFmtId="20" fontId="18" fillId="13" borderId="77" xfId="0" applyNumberFormat="1" applyFont="1" applyFill="1" applyBorder="1" applyAlignment="1">
      <alignment horizontal="center" vertical="center"/>
    </xf>
    <xf numFmtId="16" fontId="1" fillId="13" borderId="60" xfId="0" applyNumberFormat="1" applyFont="1" applyFill="1" applyBorder="1" applyAlignment="1">
      <alignment horizontal="center" vertical="center"/>
    </xf>
    <xf numFmtId="18" fontId="18" fillId="13" borderId="60" xfId="0" applyNumberFormat="1" applyFont="1" applyFill="1" applyBorder="1" applyAlignment="1">
      <alignment horizontal="center" vertical="center"/>
    </xf>
    <xf numFmtId="0" fontId="13" fillId="65" borderId="94" xfId="0" applyFont="1" applyFill="1" applyBorder="1" applyAlignment="1">
      <alignment horizontal="center" vertical="center"/>
    </xf>
    <xf numFmtId="0" fontId="13" fillId="65" borderId="95" xfId="0" applyFont="1" applyFill="1" applyBorder="1" applyAlignment="1">
      <alignment horizontal="center" vertical="center"/>
    </xf>
    <xf numFmtId="0" fontId="13" fillId="65" borderId="89" xfId="0" applyFont="1" applyFill="1" applyBorder="1" applyAlignment="1">
      <alignment horizontal="center" vertical="center"/>
    </xf>
    <xf numFmtId="0" fontId="13" fillId="65" borderId="90" xfId="0" applyFont="1" applyFill="1" applyBorder="1" applyAlignment="1">
      <alignment horizontal="center" vertical="center"/>
    </xf>
    <xf numFmtId="0" fontId="13" fillId="65" borderId="91" xfId="0" applyFont="1" applyFill="1" applyBorder="1" applyAlignment="1">
      <alignment horizontal="center" vertical="center"/>
    </xf>
    <xf numFmtId="0" fontId="15" fillId="66" borderId="75" xfId="0" applyFont="1" applyFill="1" applyBorder="1" applyAlignment="1">
      <alignment horizontal="center" vertical="center"/>
    </xf>
    <xf numFmtId="9" fontId="13" fillId="13" borderId="74" xfId="0" applyNumberFormat="1" applyFont="1" applyFill="1" applyBorder="1" applyAlignment="1">
      <alignment horizontal="center" vertical="center"/>
    </xf>
    <xf numFmtId="0" fontId="17" fillId="41" borderId="73" xfId="0" applyFont="1" applyFill="1" applyBorder="1" applyAlignment="1">
      <alignment horizontal="center" vertical="center"/>
    </xf>
    <xf numFmtId="22" fontId="13" fillId="13" borderId="60" xfId="0" quotePrefix="1" applyNumberFormat="1" applyFont="1" applyFill="1" applyBorder="1" applyAlignment="1">
      <alignment horizontal="center" vertical="center"/>
    </xf>
    <xf numFmtId="0" fontId="15" fillId="13" borderId="60" xfId="0" applyFont="1" applyFill="1" applyBorder="1" applyAlignment="1">
      <alignment horizontal="center" vertical="center"/>
    </xf>
    <xf numFmtId="0" fontId="15" fillId="13" borderId="75" xfId="0" applyFont="1" applyFill="1" applyBorder="1" applyAlignment="1">
      <alignment horizontal="center" vertical="center"/>
    </xf>
    <xf numFmtId="0" fontId="17" fillId="41" borderId="75" xfId="0" applyFont="1" applyFill="1" applyBorder="1" applyAlignment="1">
      <alignment horizontal="center" vertical="center"/>
    </xf>
    <xf numFmtId="20" fontId="13" fillId="13" borderId="60" xfId="0" quotePrefix="1" applyNumberFormat="1" applyFont="1" applyFill="1" applyBorder="1" applyAlignment="1">
      <alignment horizontal="center" vertical="center"/>
    </xf>
    <xf numFmtId="0" fontId="17" fillId="41" borderId="79" xfId="0" applyFont="1" applyFill="1" applyBorder="1" applyAlignment="1">
      <alignment horizontal="center" vertical="center"/>
    </xf>
    <xf numFmtId="16" fontId="1" fillId="13" borderId="76" xfId="0" applyNumberFormat="1" applyFont="1" applyFill="1" applyBorder="1" applyAlignment="1">
      <alignment horizontal="center" vertical="center"/>
    </xf>
    <xf numFmtId="18" fontId="1" fillId="13" borderId="77" xfId="0" applyNumberFormat="1" applyFont="1" applyFill="1" applyBorder="1" applyAlignment="1">
      <alignment horizontal="center" vertical="center"/>
    </xf>
    <xf numFmtId="0" fontId="1" fillId="13" borderId="79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5" fillId="66" borderId="73" xfId="0" applyFont="1" applyFill="1" applyBorder="1" applyAlignment="1">
      <alignment horizontal="center" vertical="center"/>
    </xf>
    <xf numFmtId="0" fontId="13" fillId="13" borderId="75" xfId="0" applyFont="1" applyFill="1" applyBorder="1" applyAlignment="1">
      <alignment horizontal="center" vertical="center"/>
    </xf>
    <xf numFmtId="164" fontId="1" fillId="13" borderId="79" xfId="0" applyNumberFormat="1" applyFont="1" applyFill="1" applyBorder="1" applyAlignment="1">
      <alignment horizontal="center" vertical="center"/>
    </xf>
    <xf numFmtId="0" fontId="15" fillId="66" borderId="70" xfId="0" applyFont="1" applyFill="1" applyBorder="1" applyAlignment="1">
      <alignment horizontal="center" vertical="center"/>
    </xf>
    <xf numFmtId="0" fontId="15" fillId="66" borderId="71" xfId="0" applyFont="1" applyFill="1" applyBorder="1" applyAlignment="1">
      <alignment horizontal="center" vertical="center"/>
    </xf>
    <xf numFmtId="0" fontId="15" fillId="66" borderId="0" xfId="0" applyFont="1" applyFill="1" applyAlignment="1">
      <alignment horizontal="center" vertical="center"/>
    </xf>
    <xf numFmtId="0" fontId="15" fillId="13" borderId="74" xfId="0" applyFont="1" applyFill="1" applyBorder="1" applyAlignment="1">
      <alignment horizontal="center" vertical="center"/>
    </xf>
    <xf numFmtId="0" fontId="1" fillId="13" borderId="74" xfId="0" applyFont="1" applyFill="1" applyBorder="1" applyAlignment="1">
      <alignment horizontal="center" vertical="center"/>
    </xf>
    <xf numFmtId="0" fontId="13" fillId="65" borderId="3" xfId="0" applyFont="1" applyFill="1" applyBorder="1" applyAlignment="1">
      <alignment horizontal="center" vertical="center"/>
    </xf>
    <xf numFmtId="10" fontId="13" fillId="13" borderId="74" xfId="0" applyNumberFormat="1" applyFont="1" applyFill="1" applyBorder="1" applyAlignment="1">
      <alignment horizontal="center" vertical="center"/>
    </xf>
    <xf numFmtId="10" fontId="13" fillId="13" borderId="75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vertical="center"/>
    </xf>
    <xf numFmtId="0" fontId="1" fillId="55" borderId="0" xfId="0" applyFont="1" applyFill="1"/>
    <xf numFmtId="0" fontId="19" fillId="55" borderId="0" xfId="0" applyFont="1" applyFill="1"/>
    <xf numFmtId="0" fontId="12" fillId="56" borderId="52" xfId="0" applyFont="1" applyFill="1" applyBorder="1" applyAlignment="1">
      <alignment horizontal="center" vertical="center"/>
    </xf>
    <xf numFmtId="0" fontId="12" fillId="56" borderId="68" xfId="0" applyFont="1" applyFill="1" applyBorder="1" applyAlignment="1">
      <alignment horizontal="center" vertical="center"/>
    </xf>
    <xf numFmtId="0" fontId="12" fillId="56" borderId="1" xfId="0" applyFont="1" applyFill="1" applyBorder="1" applyAlignment="1">
      <alignment horizontal="center" vertical="center"/>
    </xf>
    <xf numFmtId="0" fontId="12" fillId="56" borderId="3" xfId="0" applyFont="1" applyFill="1" applyBorder="1" applyAlignment="1">
      <alignment horizontal="center" vertical="center"/>
    </xf>
    <xf numFmtId="0" fontId="13" fillId="55" borderId="0" xfId="0" applyFont="1" applyFill="1" applyAlignment="1">
      <alignment horizontal="center" vertical="center"/>
    </xf>
    <xf numFmtId="0" fontId="16" fillId="55" borderId="0" xfId="0" applyFont="1" applyFill="1" applyAlignment="1">
      <alignment vertical="center"/>
    </xf>
    <xf numFmtId="0" fontId="16" fillId="55" borderId="0" xfId="0" applyFont="1" applyFill="1"/>
    <xf numFmtId="0" fontId="11" fillId="56" borderId="47" xfId="0" applyFont="1" applyFill="1" applyBorder="1" applyAlignment="1">
      <alignment horizontal="left" vertical="center"/>
    </xf>
    <xf numFmtId="0" fontId="13" fillId="55" borderId="0" xfId="0" applyFont="1" applyFill="1"/>
    <xf numFmtId="0" fontId="11" fillId="56" borderId="53" xfId="0" applyFont="1" applyFill="1" applyBorder="1" applyAlignment="1">
      <alignment horizontal="left" vertical="center"/>
    </xf>
    <xf numFmtId="0" fontId="13" fillId="57" borderId="47" xfId="0" applyFont="1" applyFill="1" applyBorder="1" applyAlignment="1">
      <alignment horizontal="center" vertical="center"/>
    </xf>
    <xf numFmtId="0" fontId="13" fillId="57" borderId="52" xfId="0" applyFont="1" applyFill="1" applyBorder="1" applyAlignment="1">
      <alignment horizontal="center" vertical="center"/>
    </xf>
    <xf numFmtId="0" fontId="13" fillId="57" borderId="67" xfId="0" applyFont="1" applyFill="1" applyBorder="1" applyAlignment="1">
      <alignment horizontal="center" vertical="center"/>
    </xf>
    <xf numFmtId="0" fontId="9" fillId="55" borderId="0" xfId="0" applyFont="1" applyFill="1" applyAlignment="1">
      <alignment vertical="center"/>
    </xf>
    <xf numFmtId="0" fontId="12" fillId="56" borderId="53" xfId="0" applyFont="1" applyFill="1" applyBorder="1" applyAlignment="1">
      <alignment horizontal="left" vertical="center"/>
    </xf>
    <xf numFmtId="0" fontId="15" fillId="58" borderId="18" xfId="0" applyFont="1" applyFill="1" applyBorder="1" applyAlignment="1">
      <alignment horizontal="center" vertical="center"/>
    </xf>
    <xf numFmtId="0" fontId="17" fillId="58" borderId="71" xfId="0" applyFont="1" applyFill="1" applyBorder="1" applyAlignment="1">
      <alignment horizontal="center" vertical="center"/>
    </xf>
    <xf numFmtId="0" fontId="17" fillId="58" borderId="72" xfId="0" applyFont="1" applyFill="1" applyBorder="1" applyAlignment="1">
      <alignment horizontal="center" vertical="center"/>
    </xf>
    <xf numFmtId="0" fontId="17" fillId="56" borderId="71" xfId="0" applyFont="1" applyFill="1" applyBorder="1" applyAlignment="1">
      <alignment horizontal="center" vertical="center" wrapText="1"/>
    </xf>
    <xf numFmtId="0" fontId="17" fillId="56" borderId="71" xfId="0" applyFont="1" applyFill="1" applyBorder="1" applyAlignment="1">
      <alignment horizontal="center" vertical="center"/>
    </xf>
    <xf numFmtId="0" fontId="9" fillId="55" borderId="0" xfId="0" applyFont="1" applyFill="1"/>
    <xf numFmtId="0" fontId="11" fillId="56" borderId="85" xfId="0" applyFont="1" applyFill="1" applyBorder="1" applyAlignment="1">
      <alignment horizontal="left" vertical="center"/>
    </xf>
    <xf numFmtId="9" fontId="13" fillId="59" borderId="63" xfId="0" applyNumberFormat="1" applyFont="1" applyFill="1" applyBorder="1" applyAlignment="1">
      <alignment horizontal="center" vertical="center"/>
    </xf>
    <xf numFmtId="9" fontId="13" fillId="59" borderId="60" xfId="0" applyNumberFormat="1" applyFont="1" applyFill="1" applyBorder="1" applyAlignment="1">
      <alignment horizontal="center" vertical="center"/>
    </xf>
    <xf numFmtId="9" fontId="13" fillId="59" borderId="86" xfId="0" applyNumberFormat="1" applyFont="1" applyFill="1" applyBorder="1" applyAlignment="1">
      <alignment horizontal="center" vertical="center"/>
    </xf>
    <xf numFmtId="9" fontId="13" fillId="59" borderId="88" xfId="0" applyNumberFormat="1" applyFont="1" applyFill="1" applyBorder="1" applyAlignment="1">
      <alignment horizontal="center" vertical="center"/>
    </xf>
    <xf numFmtId="9" fontId="13" fillId="59" borderId="75" xfId="0" applyNumberFormat="1" applyFont="1" applyFill="1" applyBorder="1" applyAlignment="1">
      <alignment horizontal="center" vertical="center"/>
    </xf>
    <xf numFmtId="0" fontId="11" fillId="55" borderId="0" xfId="0" applyFont="1" applyFill="1"/>
    <xf numFmtId="0" fontId="15" fillId="58" borderId="74" xfId="0" applyFont="1" applyFill="1" applyBorder="1" applyAlignment="1">
      <alignment horizontal="center" vertical="center"/>
    </xf>
    <xf numFmtId="0" fontId="15" fillId="58" borderId="60" xfId="0" applyFont="1" applyFill="1" applyBorder="1" applyAlignment="1">
      <alignment horizontal="center" vertical="center"/>
    </xf>
    <xf numFmtId="0" fontId="15" fillId="58" borderId="63" xfId="0" applyFont="1" applyFill="1" applyBorder="1" applyAlignment="1">
      <alignment horizontal="center" vertical="center"/>
    </xf>
    <xf numFmtId="0" fontId="15" fillId="56" borderId="60" xfId="0" applyFont="1" applyFill="1" applyBorder="1" applyAlignment="1">
      <alignment horizontal="center" vertical="center"/>
    </xf>
    <xf numFmtId="0" fontId="15" fillId="56" borderId="0" xfId="0" applyFont="1" applyFill="1" applyAlignment="1">
      <alignment horizontal="center" vertical="center"/>
    </xf>
    <xf numFmtId="0" fontId="17" fillId="60" borderId="4" xfId="0" applyFont="1" applyFill="1" applyBorder="1" applyAlignment="1">
      <alignment horizontal="center" vertical="center"/>
    </xf>
    <xf numFmtId="0" fontId="24" fillId="55" borderId="0" xfId="0" applyFont="1" applyFill="1"/>
    <xf numFmtId="0" fontId="13" fillId="59" borderId="74" xfId="0" applyFont="1" applyFill="1" applyBorder="1" applyAlignment="1">
      <alignment horizontal="center" vertical="center"/>
    </xf>
    <xf numFmtId="0" fontId="13" fillId="59" borderId="60" xfId="0" applyFont="1" applyFill="1" applyBorder="1" applyAlignment="1">
      <alignment horizontal="center" vertical="center"/>
    </xf>
    <xf numFmtId="0" fontId="13" fillId="59" borderId="63" xfId="0" applyFont="1" applyFill="1" applyBorder="1" applyAlignment="1">
      <alignment horizontal="center" vertical="center"/>
    </xf>
    <xf numFmtId="0" fontId="13" fillId="59" borderId="0" xfId="0" applyFont="1" applyFill="1" applyAlignment="1">
      <alignment horizontal="center" vertical="center"/>
    </xf>
    <xf numFmtId="0" fontId="17" fillId="60" borderId="5" xfId="0" applyFont="1" applyFill="1" applyBorder="1" applyAlignment="1">
      <alignment horizontal="center" vertical="center"/>
    </xf>
    <xf numFmtId="0" fontId="23" fillId="55" borderId="0" xfId="0" applyFont="1" applyFill="1" applyAlignment="1">
      <alignment vertical="center"/>
    </xf>
    <xf numFmtId="20" fontId="13" fillId="59" borderId="0" xfId="0" applyNumberFormat="1" applyFont="1" applyFill="1" applyAlignment="1">
      <alignment horizontal="center" vertical="center"/>
    </xf>
    <xf numFmtId="0" fontId="17" fillId="60" borderId="6" xfId="0" applyFont="1" applyFill="1" applyBorder="1" applyAlignment="1">
      <alignment horizontal="center" vertical="center"/>
    </xf>
    <xf numFmtId="0" fontId="11" fillId="56" borderId="54" xfId="0" applyFont="1" applyFill="1" applyBorder="1" applyAlignment="1">
      <alignment horizontal="left" vertical="center"/>
    </xf>
    <xf numFmtId="18" fontId="1" fillId="59" borderId="76" xfId="0" applyNumberFormat="1" applyFont="1" applyFill="1" applyBorder="1" applyAlignment="1">
      <alignment horizontal="center" vertical="center"/>
    </xf>
    <xf numFmtId="0" fontId="1" fillId="59" borderId="77" xfId="0" applyFont="1" applyFill="1" applyBorder="1" applyAlignment="1">
      <alignment horizontal="center" vertical="center"/>
    </xf>
    <xf numFmtId="18" fontId="1" fillId="59" borderId="78" xfId="0" applyNumberFormat="1" applyFont="1" applyFill="1" applyBorder="1" applyAlignment="1">
      <alignment horizontal="center" vertical="center"/>
    </xf>
    <xf numFmtId="20" fontId="1" fillId="59" borderId="77" xfId="0" applyNumberFormat="1" applyFont="1" applyFill="1" applyBorder="1" applyAlignment="1">
      <alignment horizontal="center" vertical="center"/>
    </xf>
    <xf numFmtId="0" fontId="1" fillId="59" borderId="60" xfId="0" applyFont="1" applyFill="1" applyBorder="1" applyAlignment="1">
      <alignment horizontal="center" vertical="center"/>
    </xf>
    <xf numFmtId="18" fontId="1" fillId="59" borderId="60" xfId="0" applyNumberFormat="1" applyFont="1" applyFill="1" applyBorder="1" applyAlignment="1">
      <alignment horizontal="center" vertical="center"/>
    </xf>
    <xf numFmtId="0" fontId="1" fillId="59" borderId="75" xfId="0" applyFont="1" applyFill="1" applyBorder="1" applyAlignment="1">
      <alignment horizontal="center" vertical="center"/>
    </xf>
    <xf numFmtId="0" fontId="13" fillId="57" borderId="80" xfId="0" applyFont="1" applyFill="1" applyBorder="1" applyAlignment="1">
      <alignment horizontal="center" vertical="center"/>
    </xf>
    <xf numFmtId="0" fontId="13" fillId="57" borderId="53" xfId="0" applyFont="1" applyFill="1" applyBorder="1" applyAlignment="1">
      <alignment horizontal="center" vertical="center"/>
    </xf>
    <xf numFmtId="0" fontId="13" fillId="57" borderId="84" xfId="0" applyFont="1" applyFill="1" applyBorder="1" applyAlignment="1">
      <alignment horizontal="center" vertical="center"/>
    </xf>
    <xf numFmtId="0" fontId="13" fillId="57" borderId="92" xfId="0" applyFont="1" applyFill="1" applyBorder="1" applyAlignment="1">
      <alignment horizontal="center" vertical="center"/>
    </xf>
    <xf numFmtId="0" fontId="15" fillId="55" borderId="0" xfId="0" applyFont="1" applyFill="1" applyAlignment="1">
      <alignment horizontal="center" vertical="center"/>
    </xf>
    <xf numFmtId="0" fontId="24" fillId="55" borderId="0" xfId="0" applyFont="1" applyFill="1" applyAlignment="1">
      <alignment vertical="center"/>
    </xf>
    <xf numFmtId="0" fontId="17" fillId="61" borderId="72" xfId="0" applyFont="1" applyFill="1" applyBorder="1" applyAlignment="1">
      <alignment horizontal="center" vertical="center"/>
    </xf>
    <xf numFmtId="0" fontId="15" fillId="58" borderId="86" xfId="0" applyFont="1" applyFill="1" applyBorder="1" applyAlignment="1">
      <alignment horizontal="center" vertical="center"/>
    </xf>
    <xf numFmtId="0" fontId="15" fillId="58" borderId="93" xfId="0" applyFont="1" applyFill="1" applyBorder="1" applyAlignment="1">
      <alignment horizontal="center" vertical="center"/>
    </xf>
    <xf numFmtId="9" fontId="13" fillId="59" borderId="16" xfId="0" applyNumberFormat="1" applyFont="1" applyFill="1" applyBorder="1" applyAlignment="1">
      <alignment horizontal="center" vertical="center"/>
    </xf>
    <xf numFmtId="9" fontId="13" fillId="59" borderId="0" xfId="0" applyNumberFormat="1" applyFont="1" applyFill="1" applyAlignment="1">
      <alignment horizontal="center" vertical="center"/>
    </xf>
    <xf numFmtId="9" fontId="13" fillId="59" borderId="93" xfId="0" applyNumberFormat="1" applyFont="1" applyFill="1" applyBorder="1" applyAlignment="1">
      <alignment horizontal="center" vertical="center"/>
    </xf>
    <xf numFmtId="0" fontId="15" fillId="56" borderId="74" xfId="0" applyFont="1" applyFill="1" applyBorder="1" applyAlignment="1">
      <alignment horizontal="center" vertical="center"/>
    </xf>
    <xf numFmtId="0" fontId="15" fillId="56" borderId="60" xfId="0" quotePrefix="1" applyFont="1" applyFill="1" applyBorder="1" applyAlignment="1">
      <alignment horizontal="center" vertical="center"/>
    </xf>
    <xf numFmtId="0" fontId="15" fillId="61" borderId="60" xfId="0" applyFont="1" applyFill="1" applyBorder="1" applyAlignment="1">
      <alignment horizontal="center" vertical="center"/>
    </xf>
    <xf numFmtId="0" fontId="15" fillId="58" borderId="87" xfId="0" applyFont="1" applyFill="1" applyBorder="1" applyAlignment="1">
      <alignment horizontal="center" vertical="center"/>
    </xf>
    <xf numFmtId="0" fontId="25" fillId="55" borderId="0" xfId="0" applyFont="1" applyFill="1" applyAlignment="1">
      <alignment vertical="center"/>
    </xf>
    <xf numFmtId="0" fontId="1" fillId="59" borderId="76" xfId="0" applyFont="1" applyFill="1" applyBorder="1" applyAlignment="1">
      <alignment horizontal="center" vertical="center"/>
    </xf>
    <xf numFmtId="20" fontId="18" fillId="59" borderId="77" xfId="0" applyNumberFormat="1" applyFont="1" applyFill="1" applyBorder="1" applyAlignment="1">
      <alignment horizontal="center" vertical="center"/>
    </xf>
    <xf numFmtId="16" fontId="1" fillId="59" borderId="60" xfId="0" applyNumberFormat="1" applyFont="1" applyFill="1" applyBorder="1" applyAlignment="1">
      <alignment horizontal="center" vertical="center"/>
    </xf>
    <xf numFmtId="18" fontId="18" fillId="59" borderId="60" xfId="0" applyNumberFormat="1" applyFont="1" applyFill="1" applyBorder="1" applyAlignment="1">
      <alignment horizontal="center" vertical="center"/>
    </xf>
    <xf numFmtId="0" fontId="13" fillId="57" borderId="94" xfId="0" applyFont="1" applyFill="1" applyBorder="1" applyAlignment="1">
      <alignment horizontal="center" vertical="center"/>
    </xf>
    <xf numFmtId="0" fontId="13" fillId="57" borderId="95" xfId="0" applyFont="1" applyFill="1" applyBorder="1" applyAlignment="1">
      <alignment horizontal="center" vertical="center"/>
    </xf>
    <xf numFmtId="0" fontId="13" fillId="57" borderId="89" xfId="0" applyFont="1" applyFill="1" applyBorder="1" applyAlignment="1">
      <alignment horizontal="center" vertical="center"/>
    </xf>
    <xf numFmtId="0" fontId="13" fillId="57" borderId="90" xfId="0" applyFont="1" applyFill="1" applyBorder="1" applyAlignment="1">
      <alignment horizontal="center" vertical="center"/>
    </xf>
    <xf numFmtId="0" fontId="13" fillId="57" borderId="91" xfId="0" applyFont="1" applyFill="1" applyBorder="1" applyAlignment="1">
      <alignment horizontal="center" vertical="center"/>
    </xf>
    <xf numFmtId="0" fontId="15" fillId="58" borderId="74" xfId="0" quotePrefix="1" applyFont="1" applyFill="1" applyBorder="1" applyAlignment="1">
      <alignment horizontal="center" vertical="center"/>
    </xf>
    <xf numFmtId="0" fontId="15" fillId="58" borderId="60" xfId="0" quotePrefix="1" applyFont="1" applyFill="1" applyBorder="1" applyAlignment="1">
      <alignment horizontal="center" vertical="center"/>
    </xf>
    <xf numFmtId="0" fontId="15" fillId="58" borderId="75" xfId="0" applyFont="1" applyFill="1" applyBorder="1" applyAlignment="1">
      <alignment horizontal="center" vertical="center"/>
    </xf>
    <xf numFmtId="9" fontId="13" fillId="59" borderId="74" xfId="0" applyNumberFormat="1" applyFont="1" applyFill="1" applyBorder="1" applyAlignment="1">
      <alignment horizontal="center" vertical="center"/>
    </xf>
    <xf numFmtId="0" fontId="17" fillId="60" borderId="73" xfId="0" applyFont="1" applyFill="1" applyBorder="1" applyAlignment="1">
      <alignment horizontal="center" vertical="center"/>
    </xf>
    <xf numFmtId="0" fontId="15" fillId="59" borderId="60" xfId="0" applyFont="1" applyFill="1" applyBorder="1" applyAlignment="1">
      <alignment horizontal="center" vertical="center"/>
    </xf>
    <xf numFmtId="0" fontId="15" fillId="59" borderId="75" xfId="0" applyFont="1" applyFill="1" applyBorder="1" applyAlignment="1">
      <alignment horizontal="center" vertical="center"/>
    </xf>
    <xf numFmtId="0" fontId="17" fillId="60" borderId="75" xfId="0" applyFont="1" applyFill="1" applyBorder="1" applyAlignment="1">
      <alignment horizontal="center" vertical="center"/>
    </xf>
    <xf numFmtId="20" fontId="13" fillId="59" borderId="60" xfId="0" quotePrefix="1" applyNumberFormat="1" applyFont="1" applyFill="1" applyBorder="1" applyAlignment="1">
      <alignment horizontal="center" vertical="center"/>
    </xf>
    <xf numFmtId="0" fontId="17" fillId="60" borderId="79" xfId="0" applyFont="1" applyFill="1" applyBorder="1" applyAlignment="1">
      <alignment horizontal="center" vertical="center"/>
    </xf>
    <xf numFmtId="16" fontId="1" fillId="59" borderId="76" xfId="0" applyNumberFormat="1" applyFont="1" applyFill="1" applyBorder="1" applyAlignment="1">
      <alignment horizontal="center" vertical="center"/>
    </xf>
    <xf numFmtId="18" fontId="1" fillId="59" borderId="77" xfId="0" applyNumberFormat="1" applyFont="1" applyFill="1" applyBorder="1" applyAlignment="1">
      <alignment horizontal="center" vertical="center"/>
    </xf>
    <xf numFmtId="0" fontId="1" fillId="59" borderId="79" xfId="0" applyFont="1" applyFill="1" applyBorder="1" applyAlignment="1">
      <alignment horizontal="center" vertical="center"/>
    </xf>
    <xf numFmtId="0" fontId="17" fillId="55" borderId="0" xfId="0" applyFont="1" applyFill="1" applyAlignment="1">
      <alignment horizontal="center" vertical="center"/>
    </xf>
    <xf numFmtId="0" fontId="17" fillId="58" borderId="71" xfId="0" quotePrefix="1" applyFont="1" applyFill="1" applyBorder="1" applyAlignment="1">
      <alignment horizontal="center" vertical="center"/>
    </xf>
    <xf numFmtId="0" fontId="15" fillId="58" borderId="73" xfId="0" applyFont="1" applyFill="1" applyBorder="1" applyAlignment="1">
      <alignment horizontal="center" vertical="center"/>
    </xf>
    <xf numFmtId="0" fontId="13" fillId="59" borderId="75" xfId="0" applyFont="1" applyFill="1" applyBorder="1" applyAlignment="1">
      <alignment horizontal="center" vertical="center"/>
    </xf>
    <xf numFmtId="164" fontId="1" fillId="59" borderId="79" xfId="0" applyNumberFormat="1" applyFont="1" applyFill="1" applyBorder="1" applyAlignment="1">
      <alignment horizontal="center" vertical="center"/>
    </xf>
    <xf numFmtId="0" fontId="15" fillId="58" borderId="70" xfId="0" applyFont="1" applyFill="1" applyBorder="1" applyAlignment="1">
      <alignment horizontal="center" vertical="center"/>
    </xf>
    <xf numFmtId="0" fontId="15" fillId="58" borderId="71" xfId="0" applyFont="1" applyFill="1" applyBorder="1" applyAlignment="1">
      <alignment horizontal="center" vertical="center"/>
    </xf>
    <xf numFmtId="0" fontId="15" fillId="58" borderId="0" xfId="0" applyFont="1" applyFill="1" applyAlignment="1">
      <alignment horizontal="center" vertical="center"/>
    </xf>
    <xf numFmtId="0" fontId="15" fillId="59" borderId="74" xfId="0" applyFont="1" applyFill="1" applyBorder="1" applyAlignment="1">
      <alignment horizontal="center" vertical="center"/>
    </xf>
    <xf numFmtId="0" fontId="15" fillId="59" borderId="0" xfId="0" applyFont="1" applyFill="1" applyAlignment="1">
      <alignment horizontal="center" vertical="center"/>
    </xf>
    <xf numFmtId="0" fontId="1" fillId="59" borderId="74" xfId="0" applyFont="1" applyFill="1" applyBorder="1" applyAlignment="1">
      <alignment horizontal="center" vertical="center"/>
    </xf>
    <xf numFmtId="0" fontId="13" fillId="57" borderId="3" xfId="0" applyFont="1" applyFill="1" applyBorder="1" applyAlignment="1">
      <alignment horizontal="center" vertical="center"/>
    </xf>
    <xf numFmtId="0" fontId="15" fillId="58" borderId="75" xfId="0" quotePrefix="1" applyFont="1" applyFill="1" applyBorder="1" applyAlignment="1">
      <alignment horizontal="center" vertical="center"/>
    </xf>
    <xf numFmtId="10" fontId="13" fillId="59" borderId="74" xfId="0" applyNumberFormat="1" applyFont="1" applyFill="1" applyBorder="1" applyAlignment="1">
      <alignment horizontal="center" vertical="center"/>
    </xf>
    <xf numFmtId="10" fontId="13" fillId="59" borderId="75" xfId="0" applyNumberFormat="1" applyFont="1" applyFill="1" applyBorder="1" applyAlignment="1">
      <alignment horizontal="center" vertical="center"/>
    </xf>
    <xf numFmtId="0" fontId="1" fillId="55" borderId="0" xfId="0" applyFont="1" applyFill="1" applyAlignment="1">
      <alignment vertical="center"/>
    </xf>
    <xf numFmtId="0" fontId="1" fillId="49" borderId="0" xfId="0" applyFont="1" applyFill="1"/>
    <xf numFmtId="0" fontId="15" fillId="49" borderId="0" xfId="0" applyFont="1" applyFill="1" applyAlignment="1">
      <alignment horizontal="center" vertical="center"/>
    </xf>
    <xf numFmtId="0" fontId="19" fillId="49" borderId="0" xfId="0" applyFont="1" applyFill="1"/>
    <xf numFmtId="0" fontId="12" fillId="50" borderId="52" xfId="0" applyFont="1" applyFill="1" applyBorder="1" applyAlignment="1">
      <alignment horizontal="center" vertical="center"/>
    </xf>
    <xf numFmtId="0" fontId="12" fillId="50" borderId="68" xfId="0" applyFont="1" applyFill="1" applyBorder="1" applyAlignment="1">
      <alignment horizontal="center" vertical="center"/>
    </xf>
    <xf numFmtId="0" fontId="12" fillId="50" borderId="1" xfId="0" applyFont="1" applyFill="1" applyBorder="1" applyAlignment="1">
      <alignment horizontal="center" vertical="center"/>
    </xf>
    <xf numFmtId="0" fontId="12" fillId="50" borderId="3" xfId="0" applyFont="1" applyFill="1" applyBorder="1" applyAlignment="1">
      <alignment horizontal="center" vertical="center"/>
    </xf>
    <xf numFmtId="0" fontId="13" fillId="49" borderId="0" xfId="0" applyFont="1" applyFill="1" applyAlignment="1">
      <alignment horizontal="center" vertical="center"/>
    </xf>
    <xf numFmtId="0" fontId="16" fillId="49" borderId="0" xfId="0" applyFont="1" applyFill="1" applyAlignment="1">
      <alignment vertical="center"/>
    </xf>
    <xf numFmtId="0" fontId="16" fillId="49" borderId="0" xfId="0" applyFont="1" applyFill="1"/>
    <xf numFmtId="0" fontId="11" fillId="50" borderId="47" xfId="0" applyFont="1" applyFill="1" applyBorder="1" applyAlignment="1">
      <alignment horizontal="left" vertical="center"/>
    </xf>
    <xf numFmtId="0" fontId="13" fillId="49" borderId="0" xfId="0" applyFont="1" applyFill="1"/>
    <xf numFmtId="0" fontId="11" fillId="50" borderId="53" xfId="0" applyFont="1" applyFill="1" applyBorder="1" applyAlignment="1">
      <alignment horizontal="left" vertical="center"/>
    </xf>
    <xf numFmtId="0" fontId="13" fillId="51" borderId="47" xfId="0" applyFont="1" applyFill="1" applyBorder="1" applyAlignment="1">
      <alignment horizontal="center" vertical="center"/>
    </xf>
    <xf numFmtId="0" fontId="13" fillId="51" borderId="52" xfId="0" applyFont="1" applyFill="1" applyBorder="1" applyAlignment="1">
      <alignment horizontal="center" vertical="center"/>
    </xf>
    <xf numFmtId="0" fontId="13" fillId="51" borderId="67" xfId="0" applyFont="1" applyFill="1" applyBorder="1" applyAlignment="1">
      <alignment horizontal="center" vertical="center"/>
    </xf>
    <xf numFmtId="0" fontId="9" fillId="49" borderId="0" xfId="0" applyFont="1" applyFill="1" applyAlignment="1">
      <alignment vertical="center"/>
    </xf>
    <xf numFmtId="0" fontId="12" fillId="50" borderId="53" xfId="0" applyFont="1" applyFill="1" applyBorder="1" applyAlignment="1">
      <alignment horizontal="left" vertical="center"/>
    </xf>
    <xf numFmtId="0" fontId="15" fillId="52" borderId="18" xfId="0" applyFont="1" applyFill="1" applyBorder="1" applyAlignment="1">
      <alignment horizontal="center" vertical="center"/>
    </xf>
    <xf numFmtId="0" fontId="17" fillId="52" borderId="71" xfId="0" applyFont="1" applyFill="1" applyBorder="1" applyAlignment="1">
      <alignment horizontal="center" vertical="center"/>
    </xf>
    <xf numFmtId="0" fontId="17" fillId="52" borderId="72" xfId="0" applyFont="1" applyFill="1" applyBorder="1" applyAlignment="1">
      <alignment horizontal="center" vertical="center"/>
    </xf>
    <xf numFmtId="0" fontId="15" fillId="52" borderId="73" xfId="0" applyFont="1" applyFill="1" applyBorder="1" applyAlignment="1">
      <alignment horizontal="center" vertical="center"/>
    </xf>
    <xf numFmtId="0" fontId="9" fillId="49" borderId="0" xfId="0" applyFont="1" applyFill="1"/>
    <xf numFmtId="0" fontId="11" fillId="50" borderId="85" xfId="0" applyFont="1" applyFill="1" applyBorder="1" applyAlignment="1">
      <alignment horizontal="left" vertical="center"/>
    </xf>
    <xf numFmtId="9" fontId="13" fillId="49" borderId="63" xfId="0" applyNumberFormat="1" applyFont="1" applyFill="1" applyBorder="1" applyAlignment="1">
      <alignment horizontal="center" vertical="center"/>
    </xf>
    <xf numFmtId="9" fontId="13" fillId="49" borderId="60" xfId="0" applyNumberFormat="1" applyFont="1" applyFill="1" applyBorder="1" applyAlignment="1">
      <alignment horizontal="center" vertical="center"/>
    </xf>
    <xf numFmtId="9" fontId="13" fillId="49" borderId="86" xfId="0" applyNumberFormat="1" applyFont="1" applyFill="1" applyBorder="1" applyAlignment="1">
      <alignment horizontal="center" vertical="center"/>
    </xf>
    <xf numFmtId="9" fontId="13" fillId="49" borderId="88" xfId="0" applyNumberFormat="1" applyFont="1" applyFill="1" applyBorder="1" applyAlignment="1">
      <alignment horizontal="center" vertical="center"/>
    </xf>
    <xf numFmtId="9" fontId="13" fillId="49" borderId="75" xfId="0" applyNumberFormat="1" applyFont="1" applyFill="1" applyBorder="1" applyAlignment="1">
      <alignment horizontal="center" vertical="center"/>
    </xf>
    <xf numFmtId="0" fontId="11" fillId="49" borderId="0" xfId="0" applyFont="1" applyFill="1"/>
    <xf numFmtId="0" fontId="15" fillId="52" borderId="74" xfId="0" applyFont="1" applyFill="1" applyBorder="1" applyAlignment="1">
      <alignment horizontal="center" vertical="center"/>
    </xf>
    <xf numFmtId="0" fontId="15" fillId="52" borderId="60" xfId="0" applyFont="1" applyFill="1" applyBorder="1" applyAlignment="1">
      <alignment horizontal="center" vertical="center"/>
    </xf>
    <xf numFmtId="0" fontId="15" fillId="52" borderId="63" xfId="0" applyFont="1" applyFill="1" applyBorder="1" applyAlignment="1">
      <alignment horizontal="center" vertical="center"/>
    </xf>
    <xf numFmtId="0" fontId="15" fillId="52" borderId="0" xfId="0" applyFont="1" applyFill="1" applyAlignment="1">
      <alignment horizontal="center" vertical="center"/>
    </xf>
    <xf numFmtId="0" fontId="17" fillId="53" borderId="4" xfId="0" applyFont="1" applyFill="1" applyBorder="1" applyAlignment="1">
      <alignment horizontal="center" vertical="center"/>
    </xf>
    <xf numFmtId="0" fontId="24" fillId="49" borderId="0" xfId="0" applyFont="1" applyFill="1"/>
    <xf numFmtId="0" fontId="13" fillId="49" borderId="74" xfId="0" applyFont="1" applyFill="1" applyBorder="1" applyAlignment="1">
      <alignment horizontal="center" vertical="center"/>
    </xf>
    <xf numFmtId="0" fontId="13" fillId="49" borderId="60" xfId="0" applyFont="1" applyFill="1" applyBorder="1" applyAlignment="1">
      <alignment horizontal="center" vertical="center"/>
    </xf>
    <xf numFmtId="0" fontId="13" fillId="49" borderId="63" xfId="0" applyFont="1" applyFill="1" applyBorder="1" applyAlignment="1">
      <alignment horizontal="center" vertical="center"/>
    </xf>
    <xf numFmtId="0" fontId="17" fillId="53" borderId="5" xfId="0" applyFont="1" applyFill="1" applyBorder="1" applyAlignment="1">
      <alignment horizontal="center" vertical="center"/>
    </xf>
    <xf numFmtId="0" fontId="23" fillId="49" borderId="0" xfId="0" applyFont="1" applyFill="1" applyAlignment="1">
      <alignment vertical="center"/>
    </xf>
    <xf numFmtId="0" fontId="17" fillId="53" borderId="6" xfId="0" applyFont="1" applyFill="1" applyBorder="1" applyAlignment="1">
      <alignment horizontal="center" vertical="center"/>
    </xf>
    <xf numFmtId="0" fontId="11" fillId="50" borderId="54" xfId="0" applyFont="1" applyFill="1" applyBorder="1" applyAlignment="1">
      <alignment horizontal="left" vertical="center"/>
    </xf>
    <xf numFmtId="18" fontId="1" fillId="49" borderId="76" xfId="0" applyNumberFormat="1" applyFont="1" applyFill="1" applyBorder="1" applyAlignment="1">
      <alignment horizontal="center" vertical="center"/>
    </xf>
    <xf numFmtId="0" fontId="1" fillId="49" borderId="77" xfId="0" applyFont="1" applyFill="1" applyBorder="1" applyAlignment="1">
      <alignment horizontal="center" vertical="center"/>
    </xf>
    <xf numFmtId="18" fontId="1" fillId="49" borderId="78" xfId="0" applyNumberFormat="1" applyFont="1" applyFill="1" applyBorder="1" applyAlignment="1">
      <alignment horizontal="center" vertical="center"/>
    </xf>
    <xf numFmtId="20" fontId="1" fillId="49" borderId="77" xfId="0" applyNumberFormat="1" applyFont="1" applyFill="1" applyBorder="1" applyAlignment="1">
      <alignment horizontal="center" vertical="center"/>
    </xf>
    <xf numFmtId="0" fontId="1" fillId="49" borderId="60" xfId="0" applyFont="1" applyFill="1" applyBorder="1" applyAlignment="1">
      <alignment horizontal="center" vertical="center"/>
    </xf>
    <xf numFmtId="18" fontId="1" fillId="49" borderId="60" xfId="0" applyNumberFormat="1" applyFont="1" applyFill="1" applyBorder="1" applyAlignment="1">
      <alignment horizontal="center" vertical="center"/>
    </xf>
    <xf numFmtId="0" fontId="1" fillId="49" borderId="75" xfId="0" applyFont="1" applyFill="1" applyBorder="1" applyAlignment="1">
      <alignment horizontal="center" vertical="center"/>
    </xf>
    <xf numFmtId="0" fontId="13" fillId="51" borderId="80" xfId="0" applyFont="1" applyFill="1" applyBorder="1" applyAlignment="1">
      <alignment horizontal="center" vertical="center"/>
    </xf>
    <xf numFmtId="0" fontId="13" fillId="51" borderId="53" xfId="0" applyFont="1" applyFill="1" applyBorder="1" applyAlignment="1">
      <alignment horizontal="center" vertical="center"/>
    </xf>
    <xf numFmtId="0" fontId="13" fillId="51" borderId="84" xfId="0" applyFont="1" applyFill="1" applyBorder="1" applyAlignment="1">
      <alignment horizontal="center" vertical="center"/>
    </xf>
    <xf numFmtId="0" fontId="13" fillId="51" borderId="92" xfId="0" applyFont="1" applyFill="1" applyBorder="1" applyAlignment="1">
      <alignment horizontal="center" vertical="center"/>
    </xf>
    <xf numFmtId="0" fontId="24" fillId="49" borderId="0" xfId="0" applyFont="1" applyFill="1" applyAlignment="1">
      <alignment vertical="center"/>
    </xf>
    <xf numFmtId="0" fontId="17" fillId="54" borderId="71" xfId="0" applyFont="1" applyFill="1" applyBorder="1" applyAlignment="1">
      <alignment horizontal="center" vertical="center"/>
    </xf>
    <xf numFmtId="0" fontId="17" fillId="54" borderId="86" xfId="0" applyFont="1" applyFill="1" applyBorder="1" applyAlignment="1">
      <alignment horizontal="center" vertical="center"/>
    </xf>
    <xf numFmtId="0" fontId="17" fillId="54" borderId="93" xfId="0" applyFont="1" applyFill="1" applyBorder="1" applyAlignment="1">
      <alignment horizontal="center" vertical="center"/>
    </xf>
    <xf numFmtId="9" fontId="13" fillId="49" borderId="16" xfId="0" applyNumberFormat="1" applyFont="1" applyFill="1" applyBorder="1" applyAlignment="1">
      <alignment horizontal="center" vertical="center"/>
    </xf>
    <xf numFmtId="9" fontId="13" fillId="49" borderId="0" xfId="0" applyNumberFormat="1" applyFont="1" applyFill="1" applyAlignment="1">
      <alignment horizontal="center" vertical="center"/>
    </xf>
    <xf numFmtId="9" fontId="13" fillId="49" borderId="93" xfId="0" applyNumberFormat="1" applyFont="1" applyFill="1" applyBorder="1" applyAlignment="1">
      <alignment horizontal="center" vertical="center"/>
    </xf>
    <xf numFmtId="0" fontId="15" fillId="52" borderId="60" xfId="0" quotePrefix="1" applyFont="1" applyFill="1" applyBorder="1" applyAlignment="1">
      <alignment horizontal="center" vertical="center"/>
    </xf>
    <xf numFmtId="0" fontId="25" fillId="49" borderId="0" xfId="0" applyFont="1" applyFill="1" applyAlignment="1">
      <alignment vertical="center"/>
    </xf>
    <xf numFmtId="0" fontId="1" fillId="49" borderId="76" xfId="0" applyFont="1" applyFill="1" applyBorder="1" applyAlignment="1">
      <alignment horizontal="center" vertical="center"/>
    </xf>
    <xf numFmtId="20" fontId="18" fillId="49" borderId="77" xfId="0" applyNumberFormat="1" applyFont="1" applyFill="1" applyBorder="1" applyAlignment="1">
      <alignment horizontal="center" vertical="center"/>
    </xf>
    <xf numFmtId="16" fontId="1" fillId="49" borderId="60" xfId="0" applyNumberFormat="1" applyFont="1" applyFill="1" applyBorder="1" applyAlignment="1">
      <alignment horizontal="center" vertical="center"/>
    </xf>
    <xf numFmtId="18" fontId="18" fillId="49" borderId="60" xfId="0" applyNumberFormat="1" applyFont="1" applyFill="1" applyBorder="1" applyAlignment="1">
      <alignment horizontal="center" vertical="center"/>
    </xf>
    <xf numFmtId="0" fontId="13" fillId="51" borderId="94" xfId="0" applyFont="1" applyFill="1" applyBorder="1" applyAlignment="1">
      <alignment horizontal="center" vertical="center"/>
    </xf>
    <xf numFmtId="0" fontId="13" fillId="51" borderId="95" xfId="0" applyFont="1" applyFill="1" applyBorder="1" applyAlignment="1">
      <alignment horizontal="center" vertical="center"/>
    </xf>
    <xf numFmtId="0" fontId="13" fillId="51" borderId="89" xfId="0" applyFont="1" applyFill="1" applyBorder="1" applyAlignment="1">
      <alignment horizontal="center" vertical="center"/>
    </xf>
    <xf numFmtId="0" fontId="13" fillId="51" borderId="90" xfId="0" applyFont="1" applyFill="1" applyBorder="1" applyAlignment="1">
      <alignment horizontal="center" vertical="center"/>
    </xf>
    <xf numFmtId="0" fontId="13" fillId="51" borderId="91" xfId="0" applyFont="1" applyFill="1" applyBorder="1" applyAlignment="1">
      <alignment horizontal="center" vertical="center"/>
    </xf>
    <xf numFmtId="0" fontId="17" fillId="54" borderId="74" xfId="0" quotePrefix="1" applyFont="1" applyFill="1" applyBorder="1" applyAlignment="1">
      <alignment horizontal="center" vertical="center"/>
    </xf>
    <xf numFmtId="0" fontId="15" fillId="52" borderId="75" xfId="0" applyFont="1" applyFill="1" applyBorder="1" applyAlignment="1">
      <alignment horizontal="center" vertical="center"/>
    </xf>
    <xf numFmtId="9" fontId="13" fillId="49" borderId="74" xfId="0" applyNumberFormat="1" applyFont="1" applyFill="1" applyBorder="1" applyAlignment="1">
      <alignment horizontal="center" vertical="center"/>
    </xf>
    <xf numFmtId="0" fontId="15" fillId="54" borderId="74" xfId="0" quotePrefix="1" applyFont="1" applyFill="1" applyBorder="1" applyAlignment="1">
      <alignment horizontal="center" vertical="center"/>
    </xf>
    <xf numFmtId="0" fontId="15" fillId="53" borderId="60" xfId="0" quotePrefix="1" applyFont="1" applyFill="1" applyBorder="1" applyAlignment="1">
      <alignment horizontal="center" vertical="center"/>
    </xf>
    <xf numFmtId="0" fontId="17" fillId="53" borderId="73" xfId="0" applyFont="1" applyFill="1" applyBorder="1" applyAlignment="1">
      <alignment horizontal="center" vertical="center"/>
    </xf>
    <xf numFmtId="0" fontId="13" fillId="49" borderId="75" xfId="0" applyFont="1" applyFill="1" applyBorder="1" applyAlignment="1">
      <alignment horizontal="center" vertical="center"/>
    </xf>
    <xf numFmtId="0" fontId="17" fillId="53" borderId="75" xfId="0" applyFont="1" applyFill="1" applyBorder="1" applyAlignment="1">
      <alignment horizontal="center" vertical="center"/>
    </xf>
    <xf numFmtId="0" fontId="17" fillId="53" borderId="79" xfId="0" applyFont="1" applyFill="1" applyBorder="1" applyAlignment="1">
      <alignment horizontal="center" vertical="center"/>
    </xf>
    <xf numFmtId="16" fontId="1" fillId="49" borderId="76" xfId="0" applyNumberFormat="1" applyFont="1" applyFill="1" applyBorder="1" applyAlignment="1">
      <alignment horizontal="center" vertical="center"/>
    </xf>
    <xf numFmtId="18" fontId="1" fillId="49" borderId="77" xfId="0" applyNumberFormat="1" applyFont="1" applyFill="1" applyBorder="1" applyAlignment="1">
      <alignment horizontal="center" vertical="center"/>
    </xf>
    <xf numFmtId="0" fontId="1" fillId="49" borderId="79" xfId="0" applyFont="1" applyFill="1" applyBorder="1" applyAlignment="1">
      <alignment horizontal="center" vertical="center"/>
    </xf>
    <xf numFmtId="0" fontId="17" fillId="49" borderId="0" xfId="0" applyFont="1" applyFill="1" applyAlignment="1">
      <alignment horizontal="center" vertical="center"/>
    </xf>
    <xf numFmtId="0" fontId="17" fillId="52" borderId="71" xfId="0" quotePrefix="1" applyFont="1" applyFill="1" applyBorder="1" applyAlignment="1">
      <alignment horizontal="center" vertical="center"/>
    </xf>
    <xf numFmtId="164" fontId="1" fillId="49" borderId="79" xfId="0" applyNumberFormat="1" applyFont="1" applyFill="1" applyBorder="1" applyAlignment="1">
      <alignment horizontal="center" vertical="center"/>
    </xf>
    <xf numFmtId="0" fontId="15" fillId="52" borderId="70" xfId="0" applyFont="1" applyFill="1" applyBorder="1" applyAlignment="1">
      <alignment horizontal="center" vertical="center"/>
    </xf>
    <xf numFmtId="0" fontId="15" fillId="52" borderId="71" xfId="0" applyFont="1" applyFill="1" applyBorder="1" applyAlignment="1">
      <alignment horizontal="center" vertical="center"/>
    </xf>
    <xf numFmtId="0" fontId="1" fillId="49" borderId="74" xfId="0" applyFont="1" applyFill="1" applyBorder="1" applyAlignment="1">
      <alignment horizontal="center" vertical="center"/>
    </xf>
    <xf numFmtId="0" fontId="13" fillId="51" borderId="3" xfId="0" applyFont="1" applyFill="1" applyBorder="1" applyAlignment="1">
      <alignment horizontal="center" vertical="center"/>
    </xf>
    <xf numFmtId="0" fontId="15" fillId="52" borderId="74" xfId="0" quotePrefix="1" applyFont="1" applyFill="1" applyBorder="1" applyAlignment="1">
      <alignment horizontal="center" vertical="center"/>
    </xf>
    <xf numFmtId="0" fontId="15" fillId="52" borderId="75" xfId="0" quotePrefix="1" applyFont="1" applyFill="1" applyBorder="1" applyAlignment="1">
      <alignment horizontal="center" vertical="center"/>
    </xf>
    <xf numFmtId="10" fontId="13" fillId="49" borderId="75" xfId="0" applyNumberFormat="1" applyFont="1" applyFill="1" applyBorder="1" applyAlignment="1">
      <alignment horizontal="center" vertical="center"/>
    </xf>
    <xf numFmtId="0" fontId="1" fillId="49" borderId="0" xfId="0" applyFont="1" applyFill="1" applyAlignment="1">
      <alignment vertical="center"/>
    </xf>
    <xf numFmtId="0" fontId="1" fillId="42" borderId="0" xfId="0" applyFont="1" applyFill="1"/>
    <xf numFmtId="0" fontId="19" fillId="42" borderId="0" xfId="0" applyFont="1" applyFill="1"/>
    <xf numFmtId="0" fontId="12" fillId="43" borderId="52" xfId="0" applyFont="1" applyFill="1" applyBorder="1" applyAlignment="1">
      <alignment horizontal="center" vertical="center"/>
    </xf>
    <xf numFmtId="0" fontId="12" fillId="43" borderId="68" xfId="0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12" fillId="43" borderId="3" xfId="0" applyFont="1" applyFill="1" applyBorder="1" applyAlignment="1">
      <alignment horizontal="center" vertical="center"/>
    </xf>
    <xf numFmtId="0" fontId="13" fillId="42" borderId="0" xfId="0" applyFont="1" applyFill="1" applyAlignment="1">
      <alignment horizontal="center" vertical="center"/>
    </xf>
    <xf numFmtId="0" fontId="16" fillId="42" borderId="0" xfId="0" applyFont="1" applyFill="1" applyAlignment="1">
      <alignment vertical="center"/>
    </xf>
    <xf numFmtId="0" fontId="16" fillId="42" borderId="0" xfId="0" applyFont="1" applyFill="1"/>
    <xf numFmtId="0" fontId="11" fillId="43" borderId="47" xfId="0" applyFont="1" applyFill="1" applyBorder="1" applyAlignment="1">
      <alignment horizontal="left" vertical="center"/>
    </xf>
    <xf numFmtId="0" fontId="13" fillId="42" borderId="0" xfId="0" applyFont="1" applyFill="1"/>
    <xf numFmtId="0" fontId="11" fillId="43" borderId="53" xfId="0" applyFont="1" applyFill="1" applyBorder="1" applyAlignment="1">
      <alignment horizontal="left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52" xfId="0" applyFont="1" applyFill="1" applyBorder="1" applyAlignment="1">
      <alignment horizontal="center" vertical="center"/>
    </xf>
    <xf numFmtId="0" fontId="13" fillId="44" borderId="67" xfId="0" applyFont="1" applyFill="1" applyBorder="1" applyAlignment="1">
      <alignment horizontal="center" vertical="center"/>
    </xf>
    <xf numFmtId="0" fontId="9" fillId="42" borderId="0" xfId="0" applyFont="1" applyFill="1" applyAlignment="1">
      <alignment vertical="center"/>
    </xf>
    <xf numFmtId="0" fontId="12" fillId="43" borderId="53" xfId="0" applyFont="1" applyFill="1" applyBorder="1" applyAlignment="1">
      <alignment horizontal="left" vertical="center"/>
    </xf>
    <xf numFmtId="0" fontId="15" fillId="45" borderId="18" xfId="0" applyFont="1" applyFill="1" applyBorder="1" applyAlignment="1">
      <alignment horizontal="center" vertical="center"/>
    </xf>
    <xf numFmtId="0" fontId="17" fillId="45" borderId="71" xfId="0" applyFont="1" applyFill="1" applyBorder="1" applyAlignment="1">
      <alignment horizontal="center" vertical="center"/>
    </xf>
    <xf numFmtId="0" fontId="17" fillId="45" borderId="72" xfId="0" applyFont="1" applyFill="1" applyBorder="1" applyAlignment="1">
      <alignment horizontal="center" vertical="center"/>
    </xf>
    <xf numFmtId="0" fontId="15" fillId="45" borderId="73" xfId="0" applyFont="1" applyFill="1" applyBorder="1" applyAlignment="1">
      <alignment horizontal="center" vertical="center"/>
    </xf>
    <xf numFmtId="0" fontId="9" fillId="42" borderId="0" xfId="0" applyFont="1" applyFill="1"/>
    <xf numFmtId="0" fontId="11" fillId="43" borderId="85" xfId="0" applyFont="1" applyFill="1" applyBorder="1" applyAlignment="1">
      <alignment horizontal="left" vertical="center"/>
    </xf>
    <xf numFmtId="9" fontId="13" fillId="46" borderId="63" xfId="0" applyNumberFormat="1" applyFont="1" applyFill="1" applyBorder="1" applyAlignment="1">
      <alignment horizontal="center" vertical="center"/>
    </xf>
    <xf numFmtId="9" fontId="13" fillId="46" borderId="60" xfId="0" applyNumberFormat="1" applyFont="1" applyFill="1" applyBorder="1" applyAlignment="1">
      <alignment horizontal="center" vertical="center"/>
    </xf>
    <xf numFmtId="9" fontId="13" fillId="46" borderId="86" xfId="0" applyNumberFormat="1" applyFont="1" applyFill="1" applyBorder="1" applyAlignment="1">
      <alignment horizontal="center" vertical="center"/>
    </xf>
    <xf numFmtId="9" fontId="13" fillId="46" borderId="88" xfId="0" applyNumberFormat="1" applyFont="1" applyFill="1" applyBorder="1" applyAlignment="1">
      <alignment horizontal="center" vertical="center"/>
    </xf>
    <xf numFmtId="9" fontId="13" fillId="46" borderId="75" xfId="0" applyNumberFormat="1" applyFont="1" applyFill="1" applyBorder="1" applyAlignment="1">
      <alignment horizontal="center" vertical="center"/>
    </xf>
    <xf numFmtId="0" fontId="11" fillId="42" borderId="0" xfId="0" applyFont="1" applyFill="1"/>
    <xf numFmtId="0" fontId="15" fillId="45" borderId="74" xfId="0" applyFont="1" applyFill="1" applyBorder="1" applyAlignment="1">
      <alignment horizontal="center" vertical="center"/>
    </xf>
    <xf numFmtId="0" fontId="15" fillId="45" borderId="60" xfId="0" applyFont="1" applyFill="1" applyBorder="1" applyAlignment="1">
      <alignment horizontal="center" vertical="center"/>
    </xf>
    <xf numFmtId="0" fontId="15" fillId="45" borderId="63" xfId="0" applyFont="1" applyFill="1" applyBorder="1" applyAlignment="1">
      <alignment horizontal="center" vertical="center"/>
    </xf>
    <xf numFmtId="0" fontId="15" fillId="45" borderId="0" xfId="0" applyFont="1" applyFill="1" applyAlignment="1">
      <alignment horizontal="center" vertical="center"/>
    </xf>
    <xf numFmtId="0" fontId="17" fillId="47" borderId="4" xfId="0" applyFont="1" applyFill="1" applyBorder="1" applyAlignment="1">
      <alignment horizontal="center" vertical="center"/>
    </xf>
    <xf numFmtId="0" fontId="24" fillId="42" borderId="0" xfId="0" applyFont="1" applyFill="1"/>
    <xf numFmtId="0" fontId="13" fillId="46" borderId="74" xfId="0" applyFont="1" applyFill="1" applyBorder="1" applyAlignment="1">
      <alignment horizontal="center" vertical="center"/>
    </xf>
    <xf numFmtId="0" fontId="13" fillId="46" borderId="60" xfId="0" applyFont="1" applyFill="1" applyBorder="1" applyAlignment="1">
      <alignment horizontal="center" vertical="center"/>
    </xf>
    <xf numFmtId="0" fontId="13" fillId="46" borderId="63" xfId="0" applyFont="1" applyFill="1" applyBorder="1" applyAlignment="1">
      <alignment horizontal="center" vertical="center"/>
    </xf>
    <xf numFmtId="0" fontId="13" fillId="46" borderId="0" xfId="0" applyFont="1" applyFill="1" applyAlignment="1">
      <alignment horizontal="center" vertical="center"/>
    </xf>
    <xf numFmtId="0" fontId="17" fillId="47" borderId="5" xfId="0" applyFont="1" applyFill="1" applyBorder="1" applyAlignment="1">
      <alignment horizontal="center" vertical="center"/>
    </xf>
    <xf numFmtId="0" fontId="23" fillId="42" borderId="0" xfId="0" applyFont="1" applyFill="1" applyAlignment="1">
      <alignment vertical="center"/>
    </xf>
    <xf numFmtId="0" fontId="17" fillId="47" borderId="6" xfId="0" applyFont="1" applyFill="1" applyBorder="1" applyAlignment="1">
      <alignment horizontal="center" vertical="center"/>
    </xf>
    <xf numFmtId="0" fontId="11" fillId="43" borderId="54" xfId="0" applyFont="1" applyFill="1" applyBorder="1" applyAlignment="1">
      <alignment horizontal="left" vertical="center"/>
    </xf>
    <xf numFmtId="18" fontId="1" fillId="46" borderId="76" xfId="0" applyNumberFormat="1" applyFont="1" applyFill="1" applyBorder="1" applyAlignment="1">
      <alignment horizontal="center" vertical="center"/>
    </xf>
    <xf numFmtId="0" fontId="1" fillId="46" borderId="77" xfId="0" applyFont="1" applyFill="1" applyBorder="1" applyAlignment="1">
      <alignment horizontal="center" vertical="center"/>
    </xf>
    <xf numFmtId="18" fontId="1" fillId="46" borderId="78" xfId="0" applyNumberFormat="1" applyFont="1" applyFill="1" applyBorder="1" applyAlignment="1">
      <alignment horizontal="center" vertical="center"/>
    </xf>
    <xf numFmtId="20" fontId="1" fillId="46" borderId="77" xfId="0" applyNumberFormat="1" applyFont="1" applyFill="1" applyBorder="1" applyAlignment="1">
      <alignment horizontal="center" vertical="center"/>
    </xf>
    <xf numFmtId="0" fontId="1" fillId="46" borderId="60" xfId="0" applyFont="1" applyFill="1" applyBorder="1" applyAlignment="1">
      <alignment horizontal="center" vertical="center"/>
    </xf>
    <xf numFmtId="18" fontId="1" fillId="46" borderId="60" xfId="0" applyNumberFormat="1" applyFont="1" applyFill="1" applyBorder="1" applyAlignment="1">
      <alignment horizontal="center" vertical="center"/>
    </xf>
    <xf numFmtId="0" fontId="1" fillId="46" borderId="75" xfId="0" applyFont="1" applyFill="1" applyBorder="1" applyAlignment="1">
      <alignment horizontal="center" vertical="center"/>
    </xf>
    <xf numFmtId="0" fontId="13" fillId="44" borderId="80" xfId="0" applyFont="1" applyFill="1" applyBorder="1" applyAlignment="1">
      <alignment horizontal="center" vertical="center"/>
    </xf>
    <xf numFmtId="0" fontId="13" fillId="44" borderId="53" xfId="0" applyFont="1" applyFill="1" applyBorder="1" applyAlignment="1">
      <alignment horizontal="center" vertical="center"/>
    </xf>
    <xf numFmtId="0" fontId="13" fillId="44" borderId="84" xfId="0" applyFont="1" applyFill="1" applyBorder="1" applyAlignment="1">
      <alignment horizontal="center" vertical="center"/>
    </xf>
    <xf numFmtId="0" fontId="13" fillId="44" borderId="92" xfId="0" applyFont="1" applyFill="1" applyBorder="1" applyAlignment="1">
      <alignment horizontal="center" vertical="center"/>
    </xf>
    <xf numFmtId="0" fontId="15" fillId="42" borderId="0" xfId="0" applyFont="1" applyFill="1" applyAlignment="1">
      <alignment horizontal="center" vertical="center"/>
    </xf>
    <xf numFmtId="0" fontId="24" fillId="42" borderId="0" xfId="0" applyFont="1" applyFill="1" applyAlignment="1">
      <alignment vertical="center"/>
    </xf>
    <xf numFmtId="0" fontId="17" fillId="48" borderId="71" xfId="0" applyFont="1" applyFill="1" applyBorder="1" applyAlignment="1">
      <alignment horizontal="center" vertical="center"/>
    </xf>
    <xf numFmtId="0" fontId="17" fillId="48" borderId="72" xfId="0" applyFont="1" applyFill="1" applyBorder="1" applyAlignment="1">
      <alignment horizontal="center" vertical="center"/>
    </xf>
    <xf numFmtId="0" fontId="15" fillId="48" borderId="60" xfId="0" applyFont="1" applyFill="1" applyBorder="1" applyAlignment="1">
      <alignment horizontal="center" vertical="center"/>
    </xf>
    <xf numFmtId="0" fontId="15" fillId="48" borderId="86" xfId="0" applyFont="1" applyFill="1" applyBorder="1" applyAlignment="1">
      <alignment horizontal="center" vertical="center"/>
    </xf>
    <xf numFmtId="0" fontId="15" fillId="48" borderId="93" xfId="0" applyFont="1" applyFill="1" applyBorder="1" applyAlignment="1">
      <alignment horizontal="center" vertical="center"/>
    </xf>
    <xf numFmtId="9" fontId="13" fillId="46" borderId="16" xfId="0" applyNumberFormat="1" applyFont="1" applyFill="1" applyBorder="1" applyAlignment="1">
      <alignment horizontal="center" vertical="center"/>
    </xf>
    <xf numFmtId="9" fontId="13" fillId="46" borderId="0" xfId="0" applyNumberFormat="1" applyFont="1" applyFill="1" applyAlignment="1">
      <alignment horizontal="center" vertical="center"/>
    </xf>
    <xf numFmtId="9" fontId="13" fillId="46" borderId="93" xfId="0" applyNumberFormat="1" applyFont="1" applyFill="1" applyBorder="1" applyAlignment="1">
      <alignment horizontal="center" vertical="center"/>
    </xf>
    <xf numFmtId="0" fontId="15" fillId="48" borderId="60" xfId="0" quotePrefix="1" applyFont="1" applyFill="1" applyBorder="1" applyAlignment="1">
      <alignment horizontal="center" vertical="center"/>
    </xf>
    <xf numFmtId="0" fontId="15" fillId="48" borderId="87" xfId="0" applyFont="1" applyFill="1" applyBorder="1" applyAlignment="1">
      <alignment horizontal="center" vertical="center"/>
    </xf>
    <xf numFmtId="0" fontId="25" fillId="42" borderId="0" xfId="0" applyFont="1" applyFill="1" applyAlignment="1">
      <alignment vertical="center"/>
    </xf>
    <xf numFmtId="0" fontId="1" fillId="46" borderId="76" xfId="0" applyFont="1" applyFill="1" applyBorder="1" applyAlignment="1">
      <alignment horizontal="center" vertical="center"/>
    </xf>
    <xf numFmtId="20" fontId="18" fillId="46" borderId="77" xfId="0" applyNumberFormat="1" applyFont="1" applyFill="1" applyBorder="1" applyAlignment="1">
      <alignment horizontal="center" vertical="center"/>
    </xf>
    <xf numFmtId="16" fontId="1" fillId="46" borderId="60" xfId="0" applyNumberFormat="1" applyFont="1" applyFill="1" applyBorder="1" applyAlignment="1">
      <alignment horizontal="center" vertical="center"/>
    </xf>
    <xf numFmtId="18" fontId="18" fillId="46" borderId="60" xfId="0" applyNumberFormat="1" applyFont="1" applyFill="1" applyBorder="1" applyAlignment="1">
      <alignment horizontal="center" vertical="center"/>
    </xf>
    <xf numFmtId="0" fontId="13" fillId="44" borderId="94" xfId="0" applyFont="1" applyFill="1" applyBorder="1" applyAlignment="1">
      <alignment horizontal="center" vertical="center"/>
    </xf>
    <xf numFmtId="0" fontId="13" fillId="44" borderId="95" xfId="0" applyFont="1" applyFill="1" applyBorder="1" applyAlignment="1">
      <alignment horizontal="center" vertical="center"/>
    </xf>
    <xf numFmtId="0" fontId="13" fillId="44" borderId="89" xfId="0" applyFont="1" applyFill="1" applyBorder="1" applyAlignment="1">
      <alignment horizontal="center" vertical="center"/>
    </xf>
    <xf numFmtId="0" fontId="13" fillId="44" borderId="90" xfId="0" applyFont="1" applyFill="1" applyBorder="1" applyAlignment="1">
      <alignment horizontal="center" vertical="center"/>
    </xf>
    <xf numFmtId="0" fontId="13" fillId="44" borderId="91" xfId="0" applyFont="1" applyFill="1" applyBorder="1" applyAlignment="1">
      <alignment horizontal="center" vertical="center"/>
    </xf>
    <xf numFmtId="0" fontId="15" fillId="45" borderId="74" xfId="0" quotePrefix="1" applyFont="1" applyFill="1" applyBorder="1" applyAlignment="1">
      <alignment horizontal="center" vertical="center"/>
    </xf>
    <xf numFmtId="0" fontId="15" fillId="45" borderId="60" xfId="0" quotePrefix="1" applyFont="1" applyFill="1" applyBorder="1" applyAlignment="1">
      <alignment horizontal="center" vertical="center"/>
    </xf>
    <xf numFmtId="0" fontId="15" fillId="45" borderId="75" xfId="0" applyFont="1" applyFill="1" applyBorder="1" applyAlignment="1">
      <alignment horizontal="center" vertical="center"/>
    </xf>
    <xf numFmtId="9" fontId="13" fillId="46" borderId="74" xfId="0" applyNumberFormat="1" applyFont="1" applyFill="1" applyBorder="1" applyAlignment="1">
      <alignment horizontal="center" vertical="center"/>
    </xf>
    <xf numFmtId="0" fontId="17" fillId="47" borderId="73" xfId="0" applyFont="1" applyFill="1" applyBorder="1" applyAlignment="1">
      <alignment horizontal="center" vertical="center"/>
    </xf>
    <xf numFmtId="0" fontId="13" fillId="46" borderId="100" xfId="0" applyFont="1" applyFill="1" applyBorder="1" applyAlignment="1">
      <alignment horizontal="center" vertical="center"/>
    </xf>
    <xf numFmtId="0" fontId="13" fillId="46" borderId="75" xfId="0" applyFont="1" applyFill="1" applyBorder="1" applyAlignment="1">
      <alignment horizontal="center" vertical="center"/>
    </xf>
    <xf numFmtId="0" fontId="17" fillId="47" borderId="75" xfId="0" applyFont="1" applyFill="1" applyBorder="1" applyAlignment="1">
      <alignment horizontal="center" vertical="center"/>
    </xf>
    <xf numFmtId="0" fontId="17" fillId="47" borderId="79" xfId="0" applyFont="1" applyFill="1" applyBorder="1" applyAlignment="1">
      <alignment horizontal="center" vertical="center"/>
    </xf>
    <xf numFmtId="16" fontId="1" fillId="46" borderId="76" xfId="0" applyNumberFormat="1" applyFont="1" applyFill="1" applyBorder="1" applyAlignment="1">
      <alignment horizontal="center" vertical="center"/>
    </xf>
    <xf numFmtId="18" fontId="1" fillId="46" borderId="77" xfId="0" applyNumberFormat="1" applyFont="1" applyFill="1" applyBorder="1" applyAlignment="1">
      <alignment horizontal="center" vertical="center"/>
    </xf>
    <xf numFmtId="0" fontId="1" fillId="46" borderId="79" xfId="0" applyFont="1" applyFill="1" applyBorder="1" applyAlignment="1">
      <alignment horizontal="center" vertical="center"/>
    </xf>
    <xf numFmtId="0" fontId="17" fillId="42" borderId="0" xfId="0" applyFont="1" applyFill="1" applyAlignment="1">
      <alignment horizontal="center" vertical="center"/>
    </xf>
    <xf numFmtId="0" fontId="17" fillId="45" borderId="71" xfId="0" quotePrefix="1" applyFont="1" applyFill="1" applyBorder="1" applyAlignment="1">
      <alignment horizontal="center" vertical="center"/>
    </xf>
    <xf numFmtId="164" fontId="1" fillId="46" borderId="79" xfId="0" applyNumberFormat="1" applyFont="1" applyFill="1" applyBorder="1" applyAlignment="1">
      <alignment horizontal="center" vertical="center"/>
    </xf>
    <xf numFmtId="0" fontId="15" fillId="45" borderId="70" xfId="0" applyFont="1" applyFill="1" applyBorder="1" applyAlignment="1">
      <alignment horizontal="center" vertical="center"/>
    </xf>
    <xf numFmtId="0" fontId="15" fillId="45" borderId="71" xfId="0" applyFont="1" applyFill="1" applyBorder="1" applyAlignment="1">
      <alignment horizontal="center" vertical="center"/>
    </xf>
    <xf numFmtId="0" fontId="15" fillId="46" borderId="74" xfId="0" applyFont="1" applyFill="1" applyBorder="1" applyAlignment="1">
      <alignment horizontal="center" vertical="center"/>
    </xf>
    <xf numFmtId="0" fontId="15" fillId="46" borderId="60" xfId="0" applyFont="1" applyFill="1" applyBorder="1" applyAlignment="1">
      <alignment horizontal="center" vertical="center"/>
    </xf>
    <xf numFmtId="0" fontId="15" fillId="46" borderId="0" xfId="0" applyFont="1" applyFill="1" applyAlignment="1">
      <alignment horizontal="center" vertical="center"/>
    </xf>
    <xf numFmtId="0" fontId="1" fillId="46" borderId="74" xfId="0" applyFont="1" applyFill="1" applyBorder="1" applyAlignment="1">
      <alignment horizontal="center" vertical="center"/>
    </xf>
    <xf numFmtId="0" fontId="13" fillId="44" borderId="3" xfId="0" applyFont="1" applyFill="1" applyBorder="1" applyAlignment="1">
      <alignment horizontal="center" vertical="center"/>
    </xf>
    <xf numFmtId="0" fontId="15" fillId="45" borderId="75" xfId="0" quotePrefix="1" applyFont="1" applyFill="1" applyBorder="1" applyAlignment="1">
      <alignment horizontal="center" vertical="center"/>
    </xf>
    <xf numFmtId="10" fontId="13" fillId="46" borderId="74" xfId="0" applyNumberFormat="1" applyFont="1" applyFill="1" applyBorder="1" applyAlignment="1">
      <alignment horizontal="center" vertical="center"/>
    </xf>
    <xf numFmtId="10" fontId="13" fillId="46" borderId="75" xfId="0" applyNumberFormat="1" applyFont="1" applyFill="1" applyBorder="1" applyAlignment="1">
      <alignment horizontal="center" vertical="center"/>
    </xf>
    <xf numFmtId="0" fontId="1" fillId="42" borderId="0" xfId="0" applyFont="1" applyFill="1" applyAlignment="1">
      <alignment vertical="center"/>
    </xf>
    <xf numFmtId="0" fontId="1" fillId="39" borderId="0" xfId="0" applyFont="1" applyFill="1"/>
    <xf numFmtId="0" fontId="19" fillId="39" borderId="0" xfId="0" applyFont="1" applyFill="1"/>
    <xf numFmtId="0" fontId="12" fillId="40" borderId="52" xfId="0" applyFont="1" applyFill="1" applyBorder="1" applyAlignment="1">
      <alignment horizontal="center" vertical="center"/>
    </xf>
    <xf numFmtId="0" fontId="12" fillId="40" borderId="68" xfId="0" applyFont="1" applyFill="1" applyBorder="1" applyAlignment="1">
      <alignment horizontal="center" vertical="center"/>
    </xf>
    <xf numFmtId="0" fontId="12" fillId="40" borderId="1" xfId="0" applyFont="1" applyFill="1" applyBorder="1" applyAlignment="1">
      <alignment horizontal="center" vertical="center"/>
    </xf>
    <xf numFmtId="0" fontId="12" fillId="40" borderId="3" xfId="0" applyFont="1" applyFill="1" applyBorder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0" fontId="16" fillId="39" borderId="0" xfId="0" applyFont="1" applyFill="1" applyAlignment="1">
      <alignment vertical="center"/>
    </xf>
    <xf numFmtId="0" fontId="16" fillId="39" borderId="0" xfId="0" applyFont="1" applyFill="1"/>
    <xf numFmtId="0" fontId="11" fillId="40" borderId="47" xfId="0" applyFont="1" applyFill="1" applyBorder="1" applyAlignment="1">
      <alignment horizontal="left" vertical="center"/>
    </xf>
    <xf numFmtId="0" fontId="13" fillId="39" borderId="0" xfId="0" applyFont="1" applyFill="1"/>
    <xf numFmtId="0" fontId="11" fillId="40" borderId="53" xfId="0" applyFont="1" applyFill="1" applyBorder="1" applyAlignment="1">
      <alignment horizontal="left" vertical="center"/>
    </xf>
    <xf numFmtId="0" fontId="13" fillId="41" borderId="47" xfId="0" applyFont="1" applyFill="1" applyBorder="1" applyAlignment="1">
      <alignment horizontal="center" vertical="center"/>
    </xf>
    <xf numFmtId="0" fontId="13" fillId="41" borderId="52" xfId="0" applyFont="1" applyFill="1" applyBorder="1" applyAlignment="1">
      <alignment horizontal="center" vertical="center"/>
    </xf>
    <xf numFmtId="0" fontId="13" fillId="41" borderId="67" xfId="0" applyFont="1" applyFill="1" applyBorder="1" applyAlignment="1">
      <alignment horizontal="center" vertical="center"/>
    </xf>
    <xf numFmtId="0" fontId="9" fillId="39" borderId="0" xfId="0" applyFont="1" applyFill="1" applyAlignment="1">
      <alignment vertical="center"/>
    </xf>
    <xf numFmtId="0" fontId="12" fillId="40" borderId="53" xfId="0" applyFont="1" applyFill="1" applyBorder="1" applyAlignment="1">
      <alignment horizontal="left" vertical="center"/>
    </xf>
    <xf numFmtId="0" fontId="15" fillId="13" borderId="18" xfId="0" applyFont="1" applyFill="1" applyBorder="1" applyAlignment="1">
      <alignment horizontal="center" vertical="center"/>
    </xf>
    <xf numFmtId="0" fontId="17" fillId="13" borderId="71" xfId="0" applyFont="1" applyFill="1" applyBorder="1" applyAlignment="1">
      <alignment horizontal="center" vertical="center"/>
    </xf>
    <xf numFmtId="0" fontId="17" fillId="13" borderId="72" xfId="0" applyFont="1" applyFill="1" applyBorder="1" applyAlignment="1">
      <alignment horizontal="center" vertical="center" wrapText="1"/>
    </xf>
    <xf numFmtId="0" fontId="17" fillId="13" borderId="71" xfId="0" applyFont="1" applyFill="1" applyBorder="1" applyAlignment="1">
      <alignment horizontal="center" vertical="center" wrapText="1"/>
    </xf>
    <xf numFmtId="0" fontId="15" fillId="13" borderId="73" xfId="0" applyFont="1" applyFill="1" applyBorder="1" applyAlignment="1">
      <alignment horizontal="center" vertical="center" wrapText="1"/>
    </xf>
    <xf numFmtId="0" fontId="9" fillId="39" borderId="0" xfId="0" applyFont="1" applyFill="1"/>
    <xf numFmtId="0" fontId="11" fillId="40" borderId="85" xfId="0" applyFont="1" applyFill="1" applyBorder="1" applyAlignment="1">
      <alignment horizontal="left" vertical="center"/>
    </xf>
    <xf numFmtId="9" fontId="13" fillId="39" borderId="63" xfId="0" applyNumberFormat="1" applyFont="1" applyFill="1" applyBorder="1" applyAlignment="1">
      <alignment horizontal="center" vertical="center"/>
    </xf>
    <xf numFmtId="9" fontId="13" fillId="39" borderId="60" xfId="0" applyNumberFormat="1" applyFont="1" applyFill="1" applyBorder="1" applyAlignment="1">
      <alignment horizontal="center" vertical="center"/>
    </xf>
    <xf numFmtId="9" fontId="13" fillId="39" borderId="86" xfId="0" applyNumberFormat="1" applyFont="1" applyFill="1" applyBorder="1" applyAlignment="1">
      <alignment horizontal="center" vertical="center"/>
    </xf>
    <xf numFmtId="9" fontId="13" fillId="39" borderId="88" xfId="0" applyNumberFormat="1" applyFont="1" applyFill="1" applyBorder="1" applyAlignment="1">
      <alignment horizontal="center" vertical="center"/>
    </xf>
    <xf numFmtId="9" fontId="13" fillId="39" borderId="75" xfId="0" applyNumberFormat="1" applyFont="1" applyFill="1" applyBorder="1" applyAlignment="1">
      <alignment horizontal="center" vertical="center"/>
    </xf>
    <xf numFmtId="0" fontId="11" fillId="39" borderId="0" xfId="0" applyFont="1" applyFill="1"/>
    <xf numFmtId="0" fontId="15" fillId="13" borderId="86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13" borderId="75" xfId="0" applyFont="1" applyFill="1" applyBorder="1" applyAlignment="1">
      <alignment horizontal="center" vertical="center"/>
    </xf>
    <xf numFmtId="0" fontId="17" fillId="40" borderId="4" xfId="0" applyFont="1" applyFill="1" applyBorder="1" applyAlignment="1">
      <alignment horizontal="center" vertical="center"/>
    </xf>
    <xf numFmtId="0" fontId="24" fillId="39" borderId="0" xfId="0" applyFont="1" applyFill="1"/>
    <xf numFmtId="0" fontId="15" fillId="39" borderId="74" xfId="0" applyFont="1" applyFill="1" applyBorder="1" applyAlignment="1">
      <alignment horizontal="center" vertical="center"/>
    </xf>
    <xf numFmtId="0" fontId="15" fillId="39" borderId="60" xfId="0" applyFont="1" applyFill="1" applyBorder="1" applyAlignment="1">
      <alignment horizontal="center" vertical="center"/>
    </xf>
    <xf numFmtId="0" fontId="15" fillId="39" borderId="63" xfId="0" applyFont="1" applyFill="1" applyBorder="1" applyAlignment="1">
      <alignment horizontal="center" vertical="center"/>
    </xf>
    <xf numFmtId="0" fontId="15" fillId="39" borderId="0" xfId="0" applyFont="1" applyFill="1" applyAlignment="1">
      <alignment horizontal="center" vertical="center"/>
    </xf>
    <xf numFmtId="0" fontId="17" fillId="40" borderId="5" xfId="0" applyFont="1" applyFill="1" applyBorder="1" applyAlignment="1">
      <alignment horizontal="center" vertical="center"/>
    </xf>
    <xf numFmtId="0" fontId="23" fillId="39" borderId="0" xfId="0" applyFont="1" applyFill="1" applyAlignment="1">
      <alignment vertical="center"/>
    </xf>
    <xf numFmtId="0" fontId="13" fillId="39" borderId="74" xfId="0" applyFont="1" applyFill="1" applyBorder="1" applyAlignment="1">
      <alignment horizontal="center" vertical="center"/>
    </xf>
    <xf numFmtId="0" fontId="13" fillId="39" borderId="60" xfId="0" applyFont="1" applyFill="1" applyBorder="1" applyAlignment="1">
      <alignment horizontal="center" vertical="center"/>
    </xf>
    <xf numFmtId="0" fontId="13" fillId="39" borderId="63" xfId="0" applyFont="1" applyFill="1" applyBorder="1" applyAlignment="1">
      <alignment horizontal="center" vertical="center"/>
    </xf>
    <xf numFmtId="20" fontId="13" fillId="39" borderId="0" xfId="0" applyNumberFormat="1" applyFont="1" applyFill="1" applyAlignment="1">
      <alignment horizontal="center" vertical="center"/>
    </xf>
    <xf numFmtId="0" fontId="17" fillId="40" borderId="6" xfId="0" applyFont="1" applyFill="1" applyBorder="1" applyAlignment="1">
      <alignment horizontal="center" vertical="center"/>
    </xf>
    <xf numFmtId="0" fontId="11" fillId="40" borderId="54" xfId="0" applyFont="1" applyFill="1" applyBorder="1" applyAlignment="1">
      <alignment horizontal="left" vertical="center"/>
    </xf>
    <xf numFmtId="18" fontId="1" fillId="39" borderId="76" xfId="0" applyNumberFormat="1" applyFont="1" applyFill="1" applyBorder="1" applyAlignment="1">
      <alignment horizontal="center" vertical="center"/>
    </xf>
    <xf numFmtId="0" fontId="1" fillId="39" borderId="77" xfId="0" applyFont="1" applyFill="1" applyBorder="1" applyAlignment="1">
      <alignment horizontal="center" vertical="center"/>
    </xf>
    <xf numFmtId="18" fontId="1" fillId="39" borderId="78" xfId="0" applyNumberFormat="1" applyFont="1" applyFill="1" applyBorder="1" applyAlignment="1">
      <alignment horizontal="center" vertical="center"/>
    </xf>
    <xf numFmtId="20" fontId="1" fillId="39" borderId="77" xfId="0" applyNumberFormat="1" applyFont="1" applyFill="1" applyBorder="1" applyAlignment="1">
      <alignment horizontal="center" vertical="center"/>
    </xf>
    <xf numFmtId="0" fontId="1" fillId="39" borderId="60" xfId="0" applyFont="1" applyFill="1" applyBorder="1" applyAlignment="1">
      <alignment horizontal="center" vertical="center"/>
    </xf>
    <xf numFmtId="18" fontId="1" fillId="39" borderId="60" xfId="0" applyNumberFormat="1" applyFont="1" applyFill="1" applyBorder="1" applyAlignment="1">
      <alignment horizontal="center" vertical="center"/>
    </xf>
    <xf numFmtId="0" fontId="1" fillId="39" borderId="75" xfId="0" applyFont="1" applyFill="1" applyBorder="1" applyAlignment="1">
      <alignment horizontal="center" vertical="center"/>
    </xf>
    <xf numFmtId="0" fontId="13" fillId="41" borderId="80" xfId="0" applyFont="1" applyFill="1" applyBorder="1" applyAlignment="1">
      <alignment horizontal="center" vertical="center"/>
    </xf>
    <xf numFmtId="0" fontId="13" fillId="41" borderId="53" xfId="0" applyFont="1" applyFill="1" applyBorder="1" applyAlignment="1">
      <alignment horizontal="center" vertical="center"/>
    </xf>
    <xf numFmtId="0" fontId="13" fillId="41" borderId="84" xfId="0" applyFont="1" applyFill="1" applyBorder="1" applyAlignment="1">
      <alignment horizontal="center" vertical="center"/>
    </xf>
    <xf numFmtId="0" fontId="13" fillId="41" borderId="92" xfId="0" applyFont="1" applyFill="1" applyBorder="1" applyAlignment="1">
      <alignment horizontal="center" vertical="center"/>
    </xf>
    <xf numFmtId="0" fontId="24" fillId="39" borderId="0" xfId="0" applyFont="1" applyFill="1" applyAlignment="1">
      <alignment vertical="center"/>
    </xf>
    <xf numFmtId="0" fontId="15" fillId="40" borderId="18" xfId="0" applyFont="1" applyFill="1" applyBorder="1" applyAlignment="1">
      <alignment horizontal="center" vertical="center"/>
    </xf>
    <xf numFmtId="0" fontId="17" fillId="40" borderId="71" xfId="0" applyFont="1" applyFill="1" applyBorder="1" applyAlignment="1">
      <alignment horizontal="center" vertical="center"/>
    </xf>
    <xf numFmtId="0" fontId="17" fillId="40" borderId="72" xfId="0" applyFont="1" applyFill="1" applyBorder="1" applyAlignment="1">
      <alignment horizontal="center" vertical="center"/>
    </xf>
    <xf numFmtId="0" fontId="15" fillId="40" borderId="60" xfId="0" applyFont="1" applyFill="1" applyBorder="1" applyAlignment="1">
      <alignment horizontal="center" vertical="center"/>
    </xf>
    <xf numFmtId="0" fontId="15" fillId="13" borderId="86" xfId="0" applyFont="1" applyFill="1" applyBorder="1" applyAlignment="1">
      <alignment horizontal="center" vertical="center"/>
    </xf>
    <xf numFmtId="0" fontId="15" fillId="13" borderId="93" xfId="0" applyFont="1" applyFill="1" applyBorder="1" applyAlignment="1">
      <alignment horizontal="center" vertical="center"/>
    </xf>
    <xf numFmtId="9" fontId="13" fillId="39" borderId="16" xfId="0" applyNumberFormat="1" applyFont="1" applyFill="1" applyBorder="1" applyAlignment="1">
      <alignment horizontal="center" vertical="center"/>
    </xf>
    <xf numFmtId="9" fontId="13" fillId="39" borderId="0" xfId="0" applyNumberFormat="1" applyFont="1" applyFill="1" applyAlignment="1">
      <alignment horizontal="center" vertical="center"/>
    </xf>
    <xf numFmtId="9" fontId="13" fillId="39" borderId="93" xfId="0" applyNumberFormat="1" applyFont="1" applyFill="1" applyBorder="1" applyAlignment="1">
      <alignment horizontal="center" vertical="center"/>
    </xf>
    <xf numFmtId="0" fontId="15" fillId="40" borderId="16" xfId="0" applyFont="1" applyFill="1" applyBorder="1" applyAlignment="1">
      <alignment horizontal="center" vertical="center"/>
    </xf>
    <xf numFmtId="0" fontId="15" fillId="40" borderId="0" xfId="0" applyFont="1" applyFill="1" applyAlignment="1">
      <alignment horizontal="center" vertical="center"/>
    </xf>
    <xf numFmtId="0" fontId="15" fillId="40" borderId="63" xfId="0" applyFont="1" applyFill="1" applyBorder="1" applyAlignment="1">
      <alignment horizontal="center" vertical="center"/>
    </xf>
    <xf numFmtId="0" fontId="15" fillId="13" borderId="87" xfId="0" applyFont="1" applyFill="1" applyBorder="1" applyAlignment="1">
      <alignment horizontal="center" vertical="center"/>
    </xf>
    <xf numFmtId="0" fontId="25" fillId="39" borderId="0" xfId="0" applyFont="1" applyFill="1" applyAlignment="1">
      <alignment vertical="center"/>
    </xf>
    <xf numFmtId="0" fontId="1" fillId="39" borderId="76" xfId="0" applyFont="1" applyFill="1" applyBorder="1" applyAlignment="1">
      <alignment horizontal="center" vertical="center"/>
    </xf>
    <xf numFmtId="20" fontId="18" fillId="39" borderId="77" xfId="0" applyNumberFormat="1" applyFont="1" applyFill="1" applyBorder="1" applyAlignment="1">
      <alignment horizontal="center" vertical="center"/>
    </xf>
    <xf numFmtId="16" fontId="1" fillId="39" borderId="60" xfId="0" applyNumberFormat="1" applyFont="1" applyFill="1" applyBorder="1" applyAlignment="1">
      <alignment horizontal="center" vertical="center"/>
    </xf>
    <xf numFmtId="18" fontId="18" fillId="39" borderId="60" xfId="0" applyNumberFormat="1" applyFont="1" applyFill="1" applyBorder="1" applyAlignment="1">
      <alignment horizontal="center" vertical="center"/>
    </xf>
    <xf numFmtId="0" fontId="13" fillId="41" borderId="94" xfId="0" applyFont="1" applyFill="1" applyBorder="1" applyAlignment="1">
      <alignment horizontal="center" vertical="center"/>
    </xf>
    <xf numFmtId="0" fontId="13" fillId="41" borderId="95" xfId="0" applyFont="1" applyFill="1" applyBorder="1" applyAlignment="1">
      <alignment horizontal="center" vertical="center"/>
    </xf>
    <xf numFmtId="0" fontId="13" fillId="41" borderId="89" xfId="0" applyFont="1" applyFill="1" applyBorder="1" applyAlignment="1">
      <alignment horizontal="center" vertical="center"/>
    </xf>
    <xf numFmtId="0" fontId="13" fillId="41" borderId="90" xfId="0" applyFont="1" applyFill="1" applyBorder="1" applyAlignment="1">
      <alignment horizontal="center" vertical="center"/>
    </xf>
    <xf numFmtId="0" fontId="13" fillId="41" borderId="91" xfId="0" applyFont="1" applyFill="1" applyBorder="1" applyAlignment="1">
      <alignment horizontal="center" vertical="center"/>
    </xf>
    <xf numFmtId="0" fontId="15" fillId="13" borderId="74" xfId="0" quotePrefix="1" applyFont="1" applyFill="1" applyBorder="1" applyAlignment="1">
      <alignment horizontal="center" vertical="center"/>
    </xf>
    <xf numFmtId="0" fontId="15" fillId="13" borderId="60" xfId="0" quotePrefix="1" applyFont="1" applyFill="1" applyBorder="1" applyAlignment="1">
      <alignment horizontal="center" vertical="center"/>
    </xf>
    <xf numFmtId="9" fontId="13" fillId="39" borderId="74" xfId="0" applyNumberFormat="1" applyFont="1" applyFill="1" applyBorder="1" applyAlignment="1">
      <alignment horizontal="center" vertical="center"/>
    </xf>
    <xf numFmtId="0" fontId="17" fillId="40" borderId="73" xfId="0" applyFont="1" applyFill="1" applyBorder="1" applyAlignment="1">
      <alignment horizontal="center" vertical="center"/>
    </xf>
    <xf numFmtId="0" fontId="15" fillId="39" borderId="75" xfId="0" applyFont="1" applyFill="1" applyBorder="1" applyAlignment="1">
      <alignment horizontal="center" vertical="center"/>
    </xf>
    <xf numFmtId="0" fontId="17" fillId="40" borderId="75" xfId="0" applyFont="1" applyFill="1" applyBorder="1" applyAlignment="1">
      <alignment horizontal="center" vertical="center"/>
    </xf>
    <xf numFmtId="0" fontId="17" fillId="40" borderId="79" xfId="0" applyFont="1" applyFill="1" applyBorder="1" applyAlignment="1">
      <alignment horizontal="center" vertical="center"/>
    </xf>
    <xf numFmtId="16" fontId="1" fillId="39" borderId="76" xfId="0" applyNumberFormat="1" applyFont="1" applyFill="1" applyBorder="1" applyAlignment="1">
      <alignment horizontal="center" vertical="center"/>
    </xf>
    <xf numFmtId="18" fontId="1" fillId="39" borderId="77" xfId="0" applyNumberFormat="1" applyFont="1" applyFill="1" applyBorder="1" applyAlignment="1">
      <alignment horizontal="center" vertical="center"/>
    </xf>
    <xf numFmtId="0" fontId="1" fillId="39" borderId="79" xfId="0" applyFont="1" applyFill="1" applyBorder="1" applyAlignment="1">
      <alignment horizontal="center" vertical="center"/>
    </xf>
    <xf numFmtId="0" fontId="17" fillId="39" borderId="0" xfId="0" applyFont="1" applyFill="1" applyAlignment="1">
      <alignment horizontal="center" vertical="center"/>
    </xf>
    <xf numFmtId="0" fontId="17" fillId="13" borderId="72" xfId="0" applyFont="1" applyFill="1" applyBorder="1" applyAlignment="1">
      <alignment horizontal="center" vertical="center"/>
    </xf>
    <xf numFmtId="0" fontId="17" fillId="13" borderId="71" xfId="0" quotePrefix="1" applyFont="1" applyFill="1" applyBorder="1" applyAlignment="1">
      <alignment horizontal="center" vertical="center"/>
    </xf>
    <xf numFmtId="0" fontId="15" fillId="13" borderId="73" xfId="0" applyFont="1" applyFill="1" applyBorder="1" applyAlignment="1">
      <alignment horizontal="center" vertical="center"/>
    </xf>
    <xf numFmtId="0" fontId="13" fillId="39" borderId="75" xfId="0" applyFont="1" applyFill="1" applyBorder="1" applyAlignment="1">
      <alignment horizontal="center" vertical="center"/>
    </xf>
    <xf numFmtId="164" fontId="1" fillId="39" borderId="79" xfId="0" applyNumberFormat="1" applyFont="1" applyFill="1" applyBorder="1" applyAlignment="1">
      <alignment horizontal="center" vertical="center"/>
    </xf>
    <xf numFmtId="0" fontId="15" fillId="13" borderId="70" xfId="0" applyFont="1" applyFill="1" applyBorder="1" applyAlignment="1">
      <alignment horizontal="center" vertical="center"/>
    </xf>
    <xf numFmtId="0" fontId="15" fillId="13" borderId="71" xfId="0" applyFont="1" applyFill="1" applyBorder="1" applyAlignment="1">
      <alignment horizontal="center" vertical="center"/>
    </xf>
    <xf numFmtId="0" fontId="1" fillId="39" borderId="74" xfId="0" applyFont="1" applyFill="1" applyBorder="1" applyAlignment="1">
      <alignment horizontal="center" vertical="center"/>
    </xf>
    <xf numFmtId="0" fontId="13" fillId="41" borderId="3" xfId="0" applyFont="1" applyFill="1" applyBorder="1" applyAlignment="1">
      <alignment horizontal="center" vertical="center"/>
    </xf>
    <xf numFmtId="0" fontId="15" fillId="13" borderId="75" xfId="0" quotePrefix="1" applyFont="1" applyFill="1" applyBorder="1" applyAlignment="1">
      <alignment horizontal="center" vertical="center"/>
    </xf>
    <xf numFmtId="10" fontId="13" fillId="39" borderId="74" xfId="0" applyNumberFormat="1" applyFont="1" applyFill="1" applyBorder="1" applyAlignment="1">
      <alignment horizontal="center" vertical="center"/>
    </xf>
    <xf numFmtId="10" fontId="13" fillId="39" borderId="75" xfId="0" applyNumberFormat="1" applyFont="1" applyFill="1" applyBorder="1" applyAlignment="1">
      <alignment horizontal="center" vertical="center"/>
    </xf>
    <xf numFmtId="0" fontId="1" fillId="39" borderId="0" xfId="0" applyFont="1" applyFill="1" applyAlignment="1">
      <alignment vertical="center"/>
    </xf>
    <xf numFmtId="0" fontId="1" fillId="34" borderId="0" xfId="0" applyFont="1" applyFill="1"/>
    <xf numFmtId="0" fontId="19" fillId="34" borderId="0" xfId="0" applyFont="1" applyFill="1"/>
    <xf numFmtId="0" fontId="12" fillId="35" borderId="52" xfId="0" applyFont="1" applyFill="1" applyBorder="1" applyAlignment="1">
      <alignment horizontal="center" vertical="center"/>
    </xf>
    <xf numFmtId="0" fontId="12" fillId="35" borderId="68" xfId="0" applyFont="1" applyFill="1" applyBorder="1" applyAlignment="1">
      <alignment horizontal="center" vertical="center"/>
    </xf>
    <xf numFmtId="0" fontId="12" fillId="35" borderId="1" xfId="0" applyFont="1" applyFill="1" applyBorder="1" applyAlignment="1">
      <alignment horizontal="center" vertical="center"/>
    </xf>
    <xf numFmtId="0" fontId="12" fillId="35" borderId="3" xfId="0" applyFont="1" applyFill="1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vertical="center"/>
    </xf>
    <xf numFmtId="0" fontId="16" fillId="34" borderId="0" xfId="0" applyFont="1" applyFill="1"/>
    <xf numFmtId="0" fontId="11" fillId="35" borderId="47" xfId="0" applyFont="1" applyFill="1" applyBorder="1" applyAlignment="1">
      <alignment horizontal="left" vertical="center"/>
    </xf>
    <xf numFmtId="0" fontId="13" fillId="34" borderId="0" xfId="0" applyFont="1" applyFill="1"/>
    <xf numFmtId="0" fontId="11" fillId="35" borderId="53" xfId="0" applyFont="1" applyFill="1" applyBorder="1" applyAlignment="1">
      <alignment horizontal="left" vertical="center"/>
    </xf>
    <xf numFmtId="0" fontId="13" fillId="36" borderId="47" xfId="0" applyFont="1" applyFill="1" applyBorder="1" applyAlignment="1">
      <alignment horizontal="center" vertical="center"/>
    </xf>
    <xf numFmtId="0" fontId="13" fillId="36" borderId="52" xfId="0" applyFont="1" applyFill="1" applyBorder="1" applyAlignment="1">
      <alignment horizontal="center" vertical="center"/>
    </xf>
    <xf numFmtId="0" fontId="13" fillId="36" borderId="67" xfId="0" applyFont="1" applyFill="1" applyBorder="1" applyAlignment="1">
      <alignment horizontal="center" vertical="center"/>
    </xf>
    <xf numFmtId="0" fontId="9" fillId="34" borderId="0" xfId="0" applyFont="1" applyFill="1" applyAlignment="1">
      <alignment vertical="center"/>
    </xf>
    <xf numFmtId="0" fontId="12" fillId="35" borderId="53" xfId="0" applyFont="1" applyFill="1" applyBorder="1" applyAlignment="1">
      <alignment horizontal="left" vertical="center"/>
    </xf>
    <xf numFmtId="0" fontId="15" fillId="37" borderId="18" xfId="0" applyFont="1" applyFill="1" applyBorder="1" applyAlignment="1">
      <alignment horizontal="center" vertical="center"/>
    </xf>
    <xf numFmtId="0" fontId="17" fillId="37" borderId="71" xfId="0" applyFont="1" applyFill="1" applyBorder="1" applyAlignment="1">
      <alignment horizontal="center" vertical="center"/>
    </xf>
    <xf numFmtId="0" fontId="17" fillId="37" borderId="72" xfId="0" applyFont="1" applyFill="1" applyBorder="1" applyAlignment="1">
      <alignment horizontal="center" vertical="center"/>
    </xf>
    <xf numFmtId="0" fontId="15" fillId="37" borderId="73" xfId="0" applyFont="1" applyFill="1" applyBorder="1" applyAlignment="1">
      <alignment horizontal="center" vertical="center"/>
    </xf>
    <xf numFmtId="0" fontId="9" fillId="34" borderId="0" xfId="0" applyFont="1" applyFill="1"/>
    <xf numFmtId="0" fontId="11" fillId="35" borderId="85" xfId="0" applyFont="1" applyFill="1" applyBorder="1" applyAlignment="1">
      <alignment horizontal="left" vertical="center"/>
    </xf>
    <xf numFmtId="9" fontId="13" fillId="34" borderId="63" xfId="0" applyNumberFormat="1" applyFont="1" applyFill="1" applyBorder="1" applyAlignment="1">
      <alignment horizontal="center" vertical="center"/>
    </xf>
    <xf numFmtId="9" fontId="13" fillId="34" borderId="60" xfId="0" applyNumberFormat="1" applyFont="1" applyFill="1" applyBorder="1" applyAlignment="1">
      <alignment horizontal="center" vertical="center"/>
    </xf>
    <xf numFmtId="9" fontId="13" fillId="34" borderId="86" xfId="0" applyNumberFormat="1" applyFont="1" applyFill="1" applyBorder="1" applyAlignment="1">
      <alignment horizontal="center" vertical="center"/>
    </xf>
    <xf numFmtId="9" fontId="13" fillId="34" borderId="88" xfId="0" applyNumberFormat="1" applyFont="1" applyFill="1" applyBorder="1" applyAlignment="1">
      <alignment horizontal="center" vertical="center"/>
    </xf>
    <xf numFmtId="9" fontId="13" fillId="34" borderId="75" xfId="0" applyNumberFormat="1" applyFont="1" applyFill="1" applyBorder="1" applyAlignment="1">
      <alignment horizontal="center" vertical="center"/>
    </xf>
    <xf numFmtId="0" fontId="11" fillId="34" borderId="0" xfId="0" applyFont="1" applyFill="1"/>
    <xf numFmtId="0" fontId="15" fillId="37" borderId="74" xfId="0" applyFont="1" applyFill="1" applyBorder="1" applyAlignment="1">
      <alignment horizontal="center" vertical="center"/>
    </xf>
    <xf numFmtId="0" fontId="15" fillId="37" borderId="60" xfId="0" applyFont="1" applyFill="1" applyBorder="1" applyAlignment="1">
      <alignment horizontal="center" vertical="center"/>
    </xf>
    <xf numFmtId="0" fontId="15" fillId="37" borderId="63" xfId="0" applyFont="1" applyFill="1" applyBorder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17" fillId="38" borderId="4" xfId="0" applyFont="1" applyFill="1" applyBorder="1" applyAlignment="1">
      <alignment horizontal="center" vertical="center"/>
    </xf>
    <xf numFmtId="0" fontId="24" fillId="34" borderId="0" xfId="0" applyFont="1" applyFill="1"/>
    <xf numFmtId="0" fontId="13" fillId="34" borderId="74" xfId="0" applyFont="1" applyFill="1" applyBorder="1" applyAlignment="1">
      <alignment horizontal="center" vertical="center"/>
    </xf>
    <xf numFmtId="0" fontId="13" fillId="34" borderId="60" xfId="0" applyFont="1" applyFill="1" applyBorder="1" applyAlignment="1">
      <alignment horizontal="center" vertical="center"/>
    </xf>
    <xf numFmtId="0" fontId="13" fillId="34" borderId="63" xfId="0" applyFont="1" applyFill="1" applyBorder="1" applyAlignment="1">
      <alignment horizontal="center" vertical="center"/>
    </xf>
    <xf numFmtId="0" fontId="17" fillId="38" borderId="5" xfId="0" applyFont="1" applyFill="1" applyBorder="1" applyAlignment="1">
      <alignment horizontal="center" vertical="center"/>
    </xf>
    <xf numFmtId="0" fontId="23" fillId="34" borderId="0" xfId="0" applyFont="1" applyFill="1" applyAlignment="1">
      <alignment vertical="center"/>
    </xf>
    <xf numFmtId="20" fontId="13" fillId="34" borderId="0" xfId="0" applyNumberFormat="1" applyFont="1" applyFill="1" applyAlignment="1">
      <alignment horizontal="center" vertical="center"/>
    </xf>
    <xf numFmtId="0" fontId="17" fillId="38" borderId="6" xfId="0" applyFont="1" applyFill="1" applyBorder="1" applyAlignment="1">
      <alignment horizontal="center" vertical="center"/>
    </xf>
    <xf numFmtId="0" fontId="11" fillId="35" borderId="54" xfId="0" applyFont="1" applyFill="1" applyBorder="1" applyAlignment="1">
      <alignment horizontal="left" vertical="center"/>
    </xf>
    <xf numFmtId="18" fontId="1" fillId="34" borderId="76" xfId="0" applyNumberFormat="1" applyFont="1" applyFill="1" applyBorder="1" applyAlignment="1">
      <alignment horizontal="center" vertical="center"/>
    </xf>
    <xf numFmtId="0" fontId="1" fillId="34" borderId="77" xfId="0" applyFont="1" applyFill="1" applyBorder="1" applyAlignment="1">
      <alignment horizontal="center" vertical="center"/>
    </xf>
    <xf numFmtId="18" fontId="1" fillId="34" borderId="78" xfId="0" applyNumberFormat="1" applyFont="1" applyFill="1" applyBorder="1" applyAlignment="1">
      <alignment horizontal="center" vertical="center"/>
    </xf>
    <xf numFmtId="20" fontId="1" fillId="34" borderId="77" xfId="0" applyNumberFormat="1" applyFont="1" applyFill="1" applyBorder="1" applyAlignment="1">
      <alignment horizontal="center" vertical="center"/>
    </xf>
    <xf numFmtId="0" fontId="1" fillId="34" borderId="60" xfId="0" applyFont="1" applyFill="1" applyBorder="1" applyAlignment="1">
      <alignment horizontal="center" vertical="center"/>
    </xf>
    <xf numFmtId="18" fontId="1" fillId="34" borderId="60" xfId="0" applyNumberFormat="1" applyFont="1" applyFill="1" applyBorder="1" applyAlignment="1">
      <alignment horizontal="center" vertical="center"/>
    </xf>
    <xf numFmtId="0" fontId="1" fillId="34" borderId="75" xfId="0" applyFont="1" applyFill="1" applyBorder="1" applyAlignment="1">
      <alignment horizontal="center" vertical="center"/>
    </xf>
    <xf numFmtId="0" fontId="13" fillId="36" borderId="80" xfId="0" applyFont="1" applyFill="1" applyBorder="1" applyAlignment="1">
      <alignment horizontal="center" vertical="center"/>
    </xf>
    <xf numFmtId="0" fontId="13" fillId="36" borderId="53" xfId="0" applyFont="1" applyFill="1" applyBorder="1" applyAlignment="1">
      <alignment horizontal="center" vertical="center"/>
    </xf>
    <xf numFmtId="0" fontId="13" fillId="36" borderId="84" xfId="0" applyFont="1" applyFill="1" applyBorder="1" applyAlignment="1">
      <alignment horizontal="center" vertical="center"/>
    </xf>
    <xf numFmtId="0" fontId="13" fillId="36" borderId="92" xfId="0" applyFont="1" applyFill="1" applyBorder="1" applyAlignment="1">
      <alignment horizontal="center" vertical="center"/>
    </xf>
    <xf numFmtId="0" fontId="15" fillId="34" borderId="0" xfId="0" applyFont="1" applyFill="1" applyAlignment="1">
      <alignment horizontal="center" vertical="center"/>
    </xf>
    <xf numFmtId="0" fontId="24" fillId="34" borderId="0" xfId="0" applyFont="1" applyFill="1" applyAlignment="1">
      <alignment vertical="center"/>
    </xf>
    <xf numFmtId="0" fontId="15" fillId="35" borderId="86" xfId="0" applyFont="1" applyFill="1" applyBorder="1" applyAlignment="1">
      <alignment horizontal="center" vertical="center"/>
    </xf>
    <xf numFmtId="0" fontId="15" fillId="35" borderId="93" xfId="0" applyFont="1" applyFill="1" applyBorder="1" applyAlignment="1">
      <alignment horizontal="center" vertical="center"/>
    </xf>
    <xf numFmtId="9" fontId="13" fillId="34" borderId="16" xfId="0" applyNumberFormat="1" applyFont="1" applyFill="1" applyBorder="1" applyAlignment="1">
      <alignment horizontal="center" vertical="center"/>
    </xf>
    <xf numFmtId="9" fontId="13" fillId="34" borderId="0" xfId="0" applyNumberFormat="1" applyFont="1" applyFill="1" applyAlignment="1">
      <alignment horizontal="center" vertical="center"/>
    </xf>
    <xf numFmtId="9" fontId="13" fillId="34" borderId="93" xfId="0" applyNumberFormat="1" applyFont="1" applyFill="1" applyBorder="1" applyAlignment="1">
      <alignment horizontal="center" vertical="center"/>
    </xf>
    <xf numFmtId="0" fontId="15" fillId="37" borderId="60" xfId="0" quotePrefix="1" applyFont="1" applyFill="1" applyBorder="1" applyAlignment="1">
      <alignment horizontal="center" vertical="center"/>
    </xf>
    <xf numFmtId="0" fontId="15" fillId="35" borderId="87" xfId="0" applyFont="1" applyFill="1" applyBorder="1" applyAlignment="1">
      <alignment horizontal="center" vertical="center"/>
    </xf>
    <xf numFmtId="0" fontId="25" fillId="34" borderId="0" xfId="0" applyFont="1" applyFill="1" applyAlignment="1">
      <alignment vertical="center"/>
    </xf>
    <xf numFmtId="0" fontId="1" fillId="34" borderId="76" xfId="0" applyFont="1" applyFill="1" applyBorder="1" applyAlignment="1">
      <alignment horizontal="center" vertical="center"/>
    </xf>
    <xf numFmtId="20" fontId="18" fillId="34" borderId="77" xfId="0" applyNumberFormat="1" applyFont="1" applyFill="1" applyBorder="1" applyAlignment="1">
      <alignment horizontal="center" vertical="center"/>
    </xf>
    <xf numFmtId="16" fontId="1" fillId="34" borderId="60" xfId="0" applyNumberFormat="1" applyFont="1" applyFill="1" applyBorder="1" applyAlignment="1">
      <alignment horizontal="center" vertical="center"/>
    </xf>
    <xf numFmtId="18" fontId="18" fillId="34" borderId="60" xfId="0" applyNumberFormat="1" applyFont="1" applyFill="1" applyBorder="1" applyAlignment="1">
      <alignment horizontal="center" vertical="center"/>
    </xf>
    <xf numFmtId="0" fontId="13" fillId="36" borderId="94" xfId="0" applyFont="1" applyFill="1" applyBorder="1" applyAlignment="1">
      <alignment horizontal="center" vertical="center"/>
    </xf>
    <xf numFmtId="0" fontId="13" fillId="36" borderId="95" xfId="0" applyFont="1" applyFill="1" applyBorder="1" applyAlignment="1">
      <alignment horizontal="center" vertical="center"/>
    </xf>
    <xf numFmtId="0" fontId="13" fillId="36" borderId="89" xfId="0" applyFont="1" applyFill="1" applyBorder="1" applyAlignment="1">
      <alignment horizontal="center" vertical="center"/>
    </xf>
    <xf numFmtId="0" fontId="13" fillId="36" borderId="90" xfId="0" applyFont="1" applyFill="1" applyBorder="1" applyAlignment="1">
      <alignment horizontal="center" vertical="center"/>
    </xf>
    <xf numFmtId="0" fontId="13" fillId="36" borderId="91" xfId="0" applyFont="1" applyFill="1" applyBorder="1" applyAlignment="1">
      <alignment horizontal="center" vertical="center"/>
    </xf>
    <xf numFmtId="0" fontId="15" fillId="35" borderId="74" xfId="0" quotePrefix="1" applyFont="1" applyFill="1" applyBorder="1" applyAlignment="1">
      <alignment horizontal="center" vertical="center"/>
    </xf>
    <xf numFmtId="0" fontId="15" fillId="35" borderId="60" xfId="0" quotePrefix="1" applyFont="1" applyFill="1" applyBorder="1" applyAlignment="1">
      <alignment horizontal="center" vertical="center"/>
    </xf>
    <xf numFmtId="0" fontId="15" fillId="37" borderId="75" xfId="0" applyFont="1" applyFill="1" applyBorder="1" applyAlignment="1">
      <alignment horizontal="center" vertical="center"/>
    </xf>
    <xf numFmtId="9" fontId="13" fillId="34" borderId="74" xfId="0" applyNumberFormat="1" applyFont="1" applyFill="1" applyBorder="1" applyAlignment="1">
      <alignment horizontal="center" vertical="center"/>
    </xf>
    <xf numFmtId="0" fontId="17" fillId="38" borderId="73" xfId="0" applyFont="1" applyFill="1" applyBorder="1" applyAlignment="1">
      <alignment horizontal="center" vertical="center"/>
    </xf>
    <xf numFmtId="20" fontId="13" fillId="34" borderId="60" xfId="0" applyNumberFormat="1" applyFont="1" applyFill="1" applyBorder="1" applyAlignment="1">
      <alignment horizontal="center" vertical="center"/>
    </xf>
    <xf numFmtId="0" fontId="13" fillId="34" borderId="75" xfId="0" applyFont="1" applyFill="1" applyBorder="1" applyAlignment="1">
      <alignment horizontal="center" vertical="center"/>
    </xf>
    <xf numFmtId="0" fontId="17" fillId="38" borderId="75" xfId="0" applyFont="1" applyFill="1" applyBorder="1" applyAlignment="1">
      <alignment horizontal="center" vertical="center"/>
    </xf>
    <xf numFmtId="0" fontId="15" fillId="34" borderId="60" xfId="0" applyFont="1" applyFill="1" applyBorder="1" applyAlignment="1">
      <alignment horizontal="center" vertical="center"/>
    </xf>
    <xf numFmtId="0" fontId="17" fillId="38" borderId="79" xfId="0" applyFont="1" applyFill="1" applyBorder="1" applyAlignment="1">
      <alignment horizontal="center" vertical="center"/>
    </xf>
    <xf numFmtId="16" fontId="1" fillId="34" borderId="76" xfId="0" applyNumberFormat="1" applyFont="1" applyFill="1" applyBorder="1" applyAlignment="1">
      <alignment horizontal="center" vertical="center"/>
    </xf>
    <xf numFmtId="18" fontId="1" fillId="34" borderId="77" xfId="0" applyNumberFormat="1" applyFont="1" applyFill="1" applyBorder="1" applyAlignment="1">
      <alignment horizontal="center" vertical="center"/>
    </xf>
    <xf numFmtId="0" fontId="1" fillId="34" borderId="79" xfId="0" applyFont="1" applyFill="1" applyBorder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17" fillId="37" borderId="71" xfId="0" quotePrefix="1" applyFont="1" applyFill="1" applyBorder="1" applyAlignment="1">
      <alignment horizontal="center" vertical="center" wrapText="1"/>
    </xf>
    <xf numFmtId="0" fontId="17" fillId="37" borderId="71" xfId="0" applyFont="1" applyFill="1" applyBorder="1" applyAlignment="1">
      <alignment horizontal="center" vertical="center" wrapText="1"/>
    </xf>
    <xf numFmtId="164" fontId="1" fillId="34" borderId="79" xfId="0" applyNumberFormat="1" applyFont="1" applyFill="1" applyBorder="1" applyAlignment="1">
      <alignment horizontal="center" vertical="center"/>
    </xf>
    <xf numFmtId="0" fontId="15" fillId="37" borderId="70" xfId="0" applyFont="1" applyFill="1" applyBorder="1" applyAlignment="1">
      <alignment horizontal="center" vertical="center"/>
    </xf>
    <xf numFmtId="0" fontId="15" fillId="37" borderId="71" xfId="0" applyFont="1" applyFill="1" applyBorder="1" applyAlignment="1">
      <alignment horizontal="center" vertical="center"/>
    </xf>
    <xf numFmtId="0" fontId="15" fillId="34" borderId="74" xfId="0" applyFont="1" applyFill="1" applyBorder="1" applyAlignment="1">
      <alignment horizontal="center" vertical="center"/>
    </xf>
    <xf numFmtId="0" fontId="1" fillId="34" borderId="74" xfId="0" applyFont="1" applyFill="1" applyBorder="1" applyAlignment="1">
      <alignment horizontal="center" vertical="center"/>
    </xf>
    <xf numFmtId="0" fontId="13" fillId="36" borderId="3" xfId="0" applyFont="1" applyFill="1" applyBorder="1" applyAlignment="1">
      <alignment horizontal="center" vertical="center"/>
    </xf>
    <xf numFmtId="0" fontId="15" fillId="37" borderId="74" xfId="0" quotePrefix="1" applyFont="1" applyFill="1" applyBorder="1" applyAlignment="1">
      <alignment horizontal="center" vertical="center"/>
    </xf>
    <xf numFmtId="0" fontId="15" fillId="37" borderId="75" xfId="0" quotePrefix="1" applyFont="1" applyFill="1" applyBorder="1" applyAlignment="1">
      <alignment horizontal="center" vertical="center"/>
    </xf>
    <xf numFmtId="10" fontId="13" fillId="34" borderId="74" xfId="0" applyNumberFormat="1" applyFont="1" applyFill="1" applyBorder="1" applyAlignment="1">
      <alignment horizontal="center" vertical="center"/>
    </xf>
    <xf numFmtId="10" fontId="13" fillId="34" borderId="75" xfId="0" applyNumberFormat="1" applyFont="1" applyFill="1" applyBorder="1" applyAlignment="1">
      <alignment horizontal="center" vertical="center"/>
    </xf>
    <xf numFmtId="0" fontId="1" fillId="34" borderId="0" xfId="0" applyFont="1" applyFill="1" applyAlignment="1">
      <alignment vertical="center"/>
    </xf>
    <xf numFmtId="0" fontId="1" fillId="28" borderId="0" xfId="0" applyFont="1" applyFill="1"/>
    <xf numFmtId="0" fontId="21" fillId="28" borderId="0" xfId="0" applyFont="1" applyFill="1" applyAlignment="1">
      <alignment horizontal="center" vertical="center"/>
    </xf>
    <xf numFmtId="0" fontId="19" fillId="28" borderId="0" xfId="0" applyFont="1" applyFill="1"/>
    <xf numFmtId="0" fontId="12" fillId="29" borderId="52" xfId="0" applyFont="1" applyFill="1" applyBorder="1" applyAlignment="1">
      <alignment horizontal="center" vertical="center"/>
    </xf>
    <xf numFmtId="0" fontId="12" fillId="29" borderId="68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 vertical="center"/>
    </xf>
    <xf numFmtId="0" fontId="12" fillId="29" borderId="3" xfId="0" applyFont="1" applyFill="1" applyBorder="1" applyAlignment="1">
      <alignment horizontal="center" vertical="center"/>
    </xf>
    <xf numFmtId="0" fontId="13" fillId="28" borderId="0" xfId="0" applyFont="1" applyFill="1" applyAlignment="1">
      <alignment horizontal="center" vertical="center"/>
    </xf>
    <xf numFmtId="0" fontId="16" fillId="28" borderId="0" xfId="0" applyFont="1" applyFill="1" applyAlignment="1">
      <alignment vertical="center"/>
    </xf>
    <xf numFmtId="0" fontId="16" fillId="28" borderId="0" xfId="0" applyFont="1" applyFill="1"/>
    <xf numFmtId="0" fontId="11" fillId="29" borderId="47" xfId="0" applyFont="1" applyFill="1" applyBorder="1" applyAlignment="1">
      <alignment horizontal="left" vertical="center"/>
    </xf>
    <xf numFmtId="0" fontId="13" fillId="28" borderId="0" xfId="0" applyFont="1" applyFill="1"/>
    <xf numFmtId="0" fontId="11" fillId="29" borderId="53" xfId="0" applyFont="1" applyFill="1" applyBorder="1" applyAlignment="1">
      <alignment horizontal="left" vertical="center"/>
    </xf>
    <xf numFmtId="0" fontId="13" fillId="30" borderId="47" xfId="0" applyFont="1" applyFill="1" applyBorder="1" applyAlignment="1">
      <alignment horizontal="center" vertical="center"/>
    </xf>
    <xf numFmtId="0" fontId="13" fillId="30" borderId="52" xfId="0" applyFont="1" applyFill="1" applyBorder="1" applyAlignment="1">
      <alignment horizontal="center" vertical="center"/>
    </xf>
    <xf numFmtId="0" fontId="13" fillId="30" borderId="67" xfId="0" applyFont="1" applyFill="1" applyBorder="1" applyAlignment="1">
      <alignment horizontal="center" vertical="center"/>
    </xf>
    <xf numFmtId="0" fontId="9" fillId="28" borderId="0" xfId="0" applyFont="1" applyFill="1" applyAlignment="1">
      <alignment vertical="center"/>
    </xf>
    <xf numFmtId="0" fontId="12" fillId="29" borderId="53" xfId="0" applyFont="1" applyFill="1" applyBorder="1" applyAlignment="1">
      <alignment horizontal="left" vertical="center"/>
    </xf>
    <xf numFmtId="0" fontId="15" fillId="31" borderId="18" xfId="0" applyFont="1" applyFill="1" applyBorder="1" applyAlignment="1">
      <alignment horizontal="center" vertical="center"/>
    </xf>
    <xf numFmtId="0" fontId="17" fillId="31" borderId="71" xfId="0" applyFont="1" applyFill="1" applyBorder="1" applyAlignment="1">
      <alignment horizontal="center" vertical="center"/>
    </xf>
    <xf numFmtId="0" fontId="17" fillId="31" borderId="72" xfId="0" applyFont="1" applyFill="1" applyBorder="1" applyAlignment="1">
      <alignment horizontal="center" vertical="center"/>
    </xf>
    <xf numFmtId="0" fontId="15" fillId="31" borderId="73" xfId="0" applyFont="1" applyFill="1" applyBorder="1" applyAlignment="1">
      <alignment horizontal="center" vertical="center"/>
    </xf>
    <xf numFmtId="0" fontId="9" fillId="28" borderId="0" xfId="0" applyFont="1" applyFill="1"/>
    <xf numFmtId="0" fontId="11" fillId="29" borderId="85" xfId="0" applyFont="1" applyFill="1" applyBorder="1" applyAlignment="1">
      <alignment horizontal="left" vertical="center"/>
    </xf>
    <xf numFmtId="9" fontId="13" fillId="28" borderId="63" xfId="0" applyNumberFormat="1" applyFont="1" applyFill="1" applyBorder="1" applyAlignment="1">
      <alignment horizontal="center" vertical="center"/>
    </xf>
    <xf numFmtId="9" fontId="13" fillId="28" borderId="60" xfId="0" applyNumberFormat="1" applyFont="1" applyFill="1" applyBorder="1" applyAlignment="1">
      <alignment horizontal="center" vertical="center"/>
    </xf>
    <xf numFmtId="9" fontId="13" fillId="28" borderId="86" xfId="0" applyNumberFormat="1" applyFont="1" applyFill="1" applyBorder="1" applyAlignment="1">
      <alignment horizontal="center" vertical="center"/>
    </xf>
    <xf numFmtId="9" fontId="13" fillId="28" borderId="88" xfId="0" applyNumberFormat="1" applyFont="1" applyFill="1" applyBorder="1" applyAlignment="1">
      <alignment horizontal="center" vertical="center"/>
    </xf>
    <xf numFmtId="9" fontId="13" fillId="28" borderId="75" xfId="0" applyNumberFormat="1" applyFont="1" applyFill="1" applyBorder="1" applyAlignment="1">
      <alignment horizontal="center" vertical="center"/>
    </xf>
    <xf numFmtId="0" fontId="11" fillId="28" borderId="0" xfId="0" applyFont="1" applyFill="1"/>
    <xf numFmtId="0" fontId="15" fillId="31" borderId="74" xfId="0" applyFont="1" applyFill="1" applyBorder="1" applyAlignment="1">
      <alignment horizontal="center" vertical="center"/>
    </xf>
    <xf numFmtId="0" fontId="15" fillId="31" borderId="60" xfId="0" applyFont="1" applyFill="1" applyBorder="1" applyAlignment="1">
      <alignment horizontal="center" vertical="center"/>
    </xf>
    <xf numFmtId="0" fontId="15" fillId="31" borderId="63" xfId="0" applyFont="1" applyFill="1" applyBorder="1" applyAlignment="1">
      <alignment horizontal="center" vertical="center"/>
    </xf>
    <xf numFmtId="0" fontId="15" fillId="31" borderId="0" xfId="0" applyFont="1" applyFill="1" applyAlignment="1">
      <alignment horizontal="center" vertical="center"/>
    </xf>
    <xf numFmtId="0" fontId="17" fillId="32" borderId="4" xfId="0" applyFont="1" applyFill="1" applyBorder="1" applyAlignment="1">
      <alignment horizontal="center" vertical="center"/>
    </xf>
    <xf numFmtId="0" fontId="24" fillId="28" borderId="0" xfId="0" applyFont="1" applyFill="1"/>
    <xf numFmtId="0" fontId="13" fillId="28" borderId="74" xfId="0" applyFont="1" applyFill="1" applyBorder="1" applyAlignment="1">
      <alignment horizontal="center" vertical="center"/>
    </xf>
    <xf numFmtId="0" fontId="13" fillId="28" borderId="60" xfId="0" applyFont="1" applyFill="1" applyBorder="1" applyAlignment="1">
      <alignment horizontal="center" vertical="center"/>
    </xf>
    <xf numFmtId="0" fontId="13" fillId="28" borderId="63" xfId="0" applyFont="1" applyFill="1" applyBorder="1" applyAlignment="1">
      <alignment horizontal="center" vertical="center"/>
    </xf>
    <xf numFmtId="0" fontId="17" fillId="32" borderId="5" xfId="0" applyFont="1" applyFill="1" applyBorder="1" applyAlignment="1">
      <alignment horizontal="center" vertical="center"/>
    </xf>
    <xf numFmtId="0" fontId="23" fillId="28" borderId="0" xfId="0" applyFont="1" applyFill="1" applyAlignment="1">
      <alignment vertical="center"/>
    </xf>
    <xf numFmtId="20" fontId="13" fillId="28" borderId="0" xfId="0" applyNumberFormat="1" applyFont="1" applyFill="1" applyAlignment="1">
      <alignment horizontal="center" vertical="center"/>
    </xf>
    <xf numFmtId="0" fontId="17" fillId="32" borderId="6" xfId="0" applyFont="1" applyFill="1" applyBorder="1" applyAlignment="1">
      <alignment horizontal="center" vertical="center"/>
    </xf>
    <xf numFmtId="0" fontId="11" fillId="29" borderId="54" xfId="0" applyFont="1" applyFill="1" applyBorder="1" applyAlignment="1">
      <alignment horizontal="left" vertical="center"/>
    </xf>
    <xf numFmtId="18" fontId="1" fillId="28" borderId="76" xfId="0" applyNumberFormat="1" applyFont="1" applyFill="1" applyBorder="1" applyAlignment="1">
      <alignment horizontal="center" vertical="center"/>
    </xf>
    <xf numFmtId="0" fontId="1" fillId="28" borderId="77" xfId="0" applyFont="1" applyFill="1" applyBorder="1" applyAlignment="1">
      <alignment horizontal="center" vertical="center"/>
    </xf>
    <xf numFmtId="18" fontId="1" fillId="28" borderId="78" xfId="0" applyNumberFormat="1" applyFont="1" applyFill="1" applyBorder="1" applyAlignment="1">
      <alignment horizontal="center" vertical="center"/>
    </xf>
    <xf numFmtId="20" fontId="1" fillId="28" borderId="77" xfId="0" applyNumberFormat="1" applyFont="1" applyFill="1" applyBorder="1" applyAlignment="1">
      <alignment horizontal="center" vertical="center"/>
    </xf>
    <xf numFmtId="0" fontId="1" fillId="28" borderId="60" xfId="0" applyFont="1" applyFill="1" applyBorder="1" applyAlignment="1">
      <alignment horizontal="center" vertical="center"/>
    </xf>
    <xf numFmtId="18" fontId="1" fillId="28" borderId="60" xfId="0" applyNumberFormat="1" applyFont="1" applyFill="1" applyBorder="1" applyAlignment="1">
      <alignment horizontal="center" vertical="center"/>
    </xf>
    <xf numFmtId="0" fontId="1" fillId="28" borderId="75" xfId="0" applyFont="1" applyFill="1" applyBorder="1" applyAlignment="1">
      <alignment horizontal="center" vertical="center"/>
    </xf>
    <xf numFmtId="0" fontId="13" fillId="30" borderId="80" xfId="0" applyFont="1" applyFill="1" applyBorder="1" applyAlignment="1">
      <alignment horizontal="center" vertical="center"/>
    </xf>
    <xf numFmtId="0" fontId="13" fillId="30" borderId="53" xfId="0" applyFont="1" applyFill="1" applyBorder="1" applyAlignment="1">
      <alignment horizontal="center" vertical="center"/>
    </xf>
    <xf numFmtId="0" fontId="13" fillId="30" borderId="84" xfId="0" applyFont="1" applyFill="1" applyBorder="1" applyAlignment="1">
      <alignment horizontal="center" vertical="center"/>
    </xf>
    <xf numFmtId="0" fontId="13" fillId="30" borderId="92" xfId="0" applyFont="1" applyFill="1" applyBorder="1" applyAlignment="1">
      <alignment horizontal="center" vertical="center"/>
    </xf>
    <xf numFmtId="0" fontId="15" fillId="28" borderId="0" xfId="0" applyFont="1" applyFill="1" applyAlignment="1">
      <alignment horizontal="center" vertical="center"/>
    </xf>
    <xf numFmtId="0" fontId="24" fillId="28" borderId="0" xfId="0" applyFont="1" applyFill="1" applyAlignment="1">
      <alignment vertical="center"/>
    </xf>
    <xf numFmtId="0" fontId="17" fillId="33" borderId="71" xfId="0" applyFont="1" applyFill="1" applyBorder="1" applyAlignment="1">
      <alignment horizontal="center" vertical="center"/>
    </xf>
    <xf numFmtId="0" fontId="15" fillId="33" borderId="60" xfId="0" applyFont="1" applyFill="1" applyBorder="1" applyAlignment="1">
      <alignment horizontal="center" vertical="center"/>
    </xf>
    <xf numFmtId="0" fontId="15" fillId="33" borderId="86" xfId="0" applyFont="1" applyFill="1" applyBorder="1" applyAlignment="1">
      <alignment horizontal="center" vertical="center"/>
    </xf>
    <xf numFmtId="0" fontId="15" fillId="33" borderId="93" xfId="0" applyFont="1" applyFill="1" applyBorder="1" applyAlignment="1">
      <alignment horizontal="center" vertical="center"/>
    </xf>
    <xf numFmtId="9" fontId="13" fillId="28" borderId="16" xfId="0" applyNumberFormat="1" applyFont="1" applyFill="1" applyBorder="1" applyAlignment="1">
      <alignment horizontal="center" vertical="center"/>
    </xf>
    <xf numFmtId="9" fontId="13" fillId="28" borderId="0" xfId="0" applyNumberFormat="1" applyFont="1" applyFill="1" applyAlignment="1">
      <alignment horizontal="center" vertical="center"/>
    </xf>
    <xf numFmtId="9" fontId="13" fillId="28" borderId="93" xfId="0" applyNumberFormat="1" applyFont="1" applyFill="1" applyBorder="1" applyAlignment="1">
      <alignment horizontal="center" vertical="center"/>
    </xf>
    <xf numFmtId="0" fontId="15" fillId="31" borderId="60" xfId="0" quotePrefix="1" applyFont="1" applyFill="1" applyBorder="1" applyAlignment="1">
      <alignment horizontal="center" vertical="center"/>
    </xf>
    <xf numFmtId="0" fontId="15" fillId="33" borderId="87" xfId="0" applyFont="1" applyFill="1" applyBorder="1" applyAlignment="1">
      <alignment horizontal="center" vertical="center"/>
    </xf>
    <xf numFmtId="0" fontId="25" fillId="28" borderId="0" xfId="0" applyFont="1" applyFill="1" applyAlignment="1">
      <alignment vertical="center"/>
    </xf>
    <xf numFmtId="0" fontId="1" fillId="28" borderId="76" xfId="0" applyFont="1" applyFill="1" applyBorder="1" applyAlignment="1">
      <alignment horizontal="center" vertical="center"/>
    </xf>
    <xf numFmtId="20" fontId="18" fillId="28" borderId="77" xfId="0" applyNumberFormat="1" applyFont="1" applyFill="1" applyBorder="1" applyAlignment="1">
      <alignment horizontal="center" vertical="center"/>
    </xf>
    <xf numFmtId="16" fontId="1" fillId="28" borderId="60" xfId="0" applyNumberFormat="1" applyFont="1" applyFill="1" applyBorder="1" applyAlignment="1">
      <alignment horizontal="center" vertical="center"/>
    </xf>
    <xf numFmtId="18" fontId="18" fillId="28" borderId="60" xfId="0" applyNumberFormat="1" applyFont="1" applyFill="1" applyBorder="1" applyAlignment="1">
      <alignment horizontal="center" vertical="center"/>
    </xf>
    <xf numFmtId="0" fontId="13" fillId="30" borderId="94" xfId="0" applyFont="1" applyFill="1" applyBorder="1" applyAlignment="1">
      <alignment horizontal="center" vertical="center"/>
    </xf>
    <xf numFmtId="0" fontId="13" fillId="30" borderId="95" xfId="0" applyFont="1" applyFill="1" applyBorder="1" applyAlignment="1">
      <alignment horizontal="center" vertical="center"/>
    </xf>
    <xf numFmtId="0" fontId="13" fillId="30" borderId="89" xfId="0" applyFont="1" applyFill="1" applyBorder="1" applyAlignment="1">
      <alignment horizontal="center" vertical="center"/>
    </xf>
    <xf numFmtId="0" fontId="13" fillId="30" borderId="90" xfId="0" applyFont="1" applyFill="1" applyBorder="1" applyAlignment="1">
      <alignment horizontal="center" vertical="center"/>
    </xf>
    <xf numFmtId="0" fontId="13" fillId="30" borderId="91" xfId="0" applyFont="1" applyFill="1" applyBorder="1" applyAlignment="1">
      <alignment horizontal="center" vertical="center"/>
    </xf>
    <xf numFmtId="0" fontId="15" fillId="33" borderId="74" xfId="0" quotePrefix="1" applyFont="1" applyFill="1" applyBorder="1" applyAlignment="1">
      <alignment horizontal="center" vertical="center"/>
    </xf>
    <xf numFmtId="0" fontId="15" fillId="33" borderId="60" xfId="0" quotePrefix="1" applyFont="1" applyFill="1" applyBorder="1" applyAlignment="1">
      <alignment horizontal="center" vertical="center"/>
    </xf>
    <xf numFmtId="0" fontId="15" fillId="31" borderId="75" xfId="0" applyFont="1" applyFill="1" applyBorder="1" applyAlignment="1">
      <alignment horizontal="center" vertical="center"/>
    </xf>
    <xf numFmtId="9" fontId="13" fillId="28" borderId="74" xfId="0" applyNumberFormat="1" applyFont="1" applyFill="1" applyBorder="1" applyAlignment="1">
      <alignment horizontal="center" vertical="center"/>
    </xf>
    <xf numFmtId="0" fontId="17" fillId="32" borderId="73" xfId="0" applyFont="1" applyFill="1" applyBorder="1" applyAlignment="1">
      <alignment horizontal="center" vertical="center"/>
    </xf>
    <xf numFmtId="20" fontId="13" fillId="28" borderId="60" xfId="0" applyNumberFormat="1" applyFont="1" applyFill="1" applyBorder="1" applyAlignment="1">
      <alignment horizontal="center" vertical="center"/>
    </xf>
    <xf numFmtId="0" fontId="15" fillId="28" borderId="60" xfId="0" applyFont="1" applyFill="1" applyBorder="1" applyAlignment="1">
      <alignment horizontal="center" vertical="center"/>
    </xf>
    <xf numFmtId="0" fontId="15" fillId="28" borderId="75" xfId="0" applyFont="1" applyFill="1" applyBorder="1" applyAlignment="1">
      <alignment horizontal="center" vertical="center"/>
    </xf>
    <xf numFmtId="0" fontId="17" fillId="32" borderId="75" xfId="0" applyFont="1" applyFill="1" applyBorder="1" applyAlignment="1">
      <alignment horizontal="center" vertical="center"/>
    </xf>
    <xf numFmtId="0" fontId="17" fillId="32" borderId="79" xfId="0" applyFont="1" applyFill="1" applyBorder="1" applyAlignment="1">
      <alignment horizontal="center" vertical="center"/>
    </xf>
    <xf numFmtId="16" fontId="1" fillId="28" borderId="76" xfId="0" applyNumberFormat="1" applyFont="1" applyFill="1" applyBorder="1" applyAlignment="1">
      <alignment horizontal="center" vertical="center"/>
    </xf>
    <xf numFmtId="18" fontId="1" fillId="28" borderId="77" xfId="0" applyNumberFormat="1" applyFont="1" applyFill="1" applyBorder="1" applyAlignment="1">
      <alignment horizontal="center" vertical="center"/>
    </xf>
    <xf numFmtId="0" fontId="1" fillId="28" borderId="79" xfId="0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17" fillId="31" borderId="71" xfId="0" quotePrefix="1" applyFont="1" applyFill="1" applyBorder="1" applyAlignment="1">
      <alignment horizontal="center" vertical="center"/>
    </xf>
    <xf numFmtId="0" fontId="17" fillId="31" borderId="71" xfId="0" applyFont="1" applyFill="1" applyBorder="1" applyAlignment="1">
      <alignment horizontal="center" vertical="center" wrapText="1"/>
    </xf>
    <xf numFmtId="0" fontId="13" fillId="28" borderId="75" xfId="0" applyFont="1" applyFill="1" applyBorder="1" applyAlignment="1">
      <alignment horizontal="center" vertical="center"/>
    </xf>
    <xf numFmtId="164" fontId="1" fillId="28" borderId="79" xfId="0" applyNumberFormat="1" applyFont="1" applyFill="1" applyBorder="1" applyAlignment="1">
      <alignment horizontal="center" vertical="center"/>
    </xf>
    <xf numFmtId="0" fontId="15" fillId="31" borderId="70" xfId="0" applyFont="1" applyFill="1" applyBorder="1" applyAlignment="1">
      <alignment horizontal="center" vertical="center"/>
    </xf>
    <xf numFmtId="0" fontId="15" fillId="31" borderId="71" xfId="0" applyFont="1" applyFill="1" applyBorder="1" applyAlignment="1">
      <alignment horizontal="center" vertical="center"/>
    </xf>
    <xf numFmtId="0" fontId="15" fillId="28" borderId="74" xfId="0" applyFont="1" applyFill="1" applyBorder="1" applyAlignment="1">
      <alignment horizontal="center" vertical="center"/>
    </xf>
    <xf numFmtId="0" fontId="1" fillId="28" borderId="74" xfId="0" applyFont="1" applyFill="1" applyBorder="1" applyAlignment="1">
      <alignment horizontal="center" vertical="center"/>
    </xf>
    <xf numFmtId="0" fontId="13" fillId="30" borderId="3" xfId="0" applyFont="1" applyFill="1" applyBorder="1" applyAlignment="1">
      <alignment horizontal="center" vertical="center"/>
    </xf>
    <xf numFmtId="0" fontId="15" fillId="31" borderId="74" xfId="0" quotePrefix="1" applyFont="1" applyFill="1" applyBorder="1" applyAlignment="1">
      <alignment horizontal="center" vertical="center"/>
    </xf>
    <xf numFmtId="0" fontId="15" fillId="31" borderId="75" xfId="0" quotePrefix="1" applyFont="1" applyFill="1" applyBorder="1" applyAlignment="1">
      <alignment horizontal="center" vertical="center"/>
    </xf>
    <xf numFmtId="10" fontId="13" fillId="28" borderId="74" xfId="0" applyNumberFormat="1" applyFont="1" applyFill="1" applyBorder="1" applyAlignment="1">
      <alignment horizontal="center" vertical="center"/>
    </xf>
    <xf numFmtId="10" fontId="13" fillId="28" borderId="75" xfId="0" applyNumberFormat="1" applyFont="1" applyFill="1" applyBorder="1" applyAlignment="1">
      <alignment horizontal="center" vertical="center"/>
    </xf>
    <xf numFmtId="0" fontId="1" fillId="28" borderId="0" xfId="0" applyFont="1" applyFill="1" applyAlignment="1">
      <alignment vertical="center"/>
    </xf>
    <xf numFmtId="0" fontId="1" fillId="25" borderId="0" xfId="0" applyFont="1" applyFill="1"/>
    <xf numFmtId="0" fontId="20" fillId="25" borderId="0" xfId="0" applyFont="1" applyFill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0" fontId="19" fillId="25" borderId="0" xfId="0" applyFont="1" applyFill="1"/>
    <xf numFmtId="0" fontId="20" fillId="25" borderId="0" xfId="0" applyFont="1" applyFill="1" applyAlignment="1">
      <alignment horizontal="left" vertical="center"/>
    </xf>
    <xf numFmtId="0" fontId="13" fillId="25" borderId="0" xfId="0" applyFont="1" applyFill="1" applyAlignment="1">
      <alignment horizontal="center" vertical="center"/>
    </xf>
    <xf numFmtId="0" fontId="16" fillId="25" borderId="0" xfId="0" applyFont="1" applyFill="1" applyAlignment="1">
      <alignment vertical="center"/>
    </xf>
    <xf numFmtId="0" fontId="16" fillId="25" borderId="0" xfId="0" applyFont="1" applyFill="1"/>
    <xf numFmtId="0" fontId="13" fillId="25" borderId="0" xfId="0" applyFont="1" applyFill="1"/>
    <xf numFmtId="0" fontId="9" fillId="25" borderId="0" xfId="0" applyFont="1" applyFill="1" applyAlignment="1">
      <alignment vertical="center"/>
    </xf>
    <xf numFmtId="0" fontId="9" fillId="25" borderId="0" xfId="0" applyFont="1" applyFill="1"/>
    <xf numFmtId="0" fontId="11" fillId="25" borderId="0" xfId="0" applyFont="1" applyFill="1"/>
    <xf numFmtId="0" fontId="17" fillId="26" borderId="4" xfId="0" applyFont="1" applyFill="1" applyBorder="1" applyAlignment="1">
      <alignment horizontal="center" vertical="center"/>
    </xf>
    <xf numFmtId="0" fontId="24" fillId="25" borderId="0" xfId="0" applyFont="1" applyFill="1"/>
    <xf numFmtId="0" fontId="17" fillId="26" borderId="5" xfId="0" applyFont="1" applyFill="1" applyBorder="1" applyAlignment="1">
      <alignment horizontal="center" vertical="center"/>
    </xf>
    <xf numFmtId="0" fontId="23" fillId="25" borderId="0" xfId="0" applyFont="1" applyFill="1" applyAlignment="1">
      <alignment vertical="center"/>
    </xf>
    <xf numFmtId="0" fontId="17" fillId="26" borderId="6" xfId="0" applyFont="1" applyFill="1" applyBorder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0" fontId="24" fillId="25" borderId="0" xfId="0" applyFont="1" applyFill="1" applyAlignment="1">
      <alignment vertical="center"/>
    </xf>
    <xf numFmtId="0" fontId="25" fillId="25" borderId="0" xfId="0" applyFont="1" applyFill="1" applyAlignment="1">
      <alignment vertical="center"/>
    </xf>
    <xf numFmtId="0" fontId="15" fillId="27" borderId="60" xfId="0" quotePrefix="1" applyFont="1" applyFill="1" applyBorder="1" applyAlignment="1">
      <alignment horizontal="center" vertical="center"/>
    </xf>
    <xf numFmtId="0" fontId="15" fillId="27" borderId="60" xfId="0" applyFont="1" applyFill="1" applyBorder="1" applyAlignment="1">
      <alignment horizontal="center" vertical="center"/>
    </xf>
    <xf numFmtId="0" fontId="15" fillId="27" borderId="75" xfId="0" applyFont="1" applyFill="1" applyBorder="1" applyAlignment="1">
      <alignment horizontal="center" vertical="center"/>
    </xf>
    <xf numFmtId="0" fontId="17" fillId="26" borderId="73" xfId="0" applyFont="1" applyFill="1" applyBorder="1" applyAlignment="1">
      <alignment horizontal="center" vertical="center"/>
    </xf>
    <xf numFmtId="0" fontId="17" fillId="26" borderId="75" xfId="0" applyFont="1" applyFill="1" applyBorder="1" applyAlignment="1">
      <alignment horizontal="center" vertical="center"/>
    </xf>
    <xf numFmtId="0" fontId="17" fillId="26" borderId="79" xfId="0" applyFont="1" applyFill="1" applyBorder="1" applyAlignment="1">
      <alignment horizontal="center" vertical="center"/>
    </xf>
    <xf numFmtId="0" fontId="17" fillId="25" borderId="0" xfId="0" applyFont="1" applyFill="1" applyAlignment="1">
      <alignment horizontal="center" vertical="center"/>
    </xf>
    <xf numFmtId="0" fontId="15" fillId="27" borderId="18" xfId="0" applyFont="1" applyFill="1" applyBorder="1" applyAlignment="1">
      <alignment horizontal="center" vertical="center"/>
    </xf>
    <xf numFmtId="0" fontId="15" fillId="27" borderId="74" xfId="0" applyFont="1" applyFill="1" applyBorder="1" applyAlignment="1">
      <alignment horizontal="center" vertical="center"/>
    </xf>
    <xf numFmtId="0" fontId="1" fillId="25" borderId="0" xfId="0" applyFont="1" applyFill="1" applyAlignment="1">
      <alignment vertical="center"/>
    </xf>
    <xf numFmtId="0" fontId="1" fillId="19" borderId="0" xfId="0" applyFont="1" applyFill="1"/>
    <xf numFmtId="0" fontId="21" fillId="19" borderId="0" xfId="0" applyFont="1" applyFill="1" applyAlignment="1">
      <alignment horizontal="center" vertical="center"/>
    </xf>
    <xf numFmtId="0" fontId="19" fillId="19" borderId="0" xfId="0" applyFont="1" applyFill="1"/>
    <xf numFmtId="0" fontId="12" fillId="20" borderId="52" xfId="0" applyFont="1" applyFill="1" applyBorder="1" applyAlignment="1">
      <alignment horizontal="center" vertical="center"/>
    </xf>
    <xf numFmtId="0" fontId="12" fillId="20" borderId="68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6" fillId="19" borderId="0" xfId="0" applyFont="1" applyFill="1" applyAlignment="1">
      <alignment vertical="center"/>
    </xf>
    <xf numFmtId="0" fontId="16" fillId="19" borderId="0" xfId="0" applyFont="1" applyFill="1"/>
    <xf numFmtId="0" fontId="11" fillId="20" borderId="47" xfId="0" applyFont="1" applyFill="1" applyBorder="1" applyAlignment="1">
      <alignment horizontal="left" vertical="center"/>
    </xf>
    <xf numFmtId="0" fontId="13" fillId="19" borderId="0" xfId="0" applyFont="1" applyFill="1"/>
    <xf numFmtId="0" fontId="11" fillId="20" borderId="53" xfId="0" applyFont="1" applyFill="1" applyBorder="1" applyAlignment="1">
      <alignment horizontal="left" vertical="center"/>
    </xf>
    <xf numFmtId="0" fontId="13" fillId="21" borderId="47" xfId="0" applyFont="1" applyFill="1" applyBorder="1" applyAlignment="1">
      <alignment horizontal="center" vertical="center"/>
    </xf>
    <xf numFmtId="0" fontId="13" fillId="21" borderId="52" xfId="0" applyFont="1" applyFill="1" applyBorder="1" applyAlignment="1">
      <alignment horizontal="center" vertical="center"/>
    </xf>
    <xf numFmtId="0" fontId="13" fillId="21" borderId="67" xfId="0" applyFont="1" applyFill="1" applyBorder="1" applyAlignment="1">
      <alignment horizontal="center" vertical="center"/>
    </xf>
    <xf numFmtId="0" fontId="9" fillId="19" borderId="0" xfId="0" applyFont="1" applyFill="1" applyAlignment="1">
      <alignment vertical="center"/>
    </xf>
    <xf numFmtId="0" fontId="12" fillId="20" borderId="53" xfId="0" applyFont="1" applyFill="1" applyBorder="1" applyAlignment="1">
      <alignment horizontal="left" vertical="center"/>
    </xf>
    <xf numFmtId="0" fontId="15" fillId="22" borderId="18" xfId="0" applyFont="1" applyFill="1" applyBorder="1" applyAlignment="1">
      <alignment horizontal="center" vertical="center"/>
    </xf>
    <xf numFmtId="0" fontId="17" fillId="22" borderId="71" xfId="0" applyFont="1" applyFill="1" applyBorder="1" applyAlignment="1">
      <alignment horizontal="center" vertical="center"/>
    </xf>
    <xf numFmtId="0" fontId="17" fillId="22" borderId="72" xfId="0" applyFont="1" applyFill="1" applyBorder="1" applyAlignment="1">
      <alignment horizontal="center" vertical="center"/>
    </xf>
    <xf numFmtId="0" fontId="15" fillId="22" borderId="73" xfId="0" applyFont="1" applyFill="1" applyBorder="1" applyAlignment="1">
      <alignment horizontal="center" vertical="center"/>
    </xf>
    <xf numFmtId="0" fontId="9" fillId="19" borderId="0" xfId="0" applyFont="1" applyFill="1"/>
    <xf numFmtId="0" fontId="11" fillId="20" borderId="85" xfId="0" applyFont="1" applyFill="1" applyBorder="1" applyAlignment="1">
      <alignment horizontal="left" vertical="center"/>
    </xf>
    <xf numFmtId="9" fontId="13" fillId="19" borderId="63" xfId="0" applyNumberFormat="1" applyFont="1" applyFill="1" applyBorder="1" applyAlignment="1">
      <alignment horizontal="center" vertical="center"/>
    </xf>
    <xf numFmtId="9" fontId="13" fillId="19" borderId="60" xfId="0" applyNumberFormat="1" applyFont="1" applyFill="1" applyBorder="1" applyAlignment="1">
      <alignment horizontal="center" vertical="center"/>
    </xf>
    <xf numFmtId="9" fontId="13" fillId="19" borderId="86" xfId="0" applyNumberFormat="1" applyFont="1" applyFill="1" applyBorder="1" applyAlignment="1">
      <alignment horizontal="center" vertical="center"/>
    </xf>
    <xf numFmtId="9" fontId="13" fillId="19" borderId="88" xfId="0" applyNumberFormat="1" applyFont="1" applyFill="1" applyBorder="1" applyAlignment="1">
      <alignment horizontal="center" vertical="center"/>
    </xf>
    <xf numFmtId="9" fontId="13" fillId="19" borderId="75" xfId="0" applyNumberFormat="1" applyFont="1" applyFill="1" applyBorder="1" applyAlignment="1">
      <alignment horizontal="center" vertical="center"/>
    </xf>
    <xf numFmtId="0" fontId="11" fillId="19" borderId="0" xfId="0" applyFont="1" applyFill="1"/>
    <xf numFmtId="0" fontId="15" fillId="22" borderId="74" xfId="0" applyFont="1" applyFill="1" applyBorder="1" applyAlignment="1">
      <alignment horizontal="center" vertical="center"/>
    </xf>
    <xf numFmtId="0" fontId="15" fillId="22" borderId="60" xfId="0" applyFont="1" applyFill="1" applyBorder="1" applyAlignment="1">
      <alignment horizontal="center" vertical="center"/>
    </xf>
    <xf numFmtId="0" fontId="15" fillId="22" borderId="63" xfId="0" applyFont="1" applyFill="1" applyBorder="1" applyAlignment="1">
      <alignment horizontal="center" vertical="center"/>
    </xf>
    <xf numFmtId="0" fontId="15" fillId="22" borderId="0" xfId="0" applyFont="1" applyFill="1" applyAlignment="1">
      <alignment horizontal="center" vertical="center"/>
    </xf>
    <xf numFmtId="0" fontId="17" fillId="23" borderId="4" xfId="0" applyFont="1" applyFill="1" applyBorder="1" applyAlignment="1">
      <alignment horizontal="center" vertical="center"/>
    </xf>
    <xf numFmtId="0" fontId="24" fillId="19" borderId="0" xfId="0" applyFont="1" applyFill="1"/>
    <xf numFmtId="0" fontId="13" fillId="19" borderId="74" xfId="0" applyFont="1" applyFill="1" applyBorder="1" applyAlignment="1">
      <alignment horizontal="center" vertical="center"/>
    </xf>
    <xf numFmtId="0" fontId="13" fillId="19" borderId="60" xfId="0" applyFont="1" applyFill="1" applyBorder="1" applyAlignment="1">
      <alignment horizontal="center" vertical="center"/>
    </xf>
    <xf numFmtId="0" fontId="13" fillId="19" borderId="63" xfId="0" applyFont="1" applyFill="1" applyBorder="1" applyAlignment="1">
      <alignment horizontal="center" vertical="center"/>
    </xf>
    <xf numFmtId="0" fontId="17" fillId="23" borderId="5" xfId="0" applyFont="1" applyFill="1" applyBorder="1" applyAlignment="1">
      <alignment horizontal="center" vertical="center"/>
    </xf>
    <xf numFmtId="0" fontId="23" fillId="19" borderId="0" xfId="0" applyFont="1" applyFill="1" applyAlignment="1">
      <alignment vertical="center"/>
    </xf>
    <xf numFmtId="165" fontId="13" fillId="19" borderId="0" xfId="0" applyNumberFormat="1" applyFont="1" applyFill="1" applyAlignment="1">
      <alignment horizontal="center" vertical="center"/>
    </xf>
    <xf numFmtId="165" fontId="17" fillId="23" borderId="6" xfId="0" applyNumberFormat="1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left" vertical="center"/>
    </xf>
    <xf numFmtId="18" fontId="1" fillId="19" borderId="76" xfId="0" applyNumberFormat="1" applyFont="1" applyFill="1" applyBorder="1" applyAlignment="1">
      <alignment horizontal="center" vertical="center"/>
    </xf>
    <xf numFmtId="0" fontId="1" fillId="19" borderId="77" xfId="0" applyFont="1" applyFill="1" applyBorder="1" applyAlignment="1">
      <alignment horizontal="center" vertical="center"/>
    </xf>
    <xf numFmtId="18" fontId="1" fillId="19" borderId="78" xfId="0" applyNumberFormat="1" applyFont="1" applyFill="1" applyBorder="1" applyAlignment="1">
      <alignment horizontal="center" vertical="center"/>
    </xf>
    <xf numFmtId="20" fontId="1" fillId="19" borderId="77" xfId="0" applyNumberFormat="1" applyFont="1" applyFill="1" applyBorder="1" applyAlignment="1">
      <alignment horizontal="center" vertical="center"/>
    </xf>
    <xf numFmtId="0" fontId="1" fillId="19" borderId="60" xfId="0" applyFont="1" applyFill="1" applyBorder="1" applyAlignment="1">
      <alignment horizontal="center" vertical="center"/>
    </xf>
    <xf numFmtId="18" fontId="1" fillId="19" borderId="60" xfId="0" applyNumberFormat="1" applyFont="1" applyFill="1" applyBorder="1" applyAlignment="1">
      <alignment horizontal="center" vertical="center"/>
    </xf>
    <xf numFmtId="0" fontId="1" fillId="19" borderId="75" xfId="0" applyFont="1" applyFill="1" applyBorder="1" applyAlignment="1">
      <alignment horizontal="center" vertical="center"/>
    </xf>
    <xf numFmtId="0" fontId="17" fillId="23" borderId="6" xfId="0" applyFont="1" applyFill="1" applyBorder="1" applyAlignment="1">
      <alignment horizontal="center" vertical="center"/>
    </xf>
    <xf numFmtId="0" fontId="13" fillId="21" borderId="80" xfId="0" applyFont="1" applyFill="1" applyBorder="1" applyAlignment="1">
      <alignment horizontal="center" vertical="center"/>
    </xf>
    <xf numFmtId="0" fontId="13" fillId="21" borderId="53" xfId="0" applyFont="1" applyFill="1" applyBorder="1" applyAlignment="1">
      <alignment horizontal="center" vertical="center"/>
    </xf>
    <xf numFmtId="0" fontId="13" fillId="21" borderId="84" xfId="0" applyFont="1" applyFill="1" applyBorder="1" applyAlignment="1">
      <alignment horizontal="center" vertical="center"/>
    </xf>
    <xf numFmtId="0" fontId="13" fillId="21" borderId="92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24" fillId="19" borderId="0" xfId="0" applyFont="1" applyFill="1" applyAlignment="1">
      <alignment vertical="center"/>
    </xf>
    <xf numFmtId="0" fontId="15" fillId="22" borderId="86" xfId="0" applyFont="1" applyFill="1" applyBorder="1" applyAlignment="1">
      <alignment horizontal="center" vertical="center"/>
    </xf>
    <xf numFmtId="0" fontId="15" fillId="22" borderId="93" xfId="0" applyFont="1" applyFill="1" applyBorder="1" applyAlignment="1">
      <alignment horizontal="center" vertical="center"/>
    </xf>
    <xf numFmtId="9" fontId="13" fillId="19" borderId="16" xfId="0" applyNumberFormat="1" applyFont="1" applyFill="1" applyBorder="1" applyAlignment="1">
      <alignment horizontal="center" vertical="center"/>
    </xf>
    <xf numFmtId="9" fontId="13" fillId="19" borderId="0" xfId="0" applyNumberFormat="1" applyFont="1" applyFill="1" applyAlignment="1">
      <alignment horizontal="center" vertical="center"/>
    </xf>
    <xf numFmtId="9" fontId="13" fillId="19" borderId="93" xfId="0" applyNumberFormat="1" applyFont="1" applyFill="1" applyBorder="1" applyAlignment="1">
      <alignment horizontal="center" vertical="center"/>
    </xf>
    <xf numFmtId="0" fontId="15" fillId="22" borderId="87" xfId="0" applyFont="1" applyFill="1" applyBorder="1" applyAlignment="1">
      <alignment horizontal="center" vertical="center"/>
    </xf>
    <xf numFmtId="0" fontId="25" fillId="19" borderId="0" xfId="0" applyFont="1" applyFill="1" applyAlignment="1">
      <alignment vertical="center"/>
    </xf>
    <xf numFmtId="0" fontId="1" fillId="19" borderId="76" xfId="0" applyFont="1" applyFill="1" applyBorder="1" applyAlignment="1">
      <alignment horizontal="center" vertical="center"/>
    </xf>
    <xf numFmtId="20" fontId="18" fillId="19" borderId="77" xfId="0" applyNumberFormat="1" applyFont="1" applyFill="1" applyBorder="1" applyAlignment="1">
      <alignment horizontal="center" vertical="center"/>
    </xf>
    <xf numFmtId="16" fontId="1" fillId="19" borderId="60" xfId="0" applyNumberFormat="1" applyFont="1" applyFill="1" applyBorder="1" applyAlignment="1">
      <alignment horizontal="center" vertical="center"/>
    </xf>
    <xf numFmtId="18" fontId="18" fillId="19" borderId="60" xfId="0" applyNumberFormat="1" applyFont="1" applyFill="1" applyBorder="1" applyAlignment="1">
      <alignment horizontal="center" vertical="center"/>
    </xf>
    <xf numFmtId="0" fontId="13" fillId="21" borderId="94" xfId="0" applyFont="1" applyFill="1" applyBorder="1" applyAlignment="1">
      <alignment horizontal="center" vertical="center"/>
    </xf>
    <xf numFmtId="0" fontId="13" fillId="21" borderId="95" xfId="0" applyFont="1" applyFill="1" applyBorder="1" applyAlignment="1">
      <alignment horizontal="center" vertical="center"/>
    </xf>
    <xf numFmtId="0" fontId="13" fillId="21" borderId="89" xfId="0" applyFont="1" applyFill="1" applyBorder="1" applyAlignment="1">
      <alignment horizontal="center" vertical="center"/>
    </xf>
    <xf numFmtId="0" fontId="13" fillId="21" borderId="90" xfId="0" applyFont="1" applyFill="1" applyBorder="1" applyAlignment="1">
      <alignment horizontal="center" vertical="center"/>
    </xf>
    <xf numFmtId="0" fontId="13" fillId="21" borderId="91" xfId="0" applyFont="1" applyFill="1" applyBorder="1" applyAlignment="1">
      <alignment horizontal="center" vertical="center"/>
    </xf>
    <xf numFmtId="0" fontId="15" fillId="24" borderId="74" xfId="0" applyFont="1" applyFill="1" applyBorder="1" applyAlignment="1">
      <alignment horizontal="center" vertical="center"/>
    </xf>
    <xf numFmtId="0" fontId="15" fillId="24" borderId="60" xfId="0" applyFont="1" applyFill="1" applyBorder="1" applyAlignment="1">
      <alignment horizontal="center" vertical="center"/>
    </xf>
    <xf numFmtId="0" fontId="15" fillId="22" borderId="75" xfId="0" applyFont="1" applyFill="1" applyBorder="1" applyAlignment="1">
      <alignment horizontal="center" vertical="center"/>
    </xf>
    <xf numFmtId="9" fontId="13" fillId="19" borderId="74" xfId="0" applyNumberFormat="1" applyFont="1" applyFill="1" applyBorder="1" applyAlignment="1">
      <alignment horizontal="center" vertical="center"/>
    </xf>
    <xf numFmtId="0" fontId="17" fillId="23" borderId="73" xfId="0" applyFont="1" applyFill="1" applyBorder="1" applyAlignment="1">
      <alignment horizontal="center" vertical="center"/>
    </xf>
    <xf numFmtId="20" fontId="13" fillId="19" borderId="60" xfId="0" applyNumberFormat="1" applyFont="1" applyFill="1" applyBorder="1" applyAlignment="1">
      <alignment horizontal="center" vertical="center"/>
    </xf>
    <xf numFmtId="0" fontId="15" fillId="19" borderId="60" xfId="0" applyFont="1" applyFill="1" applyBorder="1" applyAlignment="1">
      <alignment horizontal="center" vertical="center"/>
    </xf>
    <xf numFmtId="0" fontId="17" fillId="23" borderId="75" xfId="0" applyFont="1" applyFill="1" applyBorder="1" applyAlignment="1">
      <alignment horizontal="center" vertical="center"/>
    </xf>
    <xf numFmtId="16" fontId="1" fillId="19" borderId="76" xfId="0" applyNumberFormat="1" applyFont="1" applyFill="1" applyBorder="1" applyAlignment="1">
      <alignment horizontal="center" vertical="center"/>
    </xf>
    <xf numFmtId="18" fontId="1" fillId="19" borderId="77" xfId="0" applyNumberFormat="1" applyFont="1" applyFill="1" applyBorder="1" applyAlignment="1">
      <alignment horizontal="center" vertical="center"/>
    </xf>
    <xf numFmtId="0" fontId="1" fillId="19" borderId="36" xfId="0" applyFont="1" applyFill="1" applyBorder="1" applyAlignment="1">
      <alignment horizontal="center" vertical="center"/>
    </xf>
    <xf numFmtId="0" fontId="17" fillId="23" borderId="67" xfId="0" applyFont="1" applyFill="1" applyBorder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3" fillId="19" borderId="75" xfId="0" applyFont="1" applyFill="1" applyBorder="1" applyAlignment="1">
      <alignment horizontal="center" vertical="center"/>
    </xf>
    <xf numFmtId="164" fontId="1" fillId="19" borderId="36" xfId="0" applyNumberFormat="1" applyFont="1" applyFill="1" applyBorder="1" applyAlignment="1">
      <alignment horizontal="center" vertical="center"/>
    </xf>
    <xf numFmtId="0" fontId="15" fillId="22" borderId="70" xfId="0" applyFont="1" applyFill="1" applyBorder="1" applyAlignment="1">
      <alignment horizontal="center" vertical="center"/>
    </xf>
    <xf numFmtId="0" fontId="15" fillId="22" borderId="71" xfId="0" applyFont="1" applyFill="1" applyBorder="1" applyAlignment="1">
      <alignment horizontal="center" vertical="center"/>
    </xf>
    <xf numFmtId="0" fontId="1" fillId="19" borderId="74" xfId="0" applyFont="1" applyFill="1" applyBorder="1" applyAlignment="1">
      <alignment horizontal="center" vertical="center"/>
    </xf>
    <xf numFmtId="0" fontId="13" fillId="21" borderId="3" xfId="0" applyFont="1" applyFill="1" applyBorder="1" applyAlignment="1">
      <alignment horizontal="center" vertical="center"/>
    </xf>
    <xf numFmtId="10" fontId="13" fillId="19" borderId="74" xfId="0" applyNumberFormat="1" applyFont="1" applyFill="1" applyBorder="1" applyAlignment="1">
      <alignment horizontal="center" vertical="center"/>
    </xf>
    <xf numFmtId="10" fontId="13" fillId="19" borderId="75" xfId="0" applyNumberFormat="1" applyFont="1" applyFill="1" applyBorder="1" applyAlignment="1">
      <alignment horizontal="center" vertical="center"/>
    </xf>
    <xf numFmtId="0" fontId="1" fillId="19" borderId="0" xfId="0" applyFont="1" applyFill="1" applyAlignment="1">
      <alignment vertical="center"/>
    </xf>
    <xf numFmtId="0" fontId="15" fillId="19" borderId="74" xfId="0" applyFont="1" applyFill="1" applyBorder="1" applyAlignment="1">
      <alignment horizontal="center" vertical="center"/>
    </xf>
    <xf numFmtId="0" fontId="1" fillId="19" borderId="79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1"/>
      </font>
      <fill>
        <patternFill patternType="solid">
          <bgColor theme="9"/>
        </patternFill>
      </fill>
    </dxf>
  </dxfs>
  <tableStyles count="0" defaultTableStyle="TableStyleMedium2" defaultPivotStyle="PivotStyleMedium9"/>
  <colors>
    <mruColors>
      <color rgb="FFDCEBF7"/>
      <color rgb="FF663300"/>
      <color rgb="FFCAB8A1"/>
      <color rgb="FFCDAB89"/>
      <color rgb="FF399983"/>
      <color rgb="FF2F75B5"/>
      <color rgb="FFD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759B-9A77-4EF3-B277-7BCF9F7CBBBF}">
  <sheetPr filterMode="1"/>
  <dimension ref="A1:AF88"/>
  <sheetViews>
    <sheetView zoomScaleNormal="100" workbookViewId="0">
      <selection activeCell="G6" sqref="G6"/>
    </sheetView>
  </sheetViews>
  <sheetFormatPr defaultColWidth="8.7109375" defaultRowHeight="14.45"/>
  <cols>
    <col min="1" max="1" width="3" customWidth="1"/>
    <col min="2" max="2" width="21" customWidth="1"/>
    <col min="3" max="10" width="23.7109375" customWidth="1"/>
    <col min="11" max="11" width="1.7109375" customWidth="1"/>
    <col min="12" max="12" width="33" customWidth="1"/>
    <col min="13" max="14" width="23.28515625" customWidth="1"/>
  </cols>
  <sheetData>
    <row r="1" spans="1:32" ht="23.25" customHeight="1">
      <c r="A1" s="35"/>
      <c r="B1" s="35"/>
      <c r="C1" s="206" t="s">
        <v>0</v>
      </c>
      <c r="D1" s="207"/>
      <c r="E1" s="35"/>
      <c r="F1" s="20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23.25" customHeight="1">
      <c r="A2" s="35"/>
      <c r="B2" s="209"/>
      <c r="C2" s="70" t="s">
        <v>1</v>
      </c>
      <c r="D2" s="152">
        <f>J8+J16+J24+J32+J40+E48</f>
        <v>0</v>
      </c>
      <c r="E2" s="154" t="s">
        <v>2</v>
      </c>
      <c r="F2" s="204">
        <f>J9+J17+J25+J33+J41+E49</f>
        <v>0</v>
      </c>
      <c r="G2" s="154" t="s">
        <v>3</v>
      </c>
      <c r="H2" s="204">
        <f>J10+J18+J26+J34+J42+E50</f>
        <v>0</v>
      </c>
      <c r="I2" s="72"/>
      <c r="J2" s="98" t="s">
        <v>4</v>
      </c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 customHeight="1">
      <c r="A3" s="35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10</v>
      </c>
      <c r="H3" s="75" t="s">
        <v>11</v>
      </c>
      <c r="I3" s="175" t="s">
        <v>12</v>
      </c>
      <c r="J3" s="98" t="s">
        <v>13</v>
      </c>
      <c r="K3" s="73"/>
      <c r="L3" s="98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3.25" customHeight="1">
      <c r="A4" s="35"/>
      <c r="B4" s="93" t="s">
        <v>14</v>
      </c>
      <c r="C4" s="172"/>
      <c r="D4" s="172"/>
      <c r="E4" s="172"/>
      <c r="F4" s="172"/>
      <c r="G4" s="172"/>
      <c r="H4" s="173"/>
      <c r="I4" s="174"/>
      <c r="J4" s="98" t="s">
        <v>15</v>
      </c>
      <c r="K4" s="73"/>
      <c r="L4" s="99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>
      <c r="A5" s="35"/>
      <c r="B5" s="94" t="s">
        <v>16</v>
      </c>
      <c r="C5" s="245"/>
      <c r="D5" s="186"/>
      <c r="E5" s="485"/>
      <c r="F5" s="186"/>
      <c r="G5" s="186"/>
      <c r="H5" s="186"/>
      <c r="I5" s="161"/>
      <c r="J5" s="98" t="s">
        <v>17</v>
      </c>
      <c r="K5" s="73"/>
      <c r="L5" s="236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23.25" customHeight="1">
      <c r="A6" s="35"/>
      <c r="B6" s="486" t="s">
        <v>18</v>
      </c>
      <c r="C6" s="132"/>
      <c r="D6" s="132"/>
      <c r="E6" s="123"/>
      <c r="F6" s="123"/>
      <c r="G6" s="487"/>
      <c r="H6" s="488"/>
      <c r="I6" s="163"/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23.25" customHeight="1">
      <c r="A7" s="35"/>
      <c r="B7" s="94" t="s">
        <v>19</v>
      </c>
      <c r="C7" s="164"/>
      <c r="D7" s="122"/>
      <c r="E7" s="131"/>
      <c r="F7" s="122"/>
      <c r="G7" s="122"/>
      <c r="H7" s="122"/>
      <c r="I7" s="158"/>
      <c r="J7" s="156" t="s">
        <v>20</v>
      </c>
      <c r="K7" s="73"/>
      <c r="L7" s="2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23.25" customHeight="1">
      <c r="A8" s="35"/>
      <c r="B8" s="93" t="s">
        <v>21</v>
      </c>
      <c r="C8" s="166"/>
      <c r="D8" s="125"/>
      <c r="E8" s="134"/>
      <c r="F8" s="125"/>
      <c r="G8" s="125"/>
      <c r="H8" s="125"/>
      <c r="I8" s="155"/>
      <c r="J8" s="176" cm="1">
        <f t="array" ref="J8">SUM(IF(ISNUMBER(C8:I8), C8:I8, 0))</f>
        <v>0</v>
      </c>
      <c r="K8" s="73"/>
      <c r="L8" s="210" t="s">
        <v>22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23.25" customHeight="1">
      <c r="A9" s="35"/>
      <c r="B9" s="93" t="s">
        <v>23</v>
      </c>
      <c r="C9" s="166"/>
      <c r="D9" s="125"/>
      <c r="E9" s="134"/>
      <c r="F9" s="125"/>
      <c r="G9" s="125"/>
      <c r="H9" s="125"/>
      <c r="I9" s="155"/>
      <c r="J9" s="176" cm="1">
        <f t="array" ref="J9">SUM(IF(ISNUMBER(B9:I9), B9:I9, 0))</f>
        <v>0</v>
      </c>
      <c r="K9" s="73"/>
      <c r="L9" s="210" t="s">
        <v>24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23.25" customHeight="1">
      <c r="A10" s="35"/>
      <c r="B10" s="93" t="s">
        <v>25</v>
      </c>
      <c r="C10" s="166"/>
      <c r="D10" s="125"/>
      <c r="E10" s="134"/>
      <c r="F10" s="125"/>
      <c r="G10" s="125"/>
      <c r="H10" s="125"/>
      <c r="I10" s="222"/>
      <c r="J10" s="157" cm="1">
        <f t="array" ref="J10">SUM(IF(ISNUMBER(B10:I10), B10:I10, 0))</f>
        <v>0</v>
      </c>
      <c r="K10" s="73"/>
      <c r="L10" s="210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23.25" customHeight="1">
      <c r="A11" s="35"/>
      <c r="B11" s="95" t="s">
        <v>27</v>
      </c>
      <c r="C11" s="167"/>
      <c r="D11" s="168"/>
      <c r="E11" s="169"/>
      <c r="F11" s="233"/>
      <c r="G11" s="150"/>
      <c r="H11" s="489"/>
      <c r="I11" s="177"/>
      <c r="J11" s="157"/>
      <c r="K11" s="73"/>
      <c r="L11" s="210" t="s">
        <v>28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23.25" customHeight="1">
      <c r="A12" s="35"/>
      <c r="B12" s="35" t="s">
        <v>4</v>
      </c>
      <c r="C12" s="182"/>
      <c r="D12" s="182"/>
      <c r="E12" s="182"/>
      <c r="F12" s="183"/>
      <c r="G12" s="490"/>
      <c r="H12" s="491"/>
      <c r="I12" s="174"/>
      <c r="J12" s="159"/>
      <c r="K12" s="73"/>
      <c r="L12" s="213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23.25" customHeight="1">
      <c r="A13" s="35"/>
      <c r="B13" s="35"/>
      <c r="C13" s="245"/>
      <c r="D13" s="186"/>
      <c r="E13" s="485"/>
      <c r="F13" s="186"/>
      <c r="G13" s="122"/>
      <c r="H13" s="492"/>
      <c r="I13" s="493"/>
      <c r="J13" s="159"/>
      <c r="K13" s="73"/>
      <c r="L13" s="213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23.25" customHeight="1">
      <c r="A14" s="35"/>
      <c r="B14" s="35"/>
      <c r="C14" s="494"/>
      <c r="D14" s="488"/>
      <c r="E14" s="132"/>
      <c r="F14" s="123"/>
      <c r="G14" s="123"/>
      <c r="H14" s="495"/>
      <c r="I14" s="496"/>
      <c r="J14" s="73"/>
      <c r="K14" s="73"/>
      <c r="L14" s="213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23.25" customHeight="1">
      <c r="A15" s="35"/>
      <c r="B15" s="35"/>
      <c r="C15" s="164"/>
      <c r="D15" s="218"/>
      <c r="E15" s="122"/>
      <c r="F15" s="122"/>
      <c r="G15" s="122"/>
      <c r="H15" s="492"/>
      <c r="I15" s="497"/>
      <c r="J15" s="156" t="s">
        <v>29</v>
      </c>
      <c r="K15" s="73"/>
      <c r="L15" s="21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23.25" customHeight="1">
      <c r="A16" s="35"/>
      <c r="B16" s="35"/>
      <c r="C16" s="166"/>
      <c r="D16" s="125"/>
      <c r="E16" s="125"/>
      <c r="F16" s="125"/>
      <c r="G16" s="125"/>
      <c r="H16" s="125"/>
      <c r="I16" s="155"/>
      <c r="J16" s="176" cm="1">
        <f t="array" ref="J16">SUM(IF(ISNUMBER(B16:I16), B16:I16, 0))</f>
        <v>0</v>
      </c>
      <c r="K16" s="73"/>
      <c r="L16" s="212" t="s">
        <v>22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23.25" customHeight="1">
      <c r="A17" s="35"/>
      <c r="B17" s="35"/>
      <c r="C17" s="166"/>
      <c r="D17" s="125"/>
      <c r="E17" s="125"/>
      <c r="F17" s="125"/>
      <c r="G17" s="125"/>
      <c r="H17" s="125"/>
      <c r="I17" s="155"/>
      <c r="J17" s="176" cm="1">
        <f t="array" ref="J17">SUM(IF(ISNUMBER(B17:I17), B17:I17, 0))</f>
        <v>0</v>
      </c>
      <c r="K17" s="73"/>
      <c r="L17" s="212" t="s">
        <v>24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23.25" customHeight="1">
      <c r="A18" s="35"/>
      <c r="B18" s="35"/>
      <c r="C18" s="166"/>
      <c r="D18" s="125"/>
      <c r="E18" s="125"/>
      <c r="F18" s="125"/>
      <c r="G18" s="125"/>
      <c r="H18" s="125"/>
      <c r="I18" s="155"/>
      <c r="J18" s="157" cm="1">
        <f t="array" ref="J18">SUM(IF(ISNUMBER(B18:I18), B18:I18, 0))</f>
        <v>0</v>
      </c>
      <c r="K18" s="73"/>
      <c r="L18" s="212" t="s">
        <v>26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23.25" customHeight="1">
      <c r="A19" s="35"/>
      <c r="B19" s="35"/>
      <c r="C19" s="179"/>
      <c r="D19" s="180"/>
      <c r="E19" s="168"/>
      <c r="F19" s="150"/>
      <c r="G19" s="498"/>
      <c r="H19" s="499"/>
      <c r="I19" s="177"/>
      <c r="J19" s="157"/>
      <c r="K19" s="73"/>
      <c r="L19" s="210" t="s">
        <v>28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23.25" customHeight="1">
      <c r="A20" s="35"/>
      <c r="B20" s="35"/>
      <c r="C20" s="500"/>
      <c r="D20" s="500"/>
      <c r="E20" s="501"/>
      <c r="F20" s="502"/>
      <c r="G20" s="503"/>
      <c r="H20" s="503"/>
      <c r="I20" s="504"/>
      <c r="J20" s="159"/>
      <c r="K20" s="73"/>
      <c r="L20" s="213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23.25" customHeight="1">
      <c r="A21" s="35"/>
      <c r="B21" s="35"/>
      <c r="C21" s="253"/>
      <c r="D21" s="218"/>
      <c r="E21" s="218"/>
      <c r="F21" s="218"/>
      <c r="G21" s="218"/>
      <c r="H21" s="122"/>
      <c r="I21" s="165"/>
      <c r="J21" s="159"/>
      <c r="K21" s="73"/>
      <c r="L21" s="21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23.25" customHeight="1">
      <c r="A22" s="35"/>
      <c r="B22" s="35"/>
      <c r="C22" s="162"/>
      <c r="D22" s="123"/>
      <c r="E22" s="123"/>
      <c r="F22" s="123"/>
      <c r="G22" s="487"/>
      <c r="H22" s="488"/>
      <c r="I22" s="163"/>
      <c r="J22" s="73"/>
      <c r="K22" s="73"/>
      <c r="L22" s="21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3.25" customHeight="1">
      <c r="A23" s="35"/>
      <c r="B23" s="35"/>
      <c r="C23" s="253"/>
      <c r="D23" s="218"/>
      <c r="E23" s="218"/>
      <c r="F23" s="218"/>
      <c r="G23" s="218"/>
      <c r="H23" s="218"/>
      <c r="I23" s="165"/>
      <c r="J23" s="239" t="s">
        <v>30</v>
      </c>
      <c r="K23" s="73"/>
      <c r="L23" s="213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3.25" customHeight="1">
      <c r="A24" s="35"/>
      <c r="B24" s="35"/>
      <c r="C24" s="166"/>
      <c r="D24" s="138"/>
      <c r="E24" s="125"/>
      <c r="F24" s="125"/>
      <c r="G24" s="125"/>
      <c r="H24" s="124"/>
      <c r="I24" s="238"/>
      <c r="J24" s="240" cm="1">
        <f t="array" ref="J24">SUM(IF(ISNUMBER(B24:I24), B24:I24, 0))</f>
        <v>0</v>
      </c>
      <c r="K24" s="73"/>
      <c r="L24" s="212" t="s">
        <v>22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3.25" customHeight="1">
      <c r="A25" s="35"/>
      <c r="B25" s="35"/>
      <c r="C25" s="166"/>
      <c r="D25" s="138"/>
      <c r="E25" s="125"/>
      <c r="F25" s="125"/>
      <c r="G25" s="125"/>
      <c r="H25" s="124"/>
      <c r="I25" s="238"/>
      <c r="J25" s="240" cm="1">
        <f t="array" ref="J25">SUM(IF(ISNUMBER(B25:I25), B25:I25, 0))</f>
        <v>0</v>
      </c>
      <c r="K25" s="73"/>
      <c r="L25" s="212" t="s">
        <v>24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3.25" customHeight="1">
      <c r="A26" s="35"/>
      <c r="B26" s="35"/>
      <c r="C26" s="166"/>
      <c r="D26" s="124"/>
      <c r="E26" s="124"/>
      <c r="F26" s="124"/>
      <c r="G26" s="124"/>
      <c r="H26" s="124"/>
      <c r="I26" s="238"/>
      <c r="J26" s="241" cm="1">
        <f t="array" ref="J26">SUM(IF(ISNUMBER(B26:I26), B26:I26, 0))</f>
        <v>0</v>
      </c>
      <c r="K26" s="73"/>
      <c r="L26" s="212" t="s">
        <v>26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3.25" customHeight="1">
      <c r="A27" s="35"/>
      <c r="B27" s="35"/>
      <c r="C27" s="234"/>
      <c r="D27" s="168"/>
      <c r="E27" s="168"/>
      <c r="F27" s="170"/>
      <c r="G27" s="168"/>
      <c r="H27" s="168"/>
      <c r="I27" s="171"/>
      <c r="J27" s="157"/>
      <c r="K27" s="73"/>
      <c r="L27" s="210" t="s">
        <v>28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23.25" customHeight="1">
      <c r="A28" s="35"/>
      <c r="B28" s="35"/>
      <c r="C28" s="182"/>
      <c r="D28" s="182"/>
      <c r="E28" s="182"/>
      <c r="F28" s="182"/>
      <c r="G28" s="182"/>
      <c r="H28" s="182"/>
      <c r="I28" s="182"/>
      <c r="J28" s="185"/>
      <c r="K28" s="73"/>
      <c r="L28" s="21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23.25" customHeight="1">
      <c r="A29" s="35"/>
      <c r="B29" s="35"/>
      <c r="C29" s="245"/>
      <c r="D29" s="186"/>
      <c r="E29" s="485"/>
      <c r="F29" s="221"/>
      <c r="G29" s="186"/>
      <c r="H29" s="186"/>
      <c r="I29" s="161"/>
      <c r="J29" s="159"/>
      <c r="K29" s="73"/>
      <c r="L29" s="21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23.25" customHeight="1">
      <c r="A30" s="35"/>
      <c r="B30" s="35"/>
      <c r="C30" s="162"/>
      <c r="D30" s="123"/>
      <c r="E30" s="123"/>
      <c r="F30" s="123"/>
      <c r="G30" s="123"/>
      <c r="H30" s="123"/>
      <c r="I30" s="163"/>
      <c r="J30" s="73"/>
      <c r="K30" s="73"/>
      <c r="L30" s="21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23.25" customHeight="1">
      <c r="A31" s="35"/>
      <c r="B31" s="35"/>
      <c r="C31" s="164"/>
      <c r="D31" s="218"/>
      <c r="E31" s="218"/>
      <c r="F31" s="122"/>
      <c r="G31" s="122"/>
      <c r="H31" s="122"/>
      <c r="I31" s="165"/>
      <c r="J31" s="239" t="s">
        <v>31</v>
      </c>
      <c r="K31" s="73"/>
      <c r="L31" s="21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23.25" customHeight="1">
      <c r="A32" s="35"/>
      <c r="B32" s="35"/>
      <c r="C32" s="166"/>
      <c r="D32" s="125"/>
      <c r="E32" s="125"/>
      <c r="F32" s="125"/>
      <c r="G32" s="125"/>
      <c r="H32" s="125"/>
      <c r="I32" s="246"/>
      <c r="J32" s="240" cm="1">
        <f t="array" ref="J32">SUM(IF(ISNUMBER(B32:I32), B32:I32, 0))</f>
        <v>0</v>
      </c>
      <c r="K32" s="73"/>
      <c r="L32" s="212" t="s">
        <v>22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23.25" customHeight="1">
      <c r="A33" s="35"/>
      <c r="B33" s="35"/>
      <c r="C33" s="166"/>
      <c r="D33" s="125"/>
      <c r="E33" s="125"/>
      <c r="F33" s="125"/>
      <c r="G33" s="155"/>
      <c r="H33" s="125"/>
      <c r="I33" s="246"/>
      <c r="J33" s="240" cm="1">
        <f t="array" ref="J33">SUM(IF(ISNUMBER(B33:I33), B33:I33, 0))</f>
        <v>0</v>
      </c>
      <c r="K33" s="73"/>
      <c r="L33" s="212" t="s">
        <v>24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23.25" customHeight="1">
      <c r="A34" s="35"/>
      <c r="B34" s="35"/>
      <c r="C34" s="166"/>
      <c r="D34" s="125"/>
      <c r="E34" s="125"/>
      <c r="F34" s="125"/>
      <c r="G34" s="247"/>
      <c r="H34" s="125"/>
      <c r="I34" s="246"/>
      <c r="J34" s="241" cm="1">
        <f t="array" ref="J34">SUM(IF(ISNUMBER(B34:I34), B34:I34, 0))</f>
        <v>0</v>
      </c>
      <c r="K34" s="73"/>
      <c r="L34" s="212" t="s">
        <v>26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23.25" customHeight="1">
      <c r="A35" s="35"/>
      <c r="B35" s="35"/>
      <c r="C35" s="179"/>
      <c r="D35" s="168"/>
      <c r="E35" s="168"/>
      <c r="F35" s="168"/>
      <c r="G35" s="168"/>
      <c r="H35" s="168"/>
      <c r="I35" s="235"/>
      <c r="J35" s="157"/>
      <c r="K35" s="73"/>
      <c r="L35" s="210" t="s">
        <v>28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23.25" customHeight="1">
      <c r="A36" s="35"/>
      <c r="B36" s="35"/>
      <c r="C36" s="182"/>
      <c r="D36" s="182"/>
      <c r="E36" s="182"/>
      <c r="F36" s="182"/>
      <c r="G36" s="182"/>
      <c r="H36" s="182"/>
      <c r="I36" s="182"/>
      <c r="J36" s="185"/>
      <c r="K36" s="73"/>
      <c r="L36" s="21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23.25" customHeight="1">
      <c r="A37" s="35"/>
      <c r="B37" s="35"/>
      <c r="C37" s="231"/>
      <c r="D37" s="160"/>
      <c r="E37" s="160"/>
      <c r="F37" s="160"/>
      <c r="G37" s="160"/>
      <c r="H37" s="160"/>
      <c r="I37" s="161"/>
      <c r="J37" s="159"/>
      <c r="K37" s="73"/>
      <c r="L37" s="21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23.25" customHeight="1">
      <c r="A38" s="35"/>
      <c r="B38" s="35"/>
      <c r="C38" s="162"/>
      <c r="D38" s="123"/>
      <c r="E38" s="123"/>
      <c r="F38" s="123"/>
      <c r="G38" s="123"/>
      <c r="H38" s="123"/>
      <c r="I38" s="163"/>
      <c r="J38" s="73"/>
      <c r="K38" s="73"/>
      <c r="L38" s="213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3.25" customHeight="1">
      <c r="A39" s="35"/>
      <c r="B39" s="35"/>
      <c r="C39" s="164"/>
      <c r="D39" s="122"/>
      <c r="E39" s="122"/>
      <c r="F39" s="122"/>
      <c r="G39" s="122"/>
      <c r="H39" s="122"/>
      <c r="I39" s="158"/>
      <c r="J39" s="156" t="s">
        <v>32</v>
      </c>
      <c r="K39" s="73"/>
      <c r="L39" s="213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23.25" customHeight="1">
      <c r="A40" s="35"/>
      <c r="B40" s="35"/>
      <c r="C40" s="178"/>
      <c r="D40" s="124"/>
      <c r="E40" s="124"/>
      <c r="F40" s="124"/>
      <c r="G40" s="124"/>
      <c r="H40" s="124"/>
      <c r="I40" s="203"/>
      <c r="J40" s="176" cm="1">
        <f t="array" ref="J40">SUM(IF(ISNUMBER(B40:I40), B40:I40, 0))</f>
        <v>0</v>
      </c>
      <c r="K40" s="73"/>
      <c r="L40" s="212" t="s">
        <v>22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23.25" customHeight="1">
      <c r="A41" s="35"/>
      <c r="B41" s="35"/>
      <c r="C41" s="166"/>
      <c r="D41" s="125"/>
      <c r="E41" s="125"/>
      <c r="F41" s="125"/>
      <c r="G41" s="125"/>
      <c r="H41" s="125"/>
      <c r="I41" s="155"/>
      <c r="J41" s="176" cm="1">
        <f t="array" ref="J41">SUM(IF(ISNUMBER(B41:I41), B41:I41, 0))</f>
        <v>0</v>
      </c>
      <c r="K41" s="73"/>
      <c r="L41" s="212" t="s">
        <v>24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23.25" customHeight="1">
      <c r="A42" s="35"/>
      <c r="B42" s="35"/>
      <c r="C42" s="166"/>
      <c r="D42" s="125"/>
      <c r="E42" s="125"/>
      <c r="F42" s="125"/>
      <c r="G42" s="125"/>
      <c r="H42" s="125"/>
      <c r="I42" s="155"/>
      <c r="J42" s="157" cm="1">
        <f t="array" ref="J42">SUM(IF(ISNUMBER(B42:I42), B42:I42, 0))</f>
        <v>0</v>
      </c>
      <c r="K42" s="73"/>
      <c r="L42" s="212" t="s">
        <v>26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23.25" customHeight="1">
      <c r="A43" s="35"/>
      <c r="B43" s="35"/>
      <c r="C43" s="202"/>
      <c r="D43" s="150"/>
      <c r="E43" s="170"/>
      <c r="F43" s="168"/>
      <c r="G43" s="168"/>
      <c r="H43" s="168"/>
      <c r="I43" s="171"/>
      <c r="J43" s="157"/>
      <c r="K43" s="73"/>
      <c r="L43" s="210" t="s">
        <v>28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23.25" customHeight="1">
      <c r="A44" s="35"/>
      <c r="B44" s="35"/>
      <c r="C44" s="174"/>
      <c r="D44" s="201"/>
      <c r="E44" s="185"/>
      <c r="F44" s="73"/>
      <c r="G44" s="73"/>
      <c r="H44" s="73"/>
      <c r="I44" s="73"/>
      <c r="J44" s="73"/>
      <c r="K44" s="73"/>
      <c r="L44" s="21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3.25" customHeight="1">
      <c r="A45" s="35"/>
      <c r="B45" s="35"/>
      <c r="C45" s="253"/>
      <c r="D45" s="219"/>
      <c r="E45" s="159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23.25" customHeight="1">
      <c r="A46" s="35"/>
      <c r="B46" s="35"/>
      <c r="C46" s="196"/>
      <c r="D46" s="197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23.25" customHeight="1">
      <c r="A47" s="35"/>
      <c r="B47" s="35"/>
      <c r="C47" s="164"/>
      <c r="D47" s="158"/>
      <c r="E47" s="156" t="s">
        <v>33</v>
      </c>
      <c r="F47" s="214"/>
      <c r="G47" s="73"/>
      <c r="H47" s="73"/>
      <c r="I47" s="73"/>
      <c r="J47" s="73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23.25" customHeight="1">
      <c r="A48" s="35"/>
      <c r="B48" s="35"/>
      <c r="C48" s="178"/>
      <c r="D48" s="203"/>
      <c r="E48" s="176" cm="1">
        <f t="array" ref="E48">SUM(IF(ISNUMBER(B48:D48), B48:D48, 0))</f>
        <v>0</v>
      </c>
      <c r="F48" s="212" t="s">
        <v>34</v>
      </c>
      <c r="G48" s="73"/>
      <c r="H48" s="73"/>
      <c r="I48" s="73"/>
      <c r="J48" s="73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23.25" customHeight="1">
      <c r="A49" s="35"/>
      <c r="B49" s="35"/>
      <c r="C49" s="166"/>
      <c r="D49" s="155"/>
      <c r="E49" s="176" cm="1">
        <f t="array" ref="E49">SUM(IF(ISNUMBER(B49:D49), B49:D49, 0))</f>
        <v>0</v>
      </c>
      <c r="F49" s="212" t="s">
        <v>35</v>
      </c>
      <c r="G49" s="73"/>
      <c r="H49" s="73"/>
      <c r="I49" s="73"/>
      <c r="J49" s="73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23.25" customHeight="1">
      <c r="A50" s="35"/>
      <c r="B50" s="35"/>
      <c r="C50" s="166"/>
      <c r="D50" s="155"/>
      <c r="E50" s="157" cm="1">
        <f t="array" ref="E50">SUM(IF(ISNUMBER(B50:D50), B50:D50, 0))</f>
        <v>0</v>
      </c>
      <c r="F50" s="212" t="s">
        <v>36</v>
      </c>
      <c r="G50" s="7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23.25" customHeight="1">
      <c r="A51" s="35"/>
      <c r="B51" s="35"/>
      <c r="C51" s="179"/>
      <c r="D51" s="171"/>
      <c r="E51" s="157"/>
      <c r="F51" s="210" t="s">
        <v>28</v>
      </c>
      <c r="G51" s="73"/>
      <c r="H51" s="73"/>
      <c r="I51" s="73"/>
      <c r="J51" s="73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23.25" customHeight="1">
      <c r="A52" s="35"/>
      <c r="B52" s="35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22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7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7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7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7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7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7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7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7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7.4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7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7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7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7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7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7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7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7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7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7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7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7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7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7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7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7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7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7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7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7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7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7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7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7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7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B289-1349-4544-B65D-5315C138EB1F}">
  <dimension ref="A1:AF88"/>
  <sheetViews>
    <sheetView tabSelected="1" zoomScaleNormal="100" zoomScaleSheetLayoutView="100" workbookViewId="0">
      <selection activeCell="E16" sqref="E16"/>
    </sheetView>
  </sheetViews>
  <sheetFormatPr defaultColWidth="8.42578125" defaultRowHeight="14.45"/>
  <cols>
    <col min="1" max="1" width="3" style="460" customWidth="1"/>
    <col min="2" max="2" width="21" style="460" customWidth="1"/>
    <col min="3" max="8" width="23.7109375" style="460" customWidth="1"/>
    <col min="9" max="9" width="26.42578125" style="460" bestFit="1" customWidth="1"/>
    <col min="10" max="10" width="24.42578125" style="460" customWidth="1"/>
    <col min="11" max="11" width="1.7109375" style="460" customWidth="1"/>
    <col min="12" max="12" width="33" style="460" customWidth="1"/>
    <col min="13" max="14" width="23.28515625" style="460" customWidth="1"/>
    <col min="15" max="16384" width="8.42578125" style="460"/>
  </cols>
  <sheetData>
    <row r="1" spans="1:32" ht="19.899999999999999" thickBot="1">
      <c r="A1" s="505"/>
      <c r="B1" s="505"/>
      <c r="C1" s="461" t="s">
        <v>0</v>
      </c>
      <c r="D1" s="506">
        <v>303.2</v>
      </c>
      <c r="E1" s="505"/>
      <c r="F1" s="507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</row>
    <row r="2" spans="1:32" ht="19.899999999999999" thickBot="1">
      <c r="A2" s="505"/>
      <c r="B2" s="462" t="s">
        <v>37</v>
      </c>
      <c r="C2" s="508" t="s">
        <v>1</v>
      </c>
      <c r="D2" s="509">
        <f>J8+J16+J24+J32+J40+J48</f>
        <v>0</v>
      </c>
      <c r="E2" s="510" t="s">
        <v>2</v>
      </c>
      <c r="F2" s="511">
        <f>J9+J17+J25+J33+J41+J49</f>
        <v>0</v>
      </c>
      <c r="G2" s="510" t="s">
        <v>3</v>
      </c>
      <c r="H2" s="511">
        <f>J10+J18+J26+J34+J42+J50</f>
        <v>0</v>
      </c>
      <c r="I2" s="512"/>
      <c r="J2" s="513" t="s">
        <v>4</v>
      </c>
      <c r="K2" s="514"/>
      <c r="L2" s="513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</row>
    <row r="3" spans="1:32" ht="19.899999999999999" thickBot="1">
      <c r="A3" s="505"/>
      <c r="B3" s="515" t="s">
        <v>5</v>
      </c>
      <c r="C3" s="463" t="s">
        <v>6</v>
      </c>
      <c r="D3" s="464" t="s">
        <v>7</v>
      </c>
      <c r="E3" s="465" t="s">
        <v>8</v>
      </c>
      <c r="F3" s="466" t="s">
        <v>9</v>
      </c>
      <c r="G3" s="464" t="s">
        <v>10</v>
      </c>
      <c r="H3" s="464" t="s">
        <v>11</v>
      </c>
      <c r="I3" s="467" t="s">
        <v>12</v>
      </c>
      <c r="J3" s="513" t="s">
        <v>13</v>
      </c>
      <c r="K3" s="516"/>
      <c r="L3" s="513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5"/>
      <c r="AB3" s="505"/>
      <c r="AC3" s="505"/>
      <c r="AD3" s="505"/>
      <c r="AE3" s="505"/>
      <c r="AF3" s="505"/>
    </row>
    <row r="4" spans="1:32" ht="19.899999999999999" thickBot="1">
      <c r="A4" s="505"/>
      <c r="B4" s="517" t="s">
        <v>14</v>
      </c>
      <c r="C4" s="518" t="s">
        <v>4</v>
      </c>
      <c r="D4" s="518">
        <v>1</v>
      </c>
      <c r="E4" s="518">
        <v>2</v>
      </c>
      <c r="F4" s="518">
        <v>3</v>
      </c>
      <c r="G4" s="518">
        <v>4</v>
      </c>
      <c r="H4" s="519">
        <v>5</v>
      </c>
      <c r="I4" s="520">
        <v>6</v>
      </c>
      <c r="J4" s="513" t="s">
        <v>15</v>
      </c>
      <c r="K4" s="516"/>
      <c r="L4" s="521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505"/>
      <c r="AA4" s="505"/>
      <c r="AB4" s="505"/>
      <c r="AC4" s="505"/>
      <c r="AD4" s="505"/>
      <c r="AE4" s="505"/>
      <c r="AF4" s="505"/>
    </row>
    <row r="5" spans="1:32" ht="19.149999999999999">
      <c r="A5" s="505"/>
      <c r="B5" s="522" t="s">
        <v>16</v>
      </c>
      <c r="C5" s="523"/>
      <c r="D5" s="524" t="s">
        <v>38</v>
      </c>
      <c r="E5" s="473" t="s">
        <v>38</v>
      </c>
      <c r="F5" s="524" t="s">
        <v>39</v>
      </c>
      <c r="G5" s="524" t="s">
        <v>40</v>
      </c>
      <c r="H5" s="524" t="s">
        <v>41</v>
      </c>
      <c r="I5" s="525" t="s">
        <v>38</v>
      </c>
      <c r="J5" s="513" t="s">
        <v>17</v>
      </c>
      <c r="K5" s="516"/>
      <c r="L5" s="526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</row>
    <row r="6" spans="1:32" ht="19.899999999999999" thickBot="1">
      <c r="A6" s="505"/>
      <c r="B6" s="527" t="s">
        <v>18</v>
      </c>
      <c r="C6" s="528" t="s">
        <v>4</v>
      </c>
      <c r="D6" s="528">
        <v>0.87</v>
      </c>
      <c r="E6" s="529">
        <v>0.94</v>
      </c>
      <c r="F6" s="529">
        <v>0.98</v>
      </c>
      <c r="G6" s="530">
        <v>1</v>
      </c>
      <c r="H6" s="531">
        <v>0.98</v>
      </c>
      <c r="I6" s="532">
        <v>0.94</v>
      </c>
      <c r="J6" s="533"/>
      <c r="K6" s="516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</row>
    <row r="7" spans="1:32" ht="19.149999999999999">
      <c r="A7" s="505"/>
      <c r="B7" s="522" t="s">
        <v>19</v>
      </c>
      <c r="C7" s="534"/>
      <c r="D7" s="535" t="s">
        <v>42</v>
      </c>
      <c r="E7" s="536" t="s">
        <v>42</v>
      </c>
      <c r="F7" s="536" t="s">
        <v>42</v>
      </c>
      <c r="G7" s="536" t="s">
        <v>42</v>
      </c>
      <c r="H7" s="536" t="s">
        <v>42</v>
      </c>
      <c r="I7" s="536" t="s">
        <v>42</v>
      </c>
      <c r="J7" s="537" t="s">
        <v>20</v>
      </c>
      <c r="K7" s="516"/>
      <c r="L7" s="538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</row>
    <row r="8" spans="1:32" ht="19.149999999999999">
      <c r="A8" s="505"/>
      <c r="B8" s="517" t="s">
        <v>21</v>
      </c>
      <c r="C8" s="539"/>
      <c r="D8" s="540"/>
      <c r="E8" s="541" t="s">
        <v>43</v>
      </c>
      <c r="F8" s="542" t="s">
        <v>43</v>
      </c>
      <c r="G8" s="541" t="s">
        <v>43</v>
      </c>
      <c r="H8" s="542" t="s">
        <v>43</v>
      </c>
      <c r="I8" s="542" t="s">
        <v>43</v>
      </c>
      <c r="J8" s="543" cm="1">
        <f t="array" ref="J8">SUM(IF(ISNUMBER(C8:I8), C8:I8, 0))</f>
        <v>0</v>
      </c>
      <c r="K8" s="516"/>
      <c r="L8" s="544" t="s">
        <v>22</v>
      </c>
      <c r="M8" s="505"/>
      <c r="N8" s="505"/>
      <c r="O8" s="505"/>
      <c r="P8" s="505"/>
      <c r="Q8" s="505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</row>
    <row r="9" spans="1:32" ht="19.149999999999999">
      <c r="A9" s="505"/>
      <c r="B9" s="517" t="s">
        <v>23</v>
      </c>
      <c r="C9" s="539"/>
      <c r="D9" s="540"/>
      <c r="E9" s="545"/>
      <c r="F9" s="540"/>
      <c r="G9" s="540"/>
      <c r="H9" s="540"/>
      <c r="I9" s="546"/>
      <c r="J9" s="543" cm="1">
        <f t="array" ref="J9">SUM(IF(ISNUMBER(B9:I9), B9:I9, 0))</f>
        <v>0</v>
      </c>
      <c r="K9" s="516"/>
      <c r="L9" s="544" t="s">
        <v>24</v>
      </c>
      <c r="M9" s="505"/>
      <c r="N9" s="505"/>
      <c r="O9" s="505"/>
      <c r="P9" s="505"/>
      <c r="Q9" s="505"/>
      <c r="R9" s="505"/>
      <c r="S9" s="505"/>
      <c r="T9" s="505"/>
      <c r="U9" s="505"/>
      <c r="V9" s="505"/>
      <c r="W9" s="505"/>
      <c r="X9" s="505"/>
      <c r="Y9" s="505"/>
      <c r="Z9" s="505"/>
      <c r="AA9" s="505"/>
      <c r="AB9" s="505"/>
      <c r="AC9" s="505"/>
      <c r="AD9" s="505"/>
      <c r="AE9" s="505"/>
      <c r="AF9" s="505"/>
    </row>
    <row r="10" spans="1:32" ht="19.899999999999999" thickBot="1">
      <c r="A10" s="505"/>
      <c r="B10" s="517" t="s">
        <v>25</v>
      </c>
      <c r="C10" s="539"/>
      <c r="D10" s="540"/>
      <c r="E10" s="545"/>
      <c r="F10" s="540"/>
      <c r="G10" s="540"/>
      <c r="H10" s="540"/>
      <c r="I10" s="547"/>
      <c r="J10" s="548" cm="1">
        <f t="array" ref="J10">SUM(IF(ISNUMBER(B10:I10), B10:I10, 0))</f>
        <v>0</v>
      </c>
      <c r="K10" s="516"/>
      <c r="L10" s="544" t="s">
        <v>26</v>
      </c>
      <c r="M10" s="505"/>
      <c r="N10" s="505"/>
      <c r="O10" s="505"/>
      <c r="P10" s="505"/>
      <c r="Q10" s="505"/>
      <c r="R10" s="505"/>
      <c r="S10" s="505"/>
      <c r="T10" s="505"/>
      <c r="U10" s="505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</row>
    <row r="11" spans="1:32" ht="19.899999999999999" thickBot="1">
      <c r="A11" s="505"/>
      <c r="B11" s="549" t="s">
        <v>27</v>
      </c>
      <c r="C11" s="550" t="s">
        <v>4</v>
      </c>
      <c r="D11" s="551" t="s">
        <v>44</v>
      </c>
      <c r="E11" s="552" t="s">
        <v>45</v>
      </c>
      <c r="F11" s="553" t="s">
        <v>46</v>
      </c>
      <c r="G11" s="554" t="s">
        <v>47</v>
      </c>
      <c r="H11" s="555" t="s">
        <v>47</v>
      </c>
      <c r="I11" s="556" t="s">
        <v>48</v>
      </c>
      <c r="J11" s="548">
        <v>12</v>
      </c>
      <c r="K11" s="516"/>
      <c r="L11" s="544" t="s">
        <v>28</v>
      </c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</row>
    <row r="12" spans="1:32" ht="19.899999999999999" thickBot="1">
      <c r="A12" s="505"/>
      <c r="B12" s="505" t="s">
        <v>4</v>
      </c>
      <c r="C12" s="557">
        <v>7</v>
      </c>
      <c r="D12" s="557">
        <v>8</v>
      </c>
      <c r="E12" s="557">
        <v>9</v>
      </c>
      <c r="F12" s="558">
        <v>10</v>
      </c>
      <c r="G12" s="559">
        <v>11</v>
      </c>
      <c r="H12" s="560">
        <v>12</v>
      </c>
      <c r="I12" s="520">
        <v>13</v>
      </c>
      <c r="J12" s="561"/>
      <c r="K12" s="516"/>
      <c r="L12" s="562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</row>
    <row r="13" spans="1:32" ht="19.149999999999999">
      <c r="A13" s="505"/>
      <c r="B13" s="505"/>
      <c r="C13" s="523" t="s">
        <v>40</v>
      </c>
      <c r="D13" s="524" t="s">
        <v>40</v>
      </c>
      <c r="E13" s="473" t="s">
        <v>49</v>
      </c>
      <c r="F13" s="524" t="s">
        <v>39</v>
      </c>
      <c r="G13" s="535" t="s">
        <v>40</v>
      </c>
      <c r="H13" s="563" t="s">
        <v>41</v>
      </c>
      <c r="I13" s="564"/>
      <c r="J13" s="561"/>
      <c r="K13" s="516"/>
      <c r="L13" s="562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</row>
    <row r="14" spans="1:32" ht="19.899999999999999" thickBot="1">
      <c r="A14" s="505"/>
      <c r="B14" s="505"/>
      <c r="C14" s="565">
        <v>0.87</v>
      </c>
      <c r="D14" s="531">
        <v>0.79</v>
      </c>
      <c r="E14" s="528">
        <v>0.69</v>
      </c>
      <c r="F14" s="529">
        <v>0.59</v>
      </c>
      <c r="G14" s="529">
        <v>0.49</v>
      </c>
      <c r="H14" s="566">
        <v>0.39</v>
      </c>
      <c r="I14" s="567">
        <v>0.3</v>
      </c>
      <c r="J14" s="516"/>
      <c r="K14" s="516"/>
      <c r="L14" s="562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</row>
    <row r="15" spans="1:32" ht="19.149999999999999">
      <c r="A15" s="505"/>
      <c r="B15" s="505"/>
      <c r="C15" s="534" t="s">
        <v>50</v>
      </c>
      <c r="D15" s="535" t="s">
        <v>51</v>
      </c>
      <c r="E15" s="535" t="s">
        <v>52</v>
      </c>
      <c r="F15" s="535" t="s">
        <v>53</v>
      </c>
      <c r="G15" s="535" t="s">
        <v>52</v>
      </c>
      <c r="H15" s="563" t="s">
        <v>54</v>
      </c>
      <c r="I15" s="568" t="s">
        <v>50</v>
      </c>
      <c r="J15" s="537" t="s">
        <v>29</v>
      </c>
      <c r="K15" s="516"/>
      <c r="L15" s="562"/>
      <c r="M15" s="505"/>
      <c r="N15" s="505"/>
      <c r="O15" s="505"/>
      <c r="P15" s="505"/>
      <c r="Q15" s="505"/>
      <c r="R15" s="505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5"/>
      <c r="AD15" s="505"/>
      <c r="AE15" s="505"/>
      <c r="AF15" s="505"/>
    </row>
    <row r="16" spans="1:32" ht="19.149999999999999">
      <c r="A16" s="505"/>
      <c r="B16" s="505"/>
      <c r="C16" s="539"/>
      <c r="D16" s="540"/>
      <c r="E16" s="540"/>
      <c r="F16" s="540"/>
      <c r="G16" s="540"/>
      <c r="H16" s="540"/>
      <c r="I16" s="546"/>
      <c r="J16" s="543" cm="1">
        <f t="array" ref="J16">SUM(IF(ISNUMBER(B16:I16), B16:I16, 0))</f>
        <v>0</v>
      </c>
      <c r="K16" s="516"/>
      <c r="L16" s="569" t="s">
        <v>22</v>
      </c>
      <c r="M16" s="505"/>
      <c r="N16" s="505"/>
      <c r="O16" s="505"/>
      <c r="P16" s="505"/>
      <c r="Q16" s="505"/>
      <c r="R16" s="505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5"/>
      <c r="AD16" s="505"/>
      <c r="AE16" s="505"/>
      <c r="AF16" s="505"/>
    </row>
    <row r="17" spans="1:32" ht="19.149999999999999">
      <c r="A17" s="505"/>
      <c r="B17" s="505"/>
      <c r="C17" s="539"/>
      <c r="D17" s="540"/>
      <c r="E17" s="540"/>
      <c r="F17" s="540"/>
      <c r="G17" s="540"/>
      <c r="H17" s="540"/>
      <c r="I17" s="546"/>
      <c r="J17" s="543" cm="1">
        <f t="array" ref="J17">SUM(IF(ISNUMBER(B17:I17), B17:I17, 0))</f>
        <v>0</v>
      </c>
      <c r="K17" s="516"/>
      <c r="L17" s="569" t="s">
        <v>24</v>
      </c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</row>
    <row r="18" spans="1:32" ht="19.899999999999999" thickBot="1">
      <c r="A18" s="505"/>
      <c r="B18" s="505"/>
      <c r="C18" s="539"/>
      <c r="D18" s="540"/>
      <c r="E18" s="540"/>
      <c r="F18" s="540"/>
      <c r="G18" s="540"/>
      <c r="H18" s="540"/>
      <c r="I18" s="546"/>
      <c r="J18" s="548" cm="1">
        <f t="array" ref="J18">SUM(IF(ISNUMBER(B18:I18), B18:I18, 0))</f>
        <v>0</v>
      </c>
      <c r="K18" s="516"/>
      <c r="L18" s="569" t="s">
        <v>26</v>
      </c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05"/>
      <c r="X18" s="505"/>
      <c r="Y18" s="505"/>
      <c r="Z18" s="505"/>
      <c r="AA18" s="505"/>
      <c r="AB18" s="505"/>
      <c r="AC18" s="505"/>
      <c r="AD18" s="505"/>
      <c r="AE18" s="505"/>
      <c r="AF18" s="505"/>
    </row>
    <row r="19" spans="1:32" ht="19.899999999999999" thickBot="1">
      <c r="A19" s="505"/>
      <c r="B19" s="505"/>
      <c r="C19" s="570" t="s">
        <v>55</v>
      </c>
      <c r="D19" s="571" t="s">
        <v>56</v>
      </c>
      <c r="E19" s="551" t="s">
        <v>57</v>
      </c>
      <c r="F19" s="554" t="s">
        <v>58</v>
      </c>
      <c r="G19" s="572" t="s">
        <v>59</v>
      </c>
      <c r="H19" s="573" t="s">
        <v>60</v>
      </c>
      <c r="I19" s="556" t="s">
        <v>60</v>
      </c>
      <c r="J19" s="548">
        <v>84.78</v>
      </c>
      <c r="K19" s="516"/>
      <c r="L19" s="544" t="s">
        <v>28</v>
      </c>
      <c r="M19" s="505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</row>
    <row r="20" spans="1:32" ht="19.899999999999999" thickBot="1">
      <c r="A20" s="505"/>
      <c r="B20" s="505"/>
      <c r="C20" s="574">
        <v>14</v>
      </c>
      <c r="D20" s="574">
        <v>15</v>
      </c>
      <c r="E20" s="575">
        <v>16</v>
      </c>
      <c r="F20" s="576">
        <v>17</v>
      </c>
      <c r="G20" s="577">
        <v>18</v>
      </c>
      <c r="H20" s="577">
        <v>19</v>
      </c>
      <c r="I20" s="578">
        <v>20</v>
      </c>
      <c r="J20" s="561"/>
      <c r="K20" s="516"/>
      <c r="L20" s="562"/>
      <c r="M20" s="505"/>
      <c r="N20" s="505"/>
      <c r="O20" s="505"/>
      <c r="P20" s="505"/>
      <c r="Q20" s="505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5"/>
      <c r="AD20" s="505"/>
      <c r="AE20" s="505"/>
      <c r="AF20" s="505"/>
    </row>
    <row r="21" spans="1:32" ht="19.149999999999999">
      <c r="A21" s="505"/>
      <c r="B21" s="505"/>
      <c r="C21" s="534" t="s">
        <v>61</v>
      </c>
      <c r="D21" s="535" t="s">
        <v>61</v>
      </c>
      <c r="E21" s="535" t="s">
        <v>61</v>
      </c>
      <c r="F21" s="535" t="s">
        <v>39</v>
      </c>
      <c r="G21" s="579" t="s">
        <v>41</v>
      </c>
      <c r="H21" s="535"/>
      <c r="I21" s="580" t="s">
        <v>49</v>
      </c>
      <c r="J21" s="561"/>
      <c r="K21" s="516"/>
      <c r="L21" s="562"/>
      <c r="M21" s="505"/>
      <c r="N21" s="505"/>
      <c r="O21" s="505"/>
      <c r="P21" s="505"/>
      <c r="Q21" s="505"/>
      <c r="R21" s="505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5"/>
      <c r="AD21" s="505"/>
      <c r="AE21" s="505"/>
      <c r="AF21" s="505"/>
    </row>
    <row r="22" spans="1:32" ht="19.899999999999999" thickBot="1">
      <c r="A22" s="505"/>
      <c r="B22" s="505"/>
      <c r="C22" s="581">
        <v>0.22</v>
      </c>
      <c r="D22" s="529">
        <v>0.14000000000000001</v>
      </c>
      <c r="E22" s="529">
        <v>0.08</v>
      </c>
      <c r="F22" s="529">
        <v>0.04</v>
      </c>
      <c r="G22" s="530">
        <v>0.01</v>
      </c>
      <c r="H22" s="531">
        <v>0</v>
      </c>
      <c r="I22" s="532">
        <v>0.01</v>
      </c>
      <c r="J22" s="516"/>
      <c r="K22" s="516"/>
      <c r="L22" s="562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</row>
    <row r="23" spans="1:32" ht="19.149999999999999">
      <c r="A23" s="505"/>
      <c r="B23" s="505"/>
      <c r="C23" s="534" t="s">
        <v>50</v>
      </c>
      <c r="D23" s="579" t="s">
        <v>54</v>
      </c>
      <c r="E23" s="535" t="s">
        <v>62</v>
      </c>
      <c r="F23" s="535" t="s">
        <v>62</v>
      </c>
      <c r="G23" s="579" t="s">
        <v>51</v>
      </c>
      <c r="H23" s="579" t="s">
        <v>53</v>
      </c>
      <c r="I23" s="580" t="s">
        <v>50</v>
      </c>
      <c r="J23" s="582" t="s">
        <v>30</v>
      </c>
      <c r="K23" s="516"/>
      <c r="L23" s="562"/>
      <c r="M23" s="505"/>
      <c r="N23" s="505"/>
      <c r="O23" s="505"/>
      <c r="P23" s="505"/>
      <c r="Q23" s="505"/>
      <c r="R23" s="505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5"/>
      <c r="AD23" s="505"/>
      <c r="AE23" s="505"/>
      <c r="AF23" s="505"/>
    </row>
    <row r="24" spans="1:32" ht="19.149999999999999">
      <c r="A24" s="505"/>
      <c r="B24" s="505"/>
      <c r="C24" s="539"/>
      <c r="D24" s="583"/>
      <c r="E24" s="540"/>
      <c r="F24" s="540"/>
      <c r="G24" s="540"/>
      <c r="H24" s="542"/>
      <c r="I24" s="584"/>
      <c r="J24" s="585" cm="1">
        <f t="array" ref="J24">SUM(IF(ISNUMBER(B24:I24), B24:I24, 0))</f>
        <v>0</v>
      </c>
      <c r="K24" s="516"/>
      <c r="L24" s="569" t="s">
        <v>22</v>
      </c>
      <c r="M24" s="505"/>
      <c r="N24" s="505"/>
      <c r="O24" s="505"/>
      <c r="P24" s="505"/>
      <c r="Q24" s="505"/>
      <c r="R24" s="505"/>
      <c r="S24" s="505"/>
      <c r="T24" s="505"/>
      <c r="U24" s="505"/>
      <c r="V24" s="505"/>
      <c r="W24" s="505"/>
      <c r="X24" s="505"/>
      <c r="Y24" s="505"/>
      <c r="Z24" s="505"/>
      <c r="AA24" s="505"/>
      <c r="AB24" s="505"/>
      <c r="AC24" s="505"/>
      <c r="AD24" s="505"/>
      <c r="AE24" s="505"/>
      <c r="AF24" s="505"/>
    </row>
    <row r="25" spans="1:32" ht="19.149999999999999">
      <c r="A25" s="505"/>
      <c r="B25" s="505"/>
      <c r="C25" s="539"/>
      <c r="D25" s="583"/>
      <c r="E25" s="540"/>
      <c r="F25" s="540"/>
      <c r="G25" s="540"/>
      <c r="H25" s="542"/>
      <c r="I25" s="584"/>
      <c r="J25" s="585" cm="1">
        <f t="array" ref="J25">SUM(IF(ISNUMBER(B25:I25), B25:I25, 0))</f>
        <v>0</v>
      </c>
      <c r="K25" s="516"/>
      <c r="L25" s="569" t="s">
        <v>24</v>
      </c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</row>
    <row r="26" spans="1:32" ht="19.899999999999999" thickBot="1">
      <c r="A26" s="505"/>
      <c r="B26" s="505"/>
      <c r="C26" s="539"/>
      <c r="D26" s="542"/>
      <c r="E26" s="542"/>
      <c r="F26" s="542"/>
      <c r="G26" s="542"/>
      <c r="H26" s="542"/>
      <c r="I26" s="584"/>
      <c r="J26" s="586" cm="1">
        <f t="array" ref="J26">SUM(IF(ISNUMBER(B26:I26), B26:I26, 0))</f>
        <v>0</v>
      </c>
      <c r="K26" s="516"/>
      <c r="L26" s="569" t="s">
        <v>26</v>
      </c>
      <c r="M26" s="505"/>
      <c r="N26" s="505"/>
      <c r="O26" s="505"/>
      <c r="P26" s="505"/>
      <c r="Q26" s="505"/>
      <c r="R26" s="505"/>
      <c r="S26" s="505"/>
      <c r="T26" s="505"/>
      <c r="U26" s="505"/>
      <c r="V26" s="505"/>
      <c r="W26" s="505"/>
      <c r="X26" s="505"/>
      <c r="Y26" s="505"/>
      <c r="Z26" s="505"/>
      <c r="AA26" s="505"/>
      <c r="AB26" s="505"/>
      <c r="AC26" s="505"/>
      <c r="AD26" s="505"/>
      <c r="AE26" s="505"/>
      <c r="AF26" s="505"/>
    </row>
    <row r="27" spans="1:32" ht="19.899999999999999" thickBot="1">
      <c r="A27" s="505"/>
      <c r="B27" s="505"/>
      <c r="C27" s="587" t="s">
        <v>63</v>
      </c>
      <c r="D27" s="551" t="s">
        <v>64</v>
      </c>
      <c r="E27" s="551" t="s">
        <v>64</v>
      </c>
      <c r="F27" s="588" t="s">
        <v>65</v>
      </c>
      <c r="G27" s="551" t="s">
        <v>65</v>
      </c>
      <c r="H27" s="551" t="s">
        <v>66</v>
      </c>
      <c r="I27" s="589" t="s">
        <v>66</v>
      </c>
      <c r="J27" s="548">
        <v>85.03</v>
      </c>
      <c r="K27" s="516"/>
      <c r="L27" s="544" t="s">
        <v>28</v>
      </c>
      <c r="M27" s="505"/>
      <c r="N27" s="505"/>
      <c r="O27" s="505"/>
      <c r="P27" s="505"/>
      <c r="Q27" s="505"/>
      <c r="R27" s="505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5"/>
      <c r="AD27" s="505"/>
      <c r="AE27" s="505"/>
      <c r="AF27" s="505"/>
    </row>
    <row r="28" spans="1:32" ht="19.899999999999999" thickBot="1">
      <c r="A28" s="505"/>
      <c r="B28" s="505"/>
      <c r="C28" s="557">
        <v>21</v>
      </c>
      <c r="D28" s="557">
        <v>22</v>
      </c>
      <c r="E28" s="557">
        <v>23</v>
      </c>
      <c r="F28" s="557">
        <v>24</v>
      </c>
      <c r="G28" s="557">
        <v>25</v>
      </c>
      <c r="H28" s="557">
        <v>26</v>
      </c>
      <c r="I28" s="557">
        <v>27</v>
      </c>
      <c r="J28" s="590"/>
      <c r="K28" s="516"/>
      <c r="L28" s="562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</row>
    <row r="29" spans="1:32" ht="19.149999999999999">
      <c r="A29" s="505"/>
      <c r="B29" s="505"/>
      <c r="C29" s="523" t="s">
        <v>41</v>
      </c>
      <c r="D29" s="524" t="s">
        <v>39</v>
      </c>
      <c r="E29" s="473" t="s">
        <v>49</v>
      </c>
      <c r="F29" s="524"/>
      <c r="G29" s="524"/>
      <c r="H29" s="524"/>
      <c r="I29" s="525" t="s">
        <v>49</v>
      </c>
      <c r="J29" s="561"/>
      <c r="K29" s="516"/>
      <c r="L29" s="562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</row>
    <row r="30" spans="1:32" ht="19.899999999999999" thickBot="1">
      <c r="A30" s="505"/>
      <c r="B30" s="505"/>
      <c r="C30" s="581">
        <v>0.04</v>
      </c>
      <c r="D30" s="529">
        <v>0.08</v>
      </c>
      <c r="E30" s="529">
        <v>0.14000000000000001</v>
      </c>
      <c r="F30" s="529">
        <v>0.22</v>
      </c>
      <c r="G30" s="529">
        <v>0.31</v>
      </c>
      <c r="H30" s="529">
        <v>0.42</v>
      </c>
      <c r="I30" s="532">
        <v>0.53</v>
      </c>
      <c r="J30" s="516"/>
      <c r="K30" s="516"/>
      <c r="L30" s="562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</row>
    <row r="31" spans="1:32" ht="19.149999999999999">
      <c r="A31" s="505"/>
      <c r="B31" s="505"/>
      <c r="C31" s="534" t="s">
        <v>62</v>
      </c>
      <c r="D31" s="579" t="s">
        <v>53</v>
      </c>
      <c r="E31" s="535" t="s">
        <v>51</v>
      </c>
      <c r="F31" s="535" t="s">
        <v>54</v>
      </c>
      <c r="G31" s="535" t="s">
        <v>54</v>
      </c>
      <c r="H31" s="535" t="s">
        <v>52</v>
      </c>
      <c r="I31" s="580" t="s">
        <v>53</v>
      </c>
      <c r="J31" s="582" t="s">
        <v>31</v>
      </c>
      <c r="K31" s="516"/>
      <c r="L31" s="562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</row>
    <row r="32" spans="1:32" ht="19.149999999999999">
      <c r="A32" s="505"/>
      <c r="B32" s="505"/>
      <c r="C32" s="539"/>
      <c r="D32" s="540"/>
      <c r="E32" s="540"/>
      <c r="F32" s="540"/>
      <c r="G32" s="540"/>
      <c r="H32" s="540"/>
      <c r="I32" s="591"/>
      <c r="J32" s="585" cm="1">
        <f t="array" ref="J32">SUM(IF(ISNUMBER(B32:I32), B32:I32, 0))</f>
        <v>0</v>
      </c>
      <c r="K32" s="516"/>
      <c r="L32" s="569" t="s">
        <v>22</v>
      </c>
      <c r="M32" s="505"/>
      <c r="N32" s="505"/>
      <c r="O32" s="505"/>
      <c r="P32" s="505"/>
      <c r="Q32" s="505"/>
      <c r="R32" s="505"/>
      <c r="S32" s="505"/>
      <c r="T32" s="505"/>
      <c r="U32" s="505"/>
      <c r="V32" s="505"/>
      <c r="W32" s="505"/>
      <c r="X32" s="505"/>
      <c r="Y32" s="505"/>
      <c r="Z32" s="505"/>
      <c r="AA32" s="505"/>
      <c r="AB32" s="505"/>
      <c r="AC32" s="505"/>
      <c r="AD32" s="505"/>
      <c r="AE32" s="505"/>
      <c r="AF32" s="505"/>
    </row>
    <row r="33" spans="1:32" ht="19.149999999999999">
      <c r="A33" s="505"/>
      <c r="B33" s="505"/>
      <c r="C33" s="539"/>
      <c r="D33" s="540"/>
      <c r="E33" s="540"/>
      <c r="F33" s="540"/>
      <c r="G33" s="546"/>
      <c r="H33" s="540"/>
      <c r="I33" s="591"/>
      <c r="J33" s="585" cm="1">
        <f t="array" ref="J33">SUM(IF(ISNUMBER(B33:I33), B33:I33, 0))</f>
        <v>0</v>
      </c>
      <c r="K33" s="516"/>
      <c r="L33" s="569" t="s">
        <v>24</v>
      </c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</row>
    <row r="34" spans="1:32" ht="19.899999999999999" thickBot="1">
      <c r="A34" s="505"/>
      <c r="B34" s="505"/>
      <c r="C34" s="539"/>
      <c r="D34" s="540"/>
      <c r="E34" s="540"/>
      <c r="F34" s="540"/>
      <c r="G34" s="468"/>
      <c r="H34" s="540"/>
      <c r="I34" s="591"/>
      <c r="J34" s="586" cm="1">
        <f t="array" ref="J34">SUM(IF(ISNUMBER(B34:I34), B34:I34, 0))</f>
        <v>0</v>
      </c>
      <c r="K34" s="516"/>
      <c r="L34" s="569" t="s">
        <v>26</v>
      </c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</row>
    <row r="35" spans="1:32" ht="19.899999999999999" thickBot="1">
      <c r="A35" s="505"/>
      <c r="B35" s="505"/>
      <c r="C35" s="570" t="s">
        <v>67</v>
      </c>
      <c r="D35" s="551" t="s">
        <v>67</v>
      </c>
      <c r="E35" s="551" t="s">
        <v>68</v>
      </c>
      <c r="F35" s="551" t="s">
        <v>68</v>
      </c>
      <c r="G35" s="551" t="s">
        <v>69</v>
      </c>
      <c r="H35" s="551" t="s">
        <v>70</v>
      </c>
      <c r="I35" s="592" t="s">
        <v>70</v>
      </c>
      <c r="J35" s="548">
        <v>85.02</v>
      </c>
      <c r="K35" s="516"/>
      <c r="L35" s="544" t="s">
        <v>28</v>
      </c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</row>
    <row r="36" spans="1:32" ht="19.899999999999999" thickBot="1">
      <c r="A36" s="505"/>
      <c r="B36" s="505"/>
      <c r="C36" s="557">
        <v>28</v>
      </c>
      <c r="D36" s="557">
        <v>29</v>
      </c>
      <c r="E36" s="557">
        <v>30</v>
      </c>
      <c r="F36" s="557">
        <v>31</v>
      </c>
      <c r="G36" s="557"/>
      <c r="H36" s="557"/>
      <c r="I36" s="557"/>
      <c r="J36" s="590"/>
      <c r="K36" s="516"/>
      <c r="L36" s="562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</row>
    <row r="37" spans="1:32" ht="19.149999999999999">
      <c r="A37" s="505"/>
      <c r="B37" s="505"/>
      <c r="C37" s="593" t="s">
        <v>41</v>
      </c>
      <c r="D37" s="594"/>
      <c r="E37" s="594"/>
      <c r="F37" s="594"/>
      <c r="G37" s="594"/>
      <c r="H37" s="594"/>
      <c r="I37" s="525"/>
      <c r="J37" s="561"/>
      <c r="K37" s="516"/>
      <c r="L37" s="562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</row>
    <row r="38" spans="1:32" ht="19.899999999999999" thickBot="1">
      <c r="A38" s="505"/>
      <c r="B38" s="505"/>
      <c r="C38" s="581">
        <v>0.64</v>
      </c>
      <c r="D38" s="529">
        <v>0.74</v>
      </c>
      <c r="E38" s="529">
        <v>0.84</v>
      </c>
      <c r="F38" s="529">
        <v>0.92</v>
      </c>
      <c r="G38" s="529"/>
      <c r="H38" s="529"/>
      <c r="I38" s="532"/>
      <c r="J38" s="516"/>
      <c r="K38" s="516"/>
      <c r="L38" s="562"/>
      <c r="M38" s="505"/>
      <c r="N38" s="505"/>
      <c r="O38" s="505"/>
      <c r="P38" s="505"/>
      <c r="Q38" s="505"/>
      <c r="R38" s="505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5"/>
      <c r="AD38" s="505"/>
      <c r="AE38" s="505"/>
      <c r="AF38" s="505"/>
    </row>
    <row r="39" spans="1:32" ht="19.149999999999999">
      <c r="A39" s="505"/>
      <c r="B39" s="505"/>
      <c r="C39" s="534" t="s">
        <v>50</v>
      </c>
      <c r="D39" s="535" t="s">
        <v>53</v>
      </c>
      <c r="E39" s="535" t="s">
        <v>51</v>
      </c>
      <c r="F39" s="535" t="s">
        <v>62</v>
      </c>
      <c r="G39" s="535"/>
      <c r="H39" s="535"/>
      <c r="I39" s="595"/>
      <c r="J39" s="537" t="s">
        <v>32</v>
      </c>
      <c r="K39" s="516"/>
      <c r="L39" s="562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Y39" s="505"/>
      <c r="Z39" s="505"/>
      <c r="AA39" s="505"/>
      <c r="AB39" s="505"/>
      <c r="AC39" s="505"/>
      <c r="AD39" s="505"/>
      <c r="AE39" s="505"/>
      <c r="AF39" s="505"/>
    </row>
    <row r="40" spans="1:32" ht="19.149999999999999">
      <c r="A40" s="505"/>
      <c r="B40" s="505"/>
      <c r="C40" s="596"/>
      <c r="D40" s="542"/>
      <c r="E40" s="542"/>
      <c r="F40" s="542" t="s">
        <v>43</v>
      </c>
      <c r="G40" s="542"/>
      <c r="H40" s="542"/>
      <c r="I40" s="597"/>
      <c r="J40" s="543" cm="1">
        <f t="array" ref="J40">SUM(IF(ISNUMBER(B40:I40), B40:I40, 0))</f>
        <v>0</v>
      </c>
      <c r="K40" s="516"/>
      <c r="L40" s="569" t="s">
        <v>22</v>
      </c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</row>
    <row r="41" spans="1:32" ht="19.149999999999999">
      <c r="A41" s="505"/>
      <c r="B41" s="505"/>
      <c r="C41" s="539"/>
      <c r="D41" s="540"/>
      <c r="E41" s="540"/>
      <c r="F41" s="540"/>
      <c r="G41" s="540"/>
      <c r="H41" s="540"/>
      <c r="I41" s="546"/>
      <c r="J41" s="543" cm="1">
        <f t="array" ref="J41">SUM(IF(ISNUMBER(B41:I41), B41:I41, 0))</f>
        <v>0</v>
      </c>
      <c r="K41" s="516"/>
      <c r="L41" s="569" t="s">
        <v>24</v>
      </c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505"/>
      <c r="AC41" s="505"/>
      <c r="AD41" s="505"/>
      <c r="AE41" s="505"/>
      <c r="AF41" s="505"/>
    </row>
    <row r="42" spans="1:32" ht="19.899999999999999" thickBot="1">
      <c r="A42" s="505"/>
      <c r="B42" s="505"/>
      <c r="C42" s="539"/>
      <c r="D42" s="540"/>
      <c r="E42" s="540"/>
      <c r="F42" s="540"/>
      <c r="G42" s="540"/>
      <c r="H42" s="540"/>
      <c r="I42" s="546"/>
      <c r="J42" s="548" cm="1">
        <f t="array" ref="J42">SUM(IF(ISNUMBER(B42:I42), B42:I42, 0))</f>
        <v>0</v>
      </c>
      <c r="K42" s="516"/>
      <c r="L42" s="569" t="s">
        <v>26</v>
      </c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</row>
    <row r="43" spans="1:32" ht="19.899999999999999" thickBot="1">
      <c r="A43" s="505"/>
      <c r="B43" s="505"/>
      <c r="C43" s="598" t="s">
        <v>71</v>
      </c>
      <c r="D43" s="554" t="s">
        <v>72</v>
      </c>
      <c r="E43" s="588" t="s">
        <v>72</v>
      </c>
      <c r="F43" s="551" t="s">
        <v>73</v>
      </c>
      <c r="G43" s="551" t="s">
        <v>4</v>
      </c>
      <c r="H43" s="551" t="s">
        <v>4</v>
      </c>
      <c r="I43" s="589" t="s">
        <v>4</v>
      </c>
      <c r="J43" s="548">
        <v>36.369999999999997</v>
      </c>
      <c r="K43" s="516"/>
      <c r="L43" s="544" t="s">
        <v>28</v>
      </c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</row>
    <row r="44" spans="1:32" ht="19.899999999999999" thickBot="1">
      <c r="A44" s="505"/>
      <c r="B44" s="505"/>
      <c r="C44" s="520"/>
      <c r="D44" s="599"/>
      <c r="E44" s="590"/>
      <c r="F44" s="516"/>
      <c r="G44" s="516"/>
      <c r="H44" s="516"/>
      <c r="I44" s="516"/>
      <c r="J44" s="516"/>
      <c r="K44" s="516"/>
      <c r="L44" s="538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</row>
    <row r="45" spans="1:32" ht="19.149999999999999">
      <c r="A45" s="505"/>
      <c r="B45" s="505"/>
      <c r="C45" s="534"/>
      <c r="D45" s="580"/>
      <c r="E45" s="561"/>
      <c r="F45" s="516"/>
      <c r="G45" s="516"/>
      <c r="H45" s="516"/>
      <c r="I45" s="516"/>
      <c r="J45" s="516"/>
      <c r="K45" s="516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</row>
    <row r="46" spans="1:32" ht="19.899999999999999" thickBot="1">
      <c r="A46" s="505"/>
      <c r="B46" s="505"/>
      <c r="C46" s="600"/>
      <c r="D46" s="601"/>
      <c r="E46" s="516"/>
      <c r="F46" s="516"/>
      <c r="G46" s="516"/>
      <c r="H46" s="516"/>
      <c r="I46" s="516"/>
      <c r="J46" s="516"/>
      <c r="K46" s="516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</row>
    <row r="47" spans="1:32" ht="19.149999999999999">
      <c r="A47" s="505"/>
      <c r="B47" s="505"/>
      <c r="C47" s="534"/>
      <c r="D47" s="580"/>
      <c r="E47" s="516"/>
      <c r="G47" s="516"/>
      <c r="H47" s="516"/>
      <c r="I47" s="516"/>
      <c r="J47" s="537" t="s">
        <v>33</v>
      </c>
      <c r="K47" s="602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</row>
    <row r="48" spans="1:32" ht="19.149999999999999">
      <c r="A48" s="505"/>
      <c r="B48" s="505"/>
      <c r="C48" s="596"/>
      <c r="D48" s="601"/>
      <c r="E48" s="516"/>
      <c r="G48" s="516"/>
      <c r="H48" s="516"/>
      <c r="I48" s="516"/>
      <c r="J48" s="543" cm="1">
        <f t="array" ref="J48">SUM(IF(ISNUMBER(B48:D48), B48:D48, 0))</f>
        <v>0</v>
      </c>
      <c r="L48" s="569" t="s">
        <v>22</v>
      </c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</row>
    <row r="49" spans="1:32" ht="19.149999999999999">
      <c r="A49" s="505"/>
      <c r="B49" s="505"/>
      <c r="C49" s="539"/>
      <c r="D49" s="601"/>
      <c r="E49" s="516"/>
      <c r="G49" s="516"/>
      <c r="H49" s="516"/>
      <c r="I49" s="516"/>
      <c r="J49" s="543" cm="1">
        <f t="array" ref="J49">SUM(IF(ISNUMBER(B49:D49), B49:D49, 0))</f>
        <v>0</v>
      </c>
      <c r="L49" s="569" t="s">
        <v>24</v>
      </c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</row>
    <row r="50" spans="1:32" ht="19.899999999999999" thickBot="1">
      <c r="A50" s="505"/>
      <c r="B50" s="505"/>
      <c r="C50" s="539"/>
      <c r="D50" s="601"/>
      <c r="E50" s="516"/>
      <c r="G50" s="516"/>
      <c r="H50" s="516"/>
      <c r="I50" s="516"/>
      <c r="J50" s="548" cm="1">
        <f t="array" ref="J50">SUM(IF(ISNUMBER(B50:D50), B50:D50, 0))</f>
        <v>0</v>
      </c>
      <c r="L50" s="569" t="s">
        <v>26</v>
      </c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</row>
    <row r="51" spans="1:32" ht="19.899999999999999" thickBot="1">
      <c r="A51" s="505"/>
      <c r="B51" s="505"/>
      <c r="C51" s="570"/>
      <c r="D51" s="589"/>
      <c r="G51" s="516"/>
      <c r="H51" s="516"/>
      <c r="I51" s="516"/>
      <c r="J51" s="548"/>
      <c r="L51" s="544" t="s">
        <v>28</v>
      </c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</row>
    <row r="52" spans="1:32" ht="19.149999999999999">
      <c r="A52" s="505"/>
      <c r="B52" s="505"/>
      <c r="C52" s="516"/>
      <c r="D52" s="516"/>
      <c r="E52" s="516"/>
      <c r="F52" s="516"/>
      <c r="G52" s="516"/>
      <c r="H52" s="516"/>
      <c r="I52" s="516"/>
      <c r="J52" s="516"/>
      <c r="K52" s="516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</row>
    <row r="53" spans="1:32" ht="17.45">
      <c r="A53" s="505"/>
      <c r="B53" s="505"/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</row>
    <row r="54" spans="1:32" ht="17.45">
      <c r="A54" s="505"/>
      <c r="B54" s="505"/>
      <c r="C54" s="505"/>
      <c r="D54" s="505"/>
      <c r="E54" s="50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</row>
    <row r="55" spans="1:32" ht="17.45">
      <c r="A55" s="505"/>
      <c r="B55" s="505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</row>
    <row r="56" spans="1:32" ht="17.45">
      <c r="A56" s="505"/>
      <c r="B56" s="505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</row>
    <row r="57" spans="1:32" ht="17.45">
      <c r="A57" s="505"/>
      <c r="B57" s="505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</row>
    <row r="58" spans="1:32" ht="17.45">
      <c r="A58" s="505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</row>
    <row r="59" spans="1:32" ht="17.45">
      <c r="A59" s="505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</row>
    <row r="60" spans="1:32" ht="17.45">
      <c r="A60" s="505"/>
      <c r="B60" s="505"/>
      <c r="C60" s="505"/>
      <c r="D60" s="505"/>
      <c r="E60" s="505"/>
      <c r="F60" s="505"/>
      <c r="G60" s="505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</row>
    <row r="61" spans="1:32" ht="17.45">
      <c r="A61" s="505"/>
      <c r="B61" s="505"/>
      <c r="C61" s="505"/>
      <c r="D61" s="505"/>
      <c r="E61" s="505"/>
      <c r="F61" s="505"/>
      <c r="G61" s="505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</row>
    <row r="62" spans="1:32" ht="17.45">
      <c r="A62" s="505"/>
      <c r="B62" s="505"/>
      <c r="C62" s="505"/>
      <c r="D62" s="505"/>
      <c r="E62" s="505"/>
      <c r="F62" s="505"/>
      <c r="G62" s="505"/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</row>
    <row r="63" spans="1:32" ht="17.45">
      <c r="A63" s="505"/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</row>
    <row r="64" spans="1:32" ht="17.45">
      <c r="A64" s="505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</row>
    <row r="65" spans="1:32" ht="17.45">
      <c r="A65" s="505"/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</row>
    <row r="66" spans="1:32" ht="17.45">
      <c r="A66" s="505"/>
      <c r="B66" s="505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</row>
    <row r="67" spans="1:32" ht="17.45">
      <c r="A67" s="505"/>
      <c r="B67" s="505"/>
      <c r="C67" s="505"/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</row>
    <row r="68" spans="1:32" ht="17.45">
      <c r="A68" s="505"/>
      <c r="B68" s="505"/>
      <c r="C68" s="505"/>
      <c r="D68" s="505"/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</row>
    <row r="69" spans="1:32" ht="17.45">
      <c r="A69" s="505"/>
      <c r="B69" s="505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</row>
    <row r="70" spans="1:32" ht="17.45">
      <c r="A70" s="505"/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</row>
    <row r="71" spans="1:32" ht="17.45">
      <c r="A71" s="505"/>
      <c r="B71" s="505"/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</row>
    <row r="72" spans="1:32" ht="17.45">
      <c r="A72" s="505"/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</row>
    <row r="73" spans="1:32" ht="17.45">
      <c r="A73" s="505"/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</row>
    <row r="74" spans="1:32" ht="17.45">
      <c r="A74" s="505"/>
      <c r="B74" s="505"/>
      <c r="C74" s="505"/>
      <c r="D74" s="505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</row>
    <row r="75" spans="1:32" ht="17.45">
      <c r="A75" s="505"/>
      <c r="B75" s="505"/>
      <c r="C75" s="505"/>
      <c r="D75" s="505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</row>
    <row r="76" spans="1:32" ht="17.45">
      <c r="A76" s="505"/>
      <c r="B76" s="505"/>
      <c r="C76" s="505"/>
      <c r="D76" s="505"/>
      <c r="E76" s="505"/>
      <c r="F76" s="505"/>
      <c r="G76" s="505"/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5"/>
      <c r="AB76" s="505"/>
      <c r="AC76" s="505"/>
      <c r="AD76" s="505"/>
      <c r="AE76" s="505"/>
      <c r="AF76" s="505"/>
    </row>
    <row r="77" spans="1:32" ht="17.45">
      <c r="A77" s="505"/>
      <c r="B77" s="505"/>
      <c r="C77" s="505"/>
      <c r="D77" s="505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5"/>
      <c r="AB77" s="505"/>
      <c r="AC77" s="505"/>
      <c r="AD77" s="505"/>
      <c r="AE77" s="505"/>
      <c r="AF77" s="505"/>
    </row>
    <row r="78" spans="1:32" ht="17.45">
      <c r="A78" s="505"/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</row>
    <row r="79" spans="1:32" ht="17.45">
      <c r="A79" s="505"/>
      <c r="B79" s="505"/>
      <c r="C79" s="505"/>
      <c r="D79" s="505"/>
      <c r="E79" s="505"/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</row>
    <row r="80" spans="1:32" ht="17.45">
      <c r="A80" s="505"/>
      <c r="B80" s="505"/>
      <c r="C80" s="505"/>
      <c r="D80" s="505"/>
      <c r="E80" s="505"/>
      <c r="F80" s="505"/>
      <c r="G80" s="505"/>
      <c r="H80" s="505"/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5"/>
      <c r="V80" s="505"/>
      <c r="W80" s="505"/>
      <c r="X80" s="505"/>
      <c r="Y80" s="505"/>
      <c r="Z80" s="505"/>
      <c r="AA80" s="505"/>
      <c r="AB80" s="505"/>
      <c r="AC80" s="505"/>
      <c r="AD80" s="505"/>
      <c r="AE80" s="505"/>
      <c r="AF80" s="505"/>
    </row>
    <row r="81" spans="1:32" ht="17.45">
      <c r="A81" s="505"/>
      <c r="B81" s="505"/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5"/>
      <c r="V81" s="505"/>
      <c r="W81" s="505"/>
      <c r="X81" s="505"/>
      <c r="Y81" s="505"/>
      <c r="Z81" s="505"/>
      <c r="AA81" s="505"/>
      <c r="AB81" s="505"/>
      <c r="AC81" s="505"/>
      <c r="AD81" s="505"/>
      <c r="AE81" s="505"/>
      <c r="AF81" s="505"/>
    </row>
    <row r="82" spans="1:32" ht="17.45">
      <c r="A82" s="505"/>
      <c r="B82" s="505"/>
      <c r="C82" s="505"/>
      <c r="D82" s="505"/>
      <c r="E82" s="505"/>
      <c r="F82" s="505"/>
      <c r="G82" s="505"/>
      <c r="H82" s="505"/>
      <c r="I82" s="505"/>
      <c r="J82" s="505"/>
      <c r="K82" s="505"/>
      <c r="L82" s="505"/>
      <c r="M82" s="505"/>
      <c r="N82" s="505"/>
      <c r="O82" s="505"/>
      <c r="P82" s="505"/>
      <c r="Q82" s="505"/>
      <c r="R82" s="505"/>
      <c r="S82" s="505"/>
      <c r="T82" s="505"/>
      <c r="U82" s="505"/>
      <c r="V82" s="505"/>
      <c r="W82" s="505"/>
      <c r="X82" s="505"/>
      <c r="Y82" s="505"/>
      <c r="Z82" s="505"/>
      <c r="AA82" s="505"/>
      <c r="AB82" s="505"/>
      <c r="AC82" s="505"/>
      <c r="AD82" s="505"/>
      <c r="AE82" s="505"/>
      <c r="AF82" s="505"/>
    </row>
    <row r="83" spans="1:32" ht="17.45">
      <c r="A83" s="505"/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  <c r="AC83" s="505"/>
      <c r="AD83" s="505"/>
      <c r="AE83" s="505"/>
      <c r="AF83" s="505"/>
    </row>
    <row r="84" spans="1:32" ht="17.45">
      <c r="A84" s="505"/>
      <c r="B84" s="505"/>
      <c r="C84" s="505"/>
      <c r="D84" s="505"/>
      <c r="E84" s="505"/>
      <c r="F84" s="505"/>
      <c r="G84" s="505"/>
      <c r="H84" s="505"/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  <c r="AC84" s="505"/>
      <c r="AD84" s="505"/>
      <c r="AE84" s="505"/>
      <c r="AF84" s="505"/>
    </row>
    <row r="85" spans="1:32" ht="17.45">
      <c r="A85" s="505"/>
      <c r="B85" s="505"/>
      <c r="C85" s="505"/>
      <c r="D85" s="505"/>
      <c r="E85" s="505"/>
      <c r="F85" s="505"/>
      <c r="G85" s="505"/>
      <c r="H85" s="505"/>
      <c r="I85" s="505"/>
      <c r="J85" s="505"/>
      <c r="K85" s="505"/>
      <c r="L85" s="505"/>
      <c r="M85" s="505"/>
      <c r="N85" s="505"/>
      <c r="O85" s="505"/>
      <c r="P85" s="505"/>
      <c r="Q85" s="505"/>
      <c r="R85" s="505"/>
      <c r="S85" s="505"/>
      <c r="T85" s="505"/>
      <c r="U85" s="505"/>
      <c r="V85" s="505"/>
      <c r="W85" s="505"/>
      <c r="X85" s="505"/>
      <c r="Y85" s="505"/>
      <c r="Z85" s="505"/>
      <c r="AA85" s="505"/>
      <c r="AB85" s="505"/>
      <c r="AC85" s="505"/>
      <c r="AD85" s="505"/>
      <c r="AE85" s="505"/>
      <c r="AF85" s="505"/>
    </row>
    <row r="86" spans="1:32" ht="17.45">
      <c r="A86" s="505"/>
      <c r="B86" s="505"/>
      <c r="C86" s="505"/>
      <c r="D86" s="505"/>
      <c r="E86" s="505"/>
      <c r="F86" s="505"/>
      <c r="G86" s="505"/>
      <c r="H86" s="505"/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5"/>
      <c r="V86" s="505"/>
      <c r="W86" s="505"/>
      <c r="X86" s="505"/>
      <c r="Y86" s="505"/>
      <c r="Z86" s="505"/>
      <c r="AA86" s="505"/>
      <c r="AB86" s="505"/>
      <c r="AC86" s="505"/>
      <c r="AD86" s="505"/>
      <c r="AE86" s="505"/>
      <c r="AF86" s="505"/>
    </row>
    <row r="87" spans="1:32" ht="17.45">
      <c r="A87" s="505"/>
      <c r="B87" s="505"/>
      <c r="C87" s="505"/>
      <c r="D87" s="505"/>
      <c r="E87" s="505"/>
      <c r="F87" s="505"/>
      <c r="G87" s="505"/>
      <c r="H87" s="505"/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  <c r="AC87" s="505"/>
      <c r="AD87" s="505"/>
      <c r="AE87" s="505"/>
      <c r="AF87" s="505"/>
    </row>
    <row r="88" spans="1:32" ht="17.45">
      <c r="A88" s="505"/>
      <c r="B88" s="505"/>
      <c r="C88" s="505"/>
      <c r="D88" s="505"/>
      <c r="E88" s="505"/>
      <c r="F88" s="505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13A3-C228-468A-97E8-112A42D99CC5}">
  <dimension ref="A1:AF88"/>
  <sheetViews>
    <sheetView zoomScaleNormal="100" zoomScaleSheetLayoutView="100" workbookViewId="0">
      <selection activeCell="G32" sqref="G32"/>
    </sheetView>
  </sheetViews>
  <sheetFormatPr defaultColWidth="8.42578125" defaultRowHeight="14.45"/>
  <cols>
    <col min="1" max="1" width="3" style="451" customWidth="1"/>
    <col min="2" max="2" width="21" style="451" customWidth="1"/>
    <col min="3" max="9" width="23.7109375" style="451" customWidth="1"/>
    <col min="10" max="10" width="24.42578125" style="451" customWidth="1"/>
    <col min="11" max="11" width="1.7109375" style="451" customWidth="1"/>
    <col min="12" max="12" width="33" style="451" customWidth="1"/>
    <col min="13" max="14" width="23.28515625" style="451" customWidth="1"/>
    <col min="15" max="16384" width="8.42578125" style="451"/>
  </cols>
  <sheetData>
    <row r="1" spans="1:32" ht="19.899999999999999" thickBot="1">
      <c r="A1" s="603"/>
      <c r="B1" s="603"/>
      <c r="C1" s="452" t="s">
        <v>0</v>
      </c>
      <c r="D1" s="452">
        <v>281.75</v>
      </c>
      <c r="E1" s="603"/>
      <c r="F1" s="604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/>
      <c r="AA1" s="603"/>
      <c r="AB1" s="603"/>
      <c r="AC1" s="603"/>
      <c r="AD1" s="603"/>
      <c r="AE1" s="603"/>
      <c r="AF1" s="603"/>
    </row>
    <row r="2" spans="1:32" ht="19.899999999999999" thickBot="1">
      <c r="A2" s="603"/>
      <c r="B2" s="453" t="s">
        <v>74</v>
      </c>
      <c r="C2" s="605" t="s">
        <v>1</v>
      </c>
      <c r="D2" s="606">
        <f>J8+J16+J24+J32+J40+J48</f>
        <v>92.5</v>
      </c>
      <c r="E2" s="607" t="s">
        <v>2</v>
      </c>
      <c r="F2" s="608">
        <f>J9+J17+J25+J33+J41+J49</f>
        <v>0</v>
      </c>
      <c r="G2" s="607" t="s">
        <v>3</v>
      </c>
      <c r="H2" s="608">
        <f>J10+J18+J26+J34+J42+J50</f>
        <v>0</v>
      </c>
      <c r="I2" s="609"/>
      <c r="J2" s="610" t="s">
        <v>4</v>
      </c>
      <c r="K2" s="611"/>
      <c r="L2" s="610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  <c r="Z2" s="603"/>
      <c r="AA2" s="603"/>
      <c r="AB2" s="603"/>
      <c r="AC2" s="603"/>
      <c r="AD2" s="603"/>
      <c r="AE2" s="603"/>
      <c r="AF2" s="603"/>
    </row>
    <row r="3" spans="1:32" ht="19.899999999999999" thickBot="1">
      <c r="A3" s="603"/>
      <c r="B3" s="612" t="s">
        <v>5</v>
      </c>
      <c r="C3" s="454" t="s">
        <v>6</v>
      </c>
      <c r="D3" s="455" t="s">
        <v>7</v>
      </c>
      <c r="E3" s="456" t="s">
        <v>8</v>
      </c>
      <c r="F3" s="457" t="s">
        <v>9</v>
      </c>
      <c r="G3" s="455" t="s">
        <v>10</v>
      </c>
      <c r="H3" s="455" t="s">
        <v>11</v>
      </c>
      <c r="I3" s="458" t="s">
        <v>12</v>
      </c>
      <c r="J3" s="610" t="s">
        <v>13</v>
      </c>
      <c r="K3" s="613"/>
      <c r="L3" s="610"/>
      <c r="M3" s="603"/>
      <c r="N3" s="603"/>
      <c r="O3" s="603"/>
      <c r="P3" s="603"/>
      <c r="Q3" s="603"/>
      <c r="R3" s="603"/>
      <c r="S3" s="603"/>
      <c r="T3" s="603"/>
      <c r="U3" s="603"/>
      <c r="V3" s="603"/>
      <c r="W3" s="603"/>
      <c r="X3" s="603"/>
      <c r="Y3" s="603"/>
      <c r="Z3" s="603"/>
      <c r="AA3" s="603"/>
      <c r="AB3" s="603"/>
      <c r="AC3" s="603"/>
      <c r="AD3" s="603"/>
      <c r="AE3" s="603"/>
      <c r="AF3" s="603"/>
    </row>
    <row r="4" spans="1:32" ht="19.899999999999999" thickBot="1">
      <c r="A4" s="603"/>
      <c r="B4" s="614" t="s">
        <v>14</v>
      </c>
      <c r="C4" s="615"/>
      <c r="D4" s="615"/>
      <c r="E4" s="615"/>
      <c r="F4" s="615"/>
      <c r="G4" s="615"/>
      <c r="H4" s="616"/>
      <c r="I4" s="617">
        <v>1</v>
      </c>
      <c r="J4" s="610" t="s">
        <v>15</v>
      </c>
      <c r="K4" s="613"/>
      <c r="L4" s="618"/>
      <c r="M4" s="603"/>
      <c r="N4" s="603"/>
      <c r="O4" s="603"/>
      <c r="P4" s="603"/>
      <c r="Q4" s="603"/>
      <c r="R4" s="603"/>
      <c r="S4" s="603"/>
      <c r="T4" s="603"/>
      <c r="U4" s="603"/>
      <c r="V4" s="603"/>
      <c r="W4" s="603"/>
      <c r="X4" s="603"/>
      <c r="Y4" s="603"/>
      <c r="Z4" s="603"/>
      <c r="AA4" s="603"/>
      <c r="AB4" s="603"/>
      <c r="AC4" s="603"/>
      <c r="AD4" s="603"/>
      <c r="AE4" s="603"/>
      <c r="AF4" s="603"/>
    </row>
    <row r="5" spans="1:32" ht="19.149999999999999">
      <c r="A5" s="603"/>
      <c r="B5" s="619" t="s">
        <v>16</v>
      </c>
      <c r="C5" s="620"/>
      <c r="D5" s="621"/>
      <c r="E5" s="622"/>
      <c r="F5" s="621"/>
      <c r="G5" s="621"/>
      <c r="H5" s="621"/>
      <c r="I5" s="623" t="s">
        <v>38</v>
      </c>
      <c r="J5" s="610" t="s">
        <v>17</v>
      </c>
      <c r="K5" s="613"/>
      <c r="L5" s="624"/>
      <c r="M5" s="603"/>
      <c r="N5" s="603"/>
      <c r="O5" s="603"/>
      <c r="P5" s="603"/>
      <c r="Q5" s="603"/>
      <c r="R5" s="603"/>
      <c r="S5" s="603"/>
      <c r="T5" s="603"/>
      <c r="U5" s="603"/>
      <c r="V5" s="603"/>
      <c r="W5" s="603"/>
      <c r="X5" s="603"/>
      <c r="Y5" s="603"/>
      <c r="Z5" s="603"/>
      <c r="AA5" s="603"/>
      <c r="AB5" s="603"/>
      <c r="AC5" s="603"/>
      <c r="AD5" s="603"/>
      <c r="AE5" s="603"/>
      <c r="AF5" s="603"/>
    </row>
    <row r="6" spans="1:32" ht="19.899999999999999" thickBot="1">
      <c r="A6" s="603"/>
      <c r="B6" s="625" t="s">
        <v>18</v>
      </c>
      <c r="C6" s="626"/>
      <c r="D6" s="626"/>
      <c r="E6" s="627"/>
      <c r="F6" s="627"/>
      <c r="G6" s="628"/>
      <c r="H6" s="629"/>
      <c r="I6" s="630">
        <v>0.83</v>
      </c>
      <c r="J6" s="631"/>
      <c r="K6" s="613"/>
      <c r="L6" s="603"/>
      <c r="M6" s="603"/>
      <c r="N6" s="603"/>
      <c r="O6" s="603"/>
      <c r="P6" s="603"/>
      <c r="Q6" s="603"/>
      <c r="R6" s="603"/>
      <c r="S6" s="603"/>
      <c r="T6" s="603"/>
      <c r="U6" s="603"/>
      <c r="V6" s="603"/>
      <c r="W6" s="603"/>
      <c r="X6" s="603"/>
      <c r="Y6" s="603"/>
      <c r="Z6" s="603"/>
      <c r="AA6" s="603"/>
      <c r="AB6" s="603"/>
      <c r="AC6" s="603"/>
      <c r="AD6" s="603"/>
      <c r="AE6" s="603"/>
      <c r="AF6" s="603"/>
    </row>
    <row r="7" spans="1:32" ht="19.149999999999999">
      <c r="A7" s="603"/>
      <c r="B7" s="619" t="s">
        <v>19</v>
      </c>
      <c r="C7" s="632"/>
      <c r="D7" s="633"/>
      <c r="E7" s="634"/>
      <c r="F7" s="633"/>
      <c r="G7" s="633"/>
      <c r="H7" s="633"/>
      <c r="I7" s="635" t="s">
        <v>50</v>
      </c>
      <c r="J7" s="636" t="s">
        <v>20</v>
      </c>
      <c r="K7" s="613"/>
      <c r="L7" s="637"/>
      <c r="M7" s="603"/>
      <c r="N7" s="603"/>
      <c r="O7" s="603"/>
      <c r="P7" s="603"/>
      <c r="Q7" s="603"/>
      <c r="R7" s="603"/>
      <c r="S7" s="603"/>
      <c r="T7" s="603"/>
      <c r="U7" s="603"/>
      <c r="V7" s="603"/>
      <c r="W7" s="603"/>
      <c r="X7" s="603"/>
      <c r="Y7" s="603"/>
      <c r="Z7" s="603"/>
      <c r="AA7" s="603"/>
      <c r="AB7" s="603"/>
      <c r="AC7" s="603"/>
      <c r="AD7" s="603"/>
      <c r="AE7" s="603"/>
      <c r="AF7" s="603"/>
    </row>
    <row r="8" spans="1:32" ht="19.149999999999999">
      <c r="A8" s="603"/>
      <c r="B8" s="614" t="s">
        <v>21</v>
      </c>
      <c r="C8" s="470"/>
      <c r="D8" s="469"/>
      <c r="E8" s="638"/>
      <c r="F8" s="469"/>
      <c r="G8" s="469"/>
      <c r="H8" s="469"/>
      <c r="I8" s="639">
        <v>1.3</v>
      </c>
      <c r="J8" s="640" cm="1">
        <f t="array" ref="J8">SUM(IF(ISNUMBER(C8:I8), C8:I8, 0))</f>
        <v>1.3</v>
      </c>
      <c r="K8" s="613"/>
      <c r="L8" s="641" t="s">
        <v>22</v>
      </c>
      <c r="M8" s="603"/>
      <c r="N8" s="603"/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3"/>
    </row>
    <row r="9" spans="1:32" ht="19.149999999999999">
      <c r="A9" s="603"/>
      <c r="B9" s="614" t="s">
        <v>23</v>
      </c>
      <c r="C9" s="470"/>
      <c r="D9" s="469"/>
      <c r="E9" s="638"/>
      <c r="F9" s="469"/>
      <c r="G9" s="469"/>
      <c r="H9" s="469"/>
      <c r="I9" s="639">
        <v>0</v>
      </c>
      <c r="J9" s="640" cm="1">
        <f t="array" ref="J9">SUM(IF(ISNUMBER(B9:I9), B9:I9, 0))</f>
        <v>0</v>
      </c>
      <c r="K9" s="613"/>
      <c r="L9" s="641" t="s">
        <v>24</v>
      </c>
      <c r="M9" s="603"/>
      <c r="N9" s="603"/>
      <c r="O9" s="603"/>
      <c r="P9" s="603"/>
      <c r="Q9" s="603"/>
      <c r="R9" s="603"/>
      <c r="S9" s="603"/>
      <c r="T9" s="603"/>
      <c r="U9" s="603"/>
      <c r="V9" s="603"/>
      <c r="W9" s="603"/>
      <c r="X9" s="603"/>
      <c r="Y9" s="603"/>
      <c r="Z9" s="603"/>
      <c r="AA9" s="603"/>
      <c r="AB9" s="603"/>
      <c r="AC9" s="603"/>
      <c r="AD9" s="603"/>
      <c r="AE9" s="603"/>
      <c r="AF9" s="603"/>
    </row>
    <row r="10" spans="1:32" ht="19.899999999999999" thickBot="1">
      <c r="A10" s="603"/>
      <c r="B10" s="614" t="s">
        <v>25</v>
      </c>
      <c r="C10" s="470"/>
      <c r="D10" s="469"/>
      <c r="E10" s="638"/>
      <c r="F10" s="469"/>
      <c r="G10" s="469"/>
      <c r="H10" s="469"/>
      <c r="I10" s="642" t="s">
        <v>75</v>
      </c>
      <c r="J10" s="643" cm="1">
        <f t="array" ref="J10">SUM(IF(ISNUMBER(B10:I10), B10:I10, 0))</f>
        <v>0</v>
      </c>
      <c r="K10" s="613"/>
      <c r="L10" s="641" t="s">
        <v>26</v>
      </c>
      <c r="M10" s="603"/>
      <c r="N10" s="603"/>
      <c r="O10" s="603"/>
      <c r="P10" s="603"/>
      <c r="Q10" s="603"/>
      <c r="R10" s="603"/>
      <c r="S10" s="603"/>
      <c r="T10" s="603"/>
      <c r="U10" s="603"/>
      <c r="V10" s="603"/>
      <c r="W10" s="603"/>
      <c r="X10" s="603"/>
      <c r="Y10" s="603"/>
      <c r="Z10" s="603"/>
      <c r="AA10" s="603"/>
      <c r="AB10" s="603"/>
      <c r="AC10" s="603"/>
      <c r="AD10" s="603"/>
      <c r="AE10" s="603"/>
      <c r="AF10" s="603"/>
    </row>
    <row r="11" spans="1:32" ht="19.899999999999999" thickBot="1">
      <c r="A11" s="603"/>
      <c r="B11" s="644" t="s">
        <v>27</v>
      </c>
      <c r="C11" s="645"/>
      <c r="D11" s="646"/>
      <c r="E11" s="647"/>
      <c r="F11" s="648"/>
      <c r="G11" s="649"/>
      <c r="H11" s="650"/>
      <c r="I11" s="651" t="s">
        <v>76</v>
      </c>
      <c r="J11" s="643">
        <v>11.27</v>
      </c>
      <c r="K11" s="613"/>
      <c r="L11" s="641" t="s">
        <v>28</v>
      </c>
      <c r="M11" s="603"/>
      <c r="N11" s="603"/>
      <c r="O11" s="603"/>
      <c r="P11" s="603"/>
      <c r="Q11" s="603"/>
      <c r="R11" s="603"/>
      <c r="S11" s="603"/>
      <c r="T11" s="603"/>
      <c r="U11" s="603"/>
      <c r="V11" s="603"/>
      <c r="W11" s="603"/>
      <c r="X11" s="603"/>
      <c r="Y11" s="603"/>
      <c r="Z11" s="603"/>
      <c r="AA11" s="603"/>
      <c r="AB11" s="603"/>
      <c r="AC11" s="603"/>
      <c r="AD11" s="603"/>
      <c r="AE11" s="603"/>
      <c r="AF11" s="603"/>
    </row>
    <row r="12" spans="1:32" ht="19.899999999999999" thickBot="1">
      <c r="A12" s="603"/>
      <c r="B12" s="603" t="s">
        <v>4</v>
      </c>
      <c r="C12" s="652">
        <v>2</v>
      </c>
      <c r="D12" s="652">
        <v>3</v>
      </c>
      <c r="E12" s="652">
        <v>4</v>
      </c>
      <c r="F12" s="653">
        <v>5</v>
      </c>
      <c r="G12" s="654">
        <v>6</v>
      </c>
      <c r="H12" s="655">
        <v>7</v>
      </c>
      <c r="I12" s="617">
        <v>8</v>
      </c>
      <c r="J12" s="656"/>
      <c r="K12" s="613"/>
      <c r="L12" s="657"/>
      <c r="M12" s="603"/>
      <c r="N12" s="603"/>
      <c r="O12" s="603"/>
      <c r="P12" s="603"/>
      <c r="Q12" s="603"/>
      <c r="R12" s="603"/>
      <c r="S12" s="603"/>
      <c r="T12" s="603"/>
      <c r="U12" s="603"/>
      <c r="V12" s="603"/>
      <c r="W12" s="603"/>
      <c r="X12" s="603"/>
      <c r="Y12" s="603"/>
      <c r="Z12" s="603"/>
      <c r="AA12" s="603"/>
      <c r="AB12" s="603"/>
      <c r="AC12" s="603"/>
      <c r="AD12" s="603"/>
      <c r="AE12" s="603"/>
      <c r="AF12" s="603"/>
    </row>
    <row r="13" spans="1:32" ht="19.149999999999999">
      <c r="A13" s="603"/>
      <c r="B13" s="603"/>
      <c r="C13" s="620" t="s">
        <v>51</v>
      </c>
      <c r="D13" s="622" t="s">
        <v>77</v>
      </c>
      <c r="E13" s="622" t="s">
        <v>61</v>
      </c>
      <c r="F13" s="621" t="s">
        <v>39</v>
      </c>
      <c r="G13" s="633" t="s">
        <v>38</v>
      </c>
      <c r="H13" s="658" t="s">
        <v>41</v>
      </c>
      <c r="I13" s="659" t="s">
        <v>49</v>
      </c>
      <c r="J13" s="656"/>
      <c r="K13" s="613"/>
      <c r="L13" s="657"/>
      <c r="M13" s="603"/>
      <c r="N13" s="603"/>
      <c r="O13" s="603"/>
      <c r="P13" s="603"/>
      <c r="Q13" s="603"/>
      <c r="R13" s="603"/>
      <c r="S13" s="603"/>
      <c r="T13" s="603"/>
      <c r="U13" s="603"/>
      <c r="V13" s="603"/>
      <c r="W13" s="603"/>
      <c r="X13" s="603"/>
      <c r="Y13" s="603"/>
      <c r="Z13" s="603"/>
      <c r="AA13" s="603"/>
      <c r="AB13" s="603"/>
      <c r="AC13" s="603"/>
      <c r="AD13" s="603"/>
      <c r="AE13" s="603"/>
      <c r="AF13" s="603"/>
    </row>
    <row r="14" spans="1:32" ht="19.899999999999999" thickBot="1">
      <c r="A14" s="603"/>
      <c r="B14" s="603"/>
      <c r="C14" s="660">
        <v>0.91</v>
      </c>
      <c r="D14" s="629">
        <v>0.96</v>
      </c>
      <c r="E14" s="626">
        <v>0.99</v>
      </c>
      <c r="F14" s="627">
        <v>1</v>
      </c>
      <c r="G14" s="627">
        <v>0.97</v>
      </c>
      <c r="H14" s="661">
        <v>0.91</v>
      </c>
      <c r="I14" s="662">
        <v>0.83</v>
      </c>
      <c r="J14" s="613"/>
      <c r="K14" s="613"/>
      <c r="L14" s="657"/>
      <c r="M14" s="603"/>
      <c r="N14" s="603"/>
      <c r="O14" s="603"/>
      <c r="P14" s="603"/>
      <c r="Q14" s="603"/>
      <c r="R14" s="603"/>
      <c r="S14" s="603"/>
      <c r="T14" s="603"/>
      <c r="U14" s="603"/>
      <c r="V14" s="603"/>
      <c r="W14" s="603"/>
      <c r="X14" s="603"/>
      <c r="Y14" s="603"/>
      <c r="Z14" s="603"/>
      <c r="AA14" s="603"/>
      <c r="AB14" s="603"/>
      <c r="AC14" s="603"/>
      <c r="AD14" s="603"/>
      <c r="AE14" s="603"/>
      <c r="AF14" s="603"/>
    </row>
    <row r="15" spans="1:32" ht="19.149999999999999">
      <c r="A15" s="603"/>
      <c r="B15" s="603"/>
      <c r="C15" s="632"/>
      <c r="D15" s="663" t="s">
        <v>42</v>
      </c>
      <c r="E15" s="633" t="s">
        <v>42</v>
      </c>
      <c r="F15" s="633" t="s">
        <v>42</v>
      </c>
      <c r="G15" s="633" t="s">
        <v>42</v>
      </c>
      <c r="H15" s="658" t="s">
        <v>42</v>
      </c>
      <c r="I15" s="664" t="s">
        <v>50</v>
      </c>
      <c r="J15" s="636" t="s">
        <v>29</v>
      </c>
      <c r="K15" s="613"/>
      <c r="L15" s="657"/>
      <c r="M15" s="603"/>
      <c r="N15" s="603"/>
      <c r="O15" s="603"/>
      <c r="P15" s="603"/>
      <c r="Q15" s="603"/>
      <c r="R15" s="603"/>
      <c r="S15" s="603"/>
      <c r="T15" s="603"/>
      <c r="U15" s="603"/>
      <c r="V15" s="603"/>
      <c r="W15" s="603"/>
      <c r="X15" s="603"/>
      <c r="Y15" s="603"/>
      <c r="Z15" s="603"/>
      <c r="AA15" s="603"/>
      <c r="AB15" s="603"/>
      <c r="AC15" s="603"/>
      <c r="AD15" s="603"/>
      <c r="AE15" s="603"/>
      <c r="AF15" s="603"/>
    </row>
    <row r="16" spans="1:32" ht="19.149999999999999">
      <c r="A16" s="603"/>
      <c r="B16" s="603"/>
      <c r="C16" s="470" t="s">
        <v>78</v>
      </c>
      <c r="D16" s="469" t="s">
        <v>79</v>
      </c>
      <c r="E16" s="469" t="s">
        <v>80</v>
      </c>
      <c r="F16" s="469" t="s">
        <v>79</v>
      </c>
      <c r="G16" s="469" t="s">
        <v>81</v>
      </c>
      <c r="H16" s="469" t="s">
        <v>82</v>
      </c>
      <c r="I16" s="639">
        <v>10.6</v>
      </c>
      <c r="J16" s="640" cm="1">
        <f t="array" ref="J16">SUM(IF(ISNUMBER(B16:I16), B16:I16, 0))</f>
        <v>10.6</v>
      </c>
      <c r="K16" s="613"/>
      <c r="L16" s="665" t="s">
        <v>22</v>
      </c>
      <c r="M16" s="603"/>
      <c r="N16" s="603"/>
      <c r="O16" s="603"/>
      <c r="P16" s="603"/>
      <c r="Q16" s="603"/>
      <c r="R16" s="603"/>
      <c r="S16" s="603"/>
      <c r="T16" s="603"/>
      <c r="U16" s="603"/>
      <c r="V16" s="603"/>
      <c r="W16" s="603"/>
      <c r="X16" s="603"/>
      <c r="Y16" s="603"/>
      <c r="Z16" s="603"/>
      <c r="AA16" s="603"/>
      <c r="AB16" s="603"/>
      <c r="AC16" s="603"/>
      <c r="AD16" s="603"/>
      <c r="AE16" s="603"/>
      <c r="AF16" s="603"/>
    </row>
    <row r="17" spans="1:32" ht="19.149999999999999">
      <c r="A17" s="603"/>
      <c r="B17" s="603"/>
      <c r="C17" s="470">
        <v>0</v>
      </c>
      <c r="D17" s="469">
        <v>0</v>
      </c>
      <c r="E17" s="469">
        <v>0</v>
      </c>
      <c r="F17" s="469">
        <v>0</v>
      </c>
      <c r="G17" s="469">
        <v>0</v>
      </c>
      <c r="H17" s="469">
        <v>0</v>
      </c>
      <c r="I17" s="639">
        <v>0</v>
      </c>
      <c r="J17" s="640" cm="1">
        <f t="array" ref="J17">SUM(IF(ISNUMBER(B17:I17), B17:I17, 0))</f>
        <v>0</v>
      </c>
      <c r="K17" s="613"/>
      <c r="L17" s="665" t="s">
        <v>24</v>
      </c>
      <c r="M17" s="603"/>
      <c r="N17" s="603"/>
      <c r="O17" s="603"/>
      <c r="P17" s="603"/>
      <c r="Q17" s="603"/>
      <c r="R17" s="603"/>
      <c r="S17" s="603"/>
      <c r="T17" s="603"/>
      <c r="U17" s="603"/>
      <c r="V17" s="603"/>
      <c r="W17" s="603"/>
      <c r="X17" s="603"/>
      <c r="Y17" s="603"/>
      <c r="Z17" s="603"/>
      <c r="AA17" s="603"/>
      <c r="AB17" s="603"/>
      <c r="AC17" s="603"/>
      <c r="AD17" s="603"/>
      <c r="AE17" s="603"/>
      <c r="AF17" s="603"/>
    </row>
    <row r="18" spans="1:32" ht="19.899999999999999" thickBot="1">
      <c r="A18" s="603"/>
      <c r="B18" s="603"/>
      <c r="C18" s="470">
        <v>0</v>
      </c>
      <c r="D18" s="469" t="s">
        <v>83</v>
      </c>
      <c r="E18" s="469">
        <v>0</v>
      </c>
      <c r="F18" s="469">
        <v>0</v>
      </c>
      <c r="G18" s="469">
        <v>0</v>
      </c>
      <c r="H18" s="469">
        <v>0</v>
      </c>
      <c r="I18" s="639">
        <v>0</v>
      </c>
      <c r="J18" s="643" cm="1">
        <f t="array" ref="J18">SUM(IF(ISNUMBER(B18:I18), B18:I18, 0))</f>
        <v>0</v>
      </c>
      <c r="K18" s="613"/>
      <c r="L18" s="665" t="s">
        <v>26</v>
      </c>
      <c r="M18" s="603"/>
      <c r="N18" s="603"/>
      <c r="O18" s="603"/>
      <c r="P18" s="603"/>
      <c r="Q18" s="603"/>
      <c r="R18" s="603"/>
      <c r="S18" s="603"/>
      <c r="T18" s="603"/>
      <c r="U18" s="603"/>
      <c r="V18" s="603"/>
      <c r="W18" s="603"/>
      <c r="X18" s="603"/>
      <c r="Y18" s="603"/>
      <c r="Z18" s="603"/>
      <c r="AA18" s="603"/>
      <c r="AB18" s="603"/>
      <c r="AC18" s="603"/>
      <c r="AD18" s="603"/>
      <c r="AE18" s="603"/>
      <c r="AF18" s="603"/>
    </row>
    <row r="19" spans="1:32" ht="19.899999999999999" thickBot="1">
      <c r="A19" s="603"/>
      <c r="B19" s="603"/>
      <c r="C19" s="666" t="s">
        <v>84</v>
      </c>
      <c r="D19" s="667" t="s">
        <v>85</v>
      </c>
      <c r="E19" s="646" t="s">
        <v>86</v>
      </c>
      <c r="F19" s="649" t="s">
        <v>87</v>
      </c>
      <c r="G19" s="668" t="s">
        <v>88</v>
      </c>
      <c r="H19" s="669" t="s">
        <v>89</v>
      </c>
      <c r="I19" s="651" t="s">
        <v>90</v>
      </c>
      <c r="J19" s="643">
        <v>11.48</v>
      </c>
      <c r="K19" s="613"/>
      <c r="L19" s="641" t="s">
        <v>28</v>
      </c>
      <c r="M19" s="603"/>
      <c r="N19" s="603"/>
      <c r="O19" s="603"/>
      <c r="P19" s="603"/>
      <c r="Q19" s="603"/>
      <c r="R19" s="603"/>
      <c r="S19" s="603"/>
      <c r="T19" s="603"/>
      <c r="U19" s="603"/>
      <c r="V19" s="603"/>
      <c r="W19" s="603"/>
      <c r="X19" s="603"/>
      <c r="Y19" s="603"/>
      <c r="Z19" s="603"/>
      <c r="AA19" s="603"/>
      <c r="AB19" s="603"/>
      <c r="AC19" s="603"/>
      <c r="AD19" s="603"/>
      <c r="AE19" s="603"/>
      <c r="AF19" s="603"/>
    </row>
    <row r="20" spans="1:32" ht="19.899999999999999" thickBot="1">
      <c r="A20" s="603"/>
      <c r="B20" s="603"/>
      <c r="C20" s="670">
        <v>9</v>
      </c>
      <c r="D20" s="670">
        <v>10</v>
      </c>
      <c r="E20" s="671">
        <v>11</v>
      </c>
      <c r="F20" s="672">
        <v>12</v>
      </c>
      <c r="G20" s="673">
        <v>13</v>
      </c>
      <c r="H20" s="673">
        <v>14</v>
      </c>
      <c r="I20" s="674">
        <v>15</v>
      </c>
      <c r="J20" s="656"/>
      <c r="K20" s="613"/>
      <c r="L20" s="657"/>
      <c r="M20" s="603"/>
      <c r="N20" s="603"/>
      <c r="O20" s="603"/>
      <c r="P20" s="603"/>
      <c r="Q20" s="603"/>
      <c r="R20" s="603"/>
      <c r="S20" s="603"/>
      <c r="T20" s="603"/>
      <c r="U20" s="603"/>
      <c r="V20" s="603"/>
      <c r="W20" s="603"/>
      <c r="X20" s="603"/>
      <c r="Y20" s="603"/>
      <c r="Z20" s="603"/>
      <c r="AA20" s="603"/>
      <c r="AB20" s="603"/>
      <c r="AC20" s="603"/>
      <c r="AD20" s="603"/>
      <c r="AE20" s="603"/>
      <c r="AF20" s="603"/>
    </row>
    <row r="21" spans="1:32" ht="19.149999999999999">
      <c r="A21" s="603"/>
      <c r="B21" s="603"/>
      <c r="C21" s="632" t="s">
        <v>38</v>
      </c>
      <c r="D21" s="633" t="s">
        <v>38</v>
      </c>
      <c r="E21" s="663" t="s">
        <v>61</v>
      </c>
      <c r="F21" s="663" t="s">
        <v>39</v>
      </c>
      <c r="G21" s="633" t="s">
        <v>51</v>
      </c>
      <c r="H21" s="633" t="s">
        <v>41</v>
      </c>
      <c r="I21" s="675" t="s">
        <v>49</v>
      </c>
      <c r="J21" s="656"/>
      <c r="K21" s="613"/>
      <c r="L21" s="657"/>
      <c r="M21" s="603"/>
      <c r="N21" s="603"/>
      <c r="O21" s="603"/>
      <c r="P21" s="603"/>
      <c r="Q21" s="603"/>
      <c r="R21" s="603"/>
      <c r="S21" s="603"/>
      <c r="T21" s="603"/>
      <c r="U21" s="603"/>
      <c r="V21" s="603"/>
      <c r="W21" s="603"/>
      <c r="X21" s="603"/>
      <c r="Y21" s="603"/>
      <c r="Z21" s="603"/>
      <c r="AA21" s="603"/>
      <c r="AB21" s="603"/>
      <c r="AC21" s="603"/>
      <c r="AD21" s="603"/>
      <c r="AE21" s="603"/>
      <c r="AF21" s="603"/>
    </row>
    <row r="22" spans="1:32" ht="19.899999999999999" thickBot="1">
      <c r="A22" s="603"/>
      <c r="B22" s="603"/>
      <c r="C22" s="676">
        <v>0.74</v>
      </c>
      <c r="D22" s="627">
        <v>0.63</v>
      </c>
      <c r="E22" s="627">
        <v>0.52</v>
      </c>
      <c r="F22" s="627">
        <v>0.42</v>
      </c>
      <c r="G22" s="628">
        <v>0.32</v>
      </c>
      <c r="H22" s="629">
        <v>0.23</v>
      </c>
      <c r="I22" s="630">
        <v>0.16</v>
      </c>
      <c r="J22" s="613"/>
      <c r="K22" s="613"/>
      <c r="L22" s="657"/>
      <c r="M22" s="603"/>
      <c r="N22" s="603"/>
      <c r="O22" s="603"/>
      <c r="P22" s="603"/>
      <c r="Q22" s="603"/>
      <c r="R22" s="603"/>
      <c r="S22" s="603"/>
      <c r="T22" s="603"/>
      <c r="U22" s="603"/>
      <c r="V22" s="603"/>
      <c r="W22" s="603"/>
      <c r="X22" s="603"/>
      <c r="Y22" s="603"/>
      <c r="Z22" s="603"/>
      <c r="AA22" s="603"/>
      <c r="AB22" s="603"/>
      <c r="AC22" s="603"/>
      <c r="AD22" s="603"/>
      <c r="AE22" s="603"/>
      <c r="AF22" s="603"/>
    </row>
    <row r="23" spans="1:32" ht="19.149999999999999">
      <c r="A23" s="603"/>
      <c r="B23" s="603"/>
      <c r="C23" s="677" t="s">
        <v>50</v>
      </c>
      <c r="D23" s="633" t="s">
        <v>53</v>
      </c>
      <c r="E23" s="633" t="s">
        <v>91</v>
      </c>
      <c r="F23" s="633" t="s">
        <v>51</v>
      </c>
      <c r="G23" s="633" t="s">
        <v>91</v>
      </c>
      <c r="H23" s="663" t="s">
        <v>50</v>
      </c>
      <c r="I23" s="675" t="s">
        <v>51</v>
      </c>
      <c r="J23" s="678" t="s">
        <v>30</v>
      </c>
      <c r="K23" s="613"/>
      <c r="L23" s="657"/>
      <c r="M23" s="603"/>
      <c r="N23" s="603"/>
      <c r="O23" s="603"/>
      <c r="P23" s="603"/>
      <c r="Q23" s="603"/>
      <c r="R23" s="603"/>
      <c r="S23" s="603"/>
      <c r="T23" s="603"/>
      <c r="U23" s="603"/>
      <c r="V23" s="603"/>
      <c r="W23" s="603"/>
      <c r="X23" s="603"/>
      <c r="Y23" s="603"/>
      <c r="Z23" s="603"/>
      <c r="AA23" s="603"/>
      <c r="AB23" s="603"/>
      <c r="AC23" s="603"/>
      <c r="AD23" s="603"/>
      <c r="AE23" s="603"/>
      <c r="AF23" s="603"/>
    </row>
    <row r="24" spans="1:32" ht="19.149999999999999">
      <c r="A24" s="603"/>
      <c r="B24" s="603"/>
      <c r="C24" s="470" t="s">
        <v>92</v>
      </c>
      <c r="D24" s="471" t="s">
        <v>93</v>
      </c>
      <c r="E24" s="469">
        <v>11.4</v>
      </c>
      <c r="F24" s="469">
        <v>10.6</v>
      </c>
      <c r="G24" s="469">
        <v>7.5</v>
      </c>
      <c r="H24" s="469">
        <v>2</v>
      </c>
      <c r="I24" s="472">
        <v>6</v>
      </c>
      <c r="J24" s="679" cm="1">
        <f t="array" ref="J24">SUM(IF(ISNUMBER(B24:I24), B24:I24, 0))</f>
        <v>37.5</v>
      </c>
      <c r="K24" s="613"/>
      <c r="L24" s="665" t="s">
        <v>22</v>
      </c>
      <c r="M24" s="603"/>
      <c r="N24" s="603"/>
      <c r="O24" s="603"/>
      <c r="P24" s="603"/>
      <c r="Q24" s="603"/>
      <c r="R24" s="603"/>
      <c r="S24" s="603"/>
      <c r="T24" s="603"/>
      <c r="U24" s="603"/>
      <c r="V24" s="603"/>
      <c r="W24" s="603"/>
      <c r="X24" s="603"/>
      <c r="Y24" s="603"/>
      <c r="Z24" s="603"/>
      <c r="AA24" s="603"/>
      <c r="AB24" s="603"/>
      <c r="AC24" s="603"/>
      <c r="AD24" s="603"/>
      <c r="AE24" s="603"/>
      <c r="AF24" s="603"/>
    </row>
    <row r="25" spans="1:32" ht="19.149999999999999">
      <c r="A25" s="603"/>
      <c r="B25" s="603"/>
      <c r="C25" s="470">
        <v>0</v>
      </c>
      <c r="D25" s="471" t="s">
        <v>75</v>
      </c>
      <c r="E25" s="469">
        <v>0</v>
      </c>
      <c r="F25" s="469">
        <v>0</v>
      </c>
      <c r="G25" s="469">
        <v>0</v>
      </c>
      <c r="H25" s="469">
        <v>0</v>
      </c>
      <c r="I25" s="472">
        <v>0</v>
      </c>
      <c r="J25" s="679" cm="1">
        <f t="array" ref="J25">SUM(IF(ISNUMBER(B25:I25), B25:I25, 0))</f>
        <v>0</v>
      </c>
      <c r="K25" s="613"/>
      <c r="L25" s="665" t="s">
        <v>24</v>
      </c>
      <c r="M25" s="603"/>
      <c r="N25" s="603"/>
      <c r="O25" s="603"/>
      <c r="P25" s="603"/>
      <c r="Q25" s="603"/>
      <c r="R25" s="603"/>
      <c r="S25" s="603"/>
      <c r="T25" s="603"/>
      <c r="U25" s="603"/>
      <c r="V25" s="603"/>
      <c r="W25" s="603"/>
      <c r="X25" s="603"/>
      <c r="Y25" s="603"/>
      <c r="Z25" s="603"/>
      <c r="AA25" s="603"/>
      <c r="AB25" s="603"/>
      <c r="AC25" s="603"/>
      <c r="AD25" s="603"/>
      <c r="AE25" s="603"/>
      <c r="AF25" s="603"/>
    </row>
    <row r="26" spans="1:32" ht="19.899999999999999" thickBot="1">
      <c r="A26" s="603"/>
      <c r="B26" s="603"/>
      <c r="C26" s="470">
        <v>0</v>
      </c>
      <c r="D26" s="469">
        <v>0</v>
      </c>
      <c r="E26" s="469">
        <v>0</v>
      </c>
      <c r="F26" s="469">
        <v>0</v>
      </c>
      <c r="G26" s="469">
        <v>0</v>
      </c>
      <c r="H26" s="469">
        <v>0</v>
      </c>
      <c r="I26" s="472">
        <v>0</v>
      </c>
      <c r="J26" s="680" cm="1">
        <f t="array" ref="J26">SUM(IF(ISNUMBER(B26:I26), B26:I26, 0))</f>
        <v>0</v>
      </c>
      <c r="K26" s="613"/>
      <c r="L26" s="665" t="s">
        <v>26</v>
      </c>
      <c r="M26" s="603"/>
      <c r="N26" s="603"/>
      <c r="O26" s="603"/>
      <c r="P26" s="603"/>
      <c r="Q26" s="603"/>
      <c r="R26" s="603"/>
      <c r="S26" s="603"/>
      <c r="T26" s="603"/>
      <c r="U26" s="603"/>
      <c r="V26" s="603"/>
      <c r="W26" s="603"/>
      <c r="X26" s="603"/>
      <c r="Y26" s="603"/>
      <c r="Z26" s="603"/>
      <c r="AA26" s="603"/>
      <c r="AB26" s="603"/>
      <c r="AC26" s="603"/>
      <c r="AD26" s="603"/>
      <c r="AE26" s="603"/>
      <c r="AF26" s="603"/>
    </row>
    <row r="27" spans="1:32" ht="19.899999999999999" thickBot="1">
      <c r="A27" s="603"/>
      <c r="B27" s="603"/>
      <c r="C27" s="681" t="s">
        <v>94</v>
      </c>
      <c r="D27" s="646" t="s">
        <v>95</v>
      </c>
      <c r="E27" s="646" t="s">
        <v>96</v>
      </c>
      <c r="F27" s="682" t="s">
        <v>97</v>
      </c>
      <c r="G27" s="646" t="s">
        <v>98</v>
      </c>
      <c r="H27" s="646" t="s">
        <v>99</v>
      </c>
      <c r="I27" s="683" t="s">
        <v>100</v>
      </c>
      <c r="J27" s="643">
        <v>81.2</v>
      </c>
      <c r="K27" s="613"/>
      <c r="L27" s="641" t="s">
        <v>28</v>
      </c>
      <c r="M27" s="603"/>
      <c r="N27" s="603"/>
      <c r="O27" s="603"/>
      <c r="P27" s="603"/>
      <c r="Q27" s="603"/>
      <c r="R27" s="603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3"/>
      <c r="AD27" s="603"/>
      <c r="AE27" s="603"/>
      <c r="AF27" s="603"/>
    </row>
    <row r="28" spans="1:32" ht="19.899999999999999" thickBot="1">
      <c r="A28" s="603"/>
      <c r="B28" s="603"/>
      <c r="C28" s="652">
        <v>16</v>
      </c>
      <c r="D28" s="652">
        <v>17</v>
      </c>
      <c r="E28" s="652">
        <v>18</v>
      </c>
      <c r="F28" s="652">
        <v>19</v>
      </c>
      <c r="G28" s="652">
        <v>20</v>
      </c>
      <c r="H28" s="652">
        <v>21</v>
      </c>
      <c r="I28" s="652">
        <v>22</v>
      </c>
      <c r="J28" s="684"/>
      <c r="K28" s="613"/>
      <c r="L28" s="657"/>
      <c r="M28" s="603"/>
      <c r="N28" s="603"/>
      <c r="O28" s="603"/>
      <c r="P28" s="603"/>
      <c r="Q28" s="603"/>
      <c r="R28" s="603"/>
      <c r="S28" s="603"/>
      <c r="T28" s="603"/>
      <c r="U28" s="603"/>
      <c r="V28" s="603"/>
      <c r="W28" s="603"/>
      <c r="X28" s="603"/>
      <c r="Y28" s="603"/>
      <c r="Z28" s="603"/>
      <c r="AA28" s="603"/>
      <c r="AB28" s="603"/>
      <c r="AC28" s="603"/>
      <c r="AD28" s="603"/>
      <c r="AE28" s="603"/>
      <c r="AF28" s="603"/>
    </row>
    <row r="29" spans="1:32" ht="19.149999999999999">
      <c r="A29" s="603"/>
      <c r="B29" s="603"/>
      <c r="C29" s="620" t="s">
        <v>40</v>
      </c>
      <c r="D29" s="621" t="s">
        <v>40</v>
      </c>
      <c r="E29" s="622" t="s">
        <v>61</v>
      </c>
      <c r="F29" s="685" t="s">
        <v>39</v>
      </c>
      <c r="G29" s="621" t="s">
        <v>38</v>
      </c>
      <c r="H29" s="621" t="s">
        <v>38</v>
      </c>
      <c r="I29" s="623" t="s">
        <v>49</v>
      </c>
      <c r="J29" s="656"/>
      <c r="K29" s="613"/>
      <c r="L29" s="657"/>
      <c r="M29" s="603"/>
      <c r="N29" s="603"/>
      <c r="O29" s="603"/>
      <c r="P29" s="603"/>
      <c r="Q29" s="603"/>
      <c r="R29" s="603"/>
      <c r="S29" s="603"/>
      <c r="T29" s="603"/>
      <c r="U29" s="603"/>
      <c r="V29" s="603"/>
      <c r="W29" s="603"/>
      <c r="X29" s="603"/>
      <c r="Y29" s="603"/>
      <c r="Z29" s="603"/>
      <c r="AA29" s="603"/>
      <c r="AB29" s="603"/>
      <c r="AC29" s="603"/>
      <c r="AD29" s="603"/>
      <c r="AE29" s="603"/>
      <c r="AF29" s="603"/>
    </row>
    <row r="30" spans="1:32" ht="19.899999999999999" thickBot="1">
      <c r="A30" s="603"/>
      <c r="B30" s="603"/>
      <c r="C30" s="676">
        <v>0.09</v>
      </c>
      <c r="D30" s="627">
        <v>0.05</v>
      </c>
      <c r="E30" s="627">
        <v>0.02</v>
      </c>
      <c r="F30" s="627">
        <v>0</v>
      </c>
      <c r="G30" s="627">
        <v>0.01</v>
      </c>
      <c r="H30" s="627">
        <v>0.03</v>
      </c>
      <c r="I30" s="630">
        <v>7.0000000000000007E-2</v>
      </c>
      <c r="J30" s="613"/>
      <c r="K30" s="613"/>
      <c r="L30" s="657"/>
      <c r="M30" s="603"/>
      <c r="N30" s="603"/>
      <c r="O30" s="603"/>
      <c r="P30" s="603"/>
      <c r="Q30" s="603"/>
      <c r="R30" s="603"/>
      <c r="S30" s="603"/>
      <c r="T30" s="603"/>
      <c r="U30" s="603"/>
      <c r="V30" s="603"/>
      <c r="W30" s="603"/>
      <c r="X30" s="603"/>
      <c r="Y30" s="603"/>
      <c r="Z30" s="603"/>
      <c r="AA30" s="603"/>
      <c r="AB30" s="603"/>
      <c r="AC30" s="603"/>
      <c r="AD30" s="603"/>
      <c r="AE30" s="603"/>
      <c r="AF30" s="603"/>
    </row>
    <row r="31" spans="1:32" ht="19.149999999999999">
      <c r="A31" s="603"/>
      <c r="B31" s="603"/>
      <c r="C31" s="632" t="s">
        <v>50</v>
      </c>
      <c r="D31" s="633" t="s">
        <v>53</v>
      </c>
      <c r="E31" s="663" t="s">
        <v>62</v>
      </c>
      <c r="F31" s="633" t="s">
        <v>53</v>
      </c>
      <c r="G31" s="633" t="s">
        <v>91</v>
      </c>
      <c r="H31" s="633" t="s">
        <v>62</v>
      </c>
      <c r="I31" s="675" t="s">
        <v>50</v>
      </c>
      <c r="J31" s="678" t="s">
        <v>31</v>
      </c>
      <c r="K31" s="613"/>
      <c r="L31" s="657"/>
      <c r="M31" s="603"/>
      <c r="N31" s="603"/>
      <c r="O31" s="603"/>
      <c r="P31" s="603"/>
      <c r="Q31" s="603"/>
      <c r="R31" s="603"/>
      <c r="S31" s="603"/>
      <c r="T31" s="603"/>
      <c r="U31" s="603"/>
      <c r="V31" s="603"/>
      <c r="W31" s="603"/>
      <c r="X31" s="603"/>
      <c r="Y31" s="603"/>
      <c r="Z31" s="603"/>
      <c r="AA31" s="603"/>
      <c r="AB31" s="603"/>
      <c r="AC31" s="603"/>
      <c r="AD31" s="603"/>
      <c r="AE31" s="603"/>
      <c r="AF31" s="603"/>
    </row>
    <row r="32" spans="1:32" ht="19.149999999999999">
      <c r="A32" s="603"/>
      <c r="B32" s="603"/>
      <c r="C32" s="470">
        <v>11.2</v>
      </c>
      <c r="D32" s="469">
        <v>8.6</v>
      </c>
      <c r="E32" s="469">
        <v>11.5</v>
      </c>
      <c r="F32" s="469">
        <v>11.8</v>
      </c>
      <c r="G32" s="469"/>
      <c r="H32" s="469"/>
      <c r="I32" s="472"/>
      <c r="J32" s="679" cm="1">
        <f t="array" ref="J32">SUM(IF(ISNUMBER(B32:I32), B32:I32, 0))</f>
        <v>43.099999999999994</v>
      </c>
      <c r="K32" s="613"/>
      <c r="L32" s="665" t="s">
        <v>22</v>
      </c>
      <c r="M32" s="603"/>
      <c r="N32" s="603"/>
      <c r="O32" s="603"/>
      <c r="P32" s="603"/>
      <c r="Q32" s="603"/>
      <c r="R32" s="603"/>
      <c r="S32" s="603"/>
      <c r="T32" s="603"/>
      <c r="U32" s="603"/>
      <c r="V32" s="603"/>
      <c r="W32" s="603"/>
      <c r="X32" s="603"/>
      <c r="Y32" s="603"/>
      <c r="Z32" s="603"/>
      <c r="AA32" s="603"/>
      <c r="AB32" s="603"/>
      <c r="AC32" s="603"/>
      <c r="AD32" s="603"/>
      <c r="AE32" s="603"/>
      <c r="AF32" s="603"/>
    </row>
    <row r="33" spans="1:32" ht="19.149999999999999">
      <c r="A33" s="603"/>
      <c r="B33" s="603"/>
      <c r="C33" s="470">
        <v>0</v>
      </c>
      <c r="D33" s="469">
        <v>0</v>
      </c>
      <c r="E33" s="469">
        <v>0</v>
      </c>
      <c r="F33" s="469">
        <v>0</v>
      </c>
      <c r="G33" s="639"/>
      <c r="H33" s="469"/>
      <c r="I33" s="472"/>
      <c r="J33" s="679" cm="1">
        <f t="array" ref="J33">SUM(IF(ISNUMBER(B33:I33), B33:I33, 0))</f>
        <v>0</v>
      </c>
      <c r="K33" s="613"/>
      <c r="L33" s="665" t="s">
        <v>24</v>
      </c>
      <c r="M33" s="603"/>
      <c r="N33" s="603"/>
      <c r="O33" s="603"/>
      <c r="P33" s="603"/>
      <c r="Q33" s="603"/>
      <c r="R33" s="603"/>
      <c r="S33" s="603"/>
      <c r="T33" s="603"/>
      <c r="U33" s="603"/>
      <c r="V33" s="603"/>
      <c r="W33" s="603"/>
      <c r="X33" s="603"/>
      <c r="Y33" s="603"/>
      <c r="Z33" s="603"/>
      <c r="AA33" s="603"/>
      <c r="AB33" s="603"/>
      <c r="AC33" s="603"/>
      <c r="AD33" s="603"/>
      <c r="AE33" s="603"/>
      <c r="AF33" s="603"/>
    </row>
    <row r="34" spans="1:32" ht="19.899999999999999" thickBot="1">
      <c r="A34" s="603"/>
      <c r="B34" s="603"/>
      <c r="C34" s="470">
        <v>0</v>
      </c>
      <c r="D34" s="469">
        <v>0</v>
      </c>
      <c r="E34" s="469">
        <v>0</v>
      </c>
      <c r="F34" s="469">
        <v>0</v>
      </c>
      <c r="G34" s="459"/>
      <c r="H34" s="469"/>
      <c r="I34" s="472"/>
      <c r="J34" s="680" cm="1">
        <f t="array" ref="J34">SUM(IF(ISNUMBER(B34:I34), B34:I34, 0))</f>
        <v>0</v>
      </c>
      <c r="K34" s="613"/>
      <c r="L34" s="665" t="s">
        <v>26</v>
      </c>
      <c r="M34" s="603"/>
      <c r="N34" s="603"/>
      <c r="O34" s="603"/>
      <c r="P34" s="603"/>
      <c r="Q34" s="603"/>
      <c r="R34" s="603"/>
      <c r="S34" s="603"/>
      <c r="T34" s="603"/>
      <c r="U34" s="603"/>
      <c r="V34" s="603"/>
      <c r="W34" s="603"/>
      <c r="X34" s="603"/>
      <c r="Y34" s="603"/>
      <c r="Z34" s="603"/>
      <c r="AA34" s="603"/>
      <c r="AB34" s="603"/>
      <c r="AC34" s="603"/>
      <c r="AD34" s="603"/>
      <c r="AE34" s="603"/>
      <c r="AF34" s="603"/>
    </row>
    <row r="35" spans="1:32" ht="19.899999999999999" thickBot="1">
      <c r="A35" s="603"/>
      <c r="B35" s="603"/>
      <c r="C35" s="666" t="s">
        <v>101</v>
      </c>
      <c r="D35" s="646" t="s">
        <v>102</v>
      </c>
      <c r="E35" s="646" t="s">
        <v>103</v>
      </c>
      <c r="F35" s="646" t="s">
        <v>104</v>
      </c>
      <c r="G35" s="646" t="s">
        <v>105</v>
      </c>
      <c r="H35" s="646" t="s">
        <v>106</v>
      </c>
      <c r="I35" s="686" t="s">
        <v>107</v>
      </c>
      <c r="J35" s="643">
        <v>82.38</v>
      </c>
      <c r="K35" s="613"/>
      <c r="L35" s="641" t="s">
        <v>28</v>
      </c>
      <c r="M35" s="603"/>
      <c r="N35" s="603"/>
      <c r="O35" s="603"/>
      <c r="P35" s="603"/>
      <c r="Q35" s="603"/>
      <c r="R35" s="603"/>
      <c r="S35" s="603"/>
      <c r="T35" s="603"/>
      <c r="U35" s="603"/>
      <c r="V35" s="603"/>
      <c r="W35" s="603"/>
      <c r="X35" s="603"/>
      <c r="Y35" s="603"/>
      <c r="Z35" s="603"/>
      <c r="AA35" s="603"/>
      <c r="AB35" s="603"/>
      <c r="AC35" s="603"/>
      <c r="AD35" s="603"/>
      <c r="AE35" s="603"/>
      <c r="AF35" s="603"/>
    </row>
    <row r="36" spans="1:32" ht="19.899999999999999" thickBot="1">
      <c r="A36" s="603"/>
      <c r="B36" s="603"/>
      <c r="C36" s="652">
        <v>23</v>
      </c>
      <c r="D36" s="652">
        <v>24</v>
      </c>
      <c r="E36" s="652">
        <v>25</v>
      </c>
      <c r="F36" s="652">
        <v>26</v>
      </c>
      <c r="G36" s="652">
        <v>27</v>
      </c>
      <c r="H36" s="652">
        <v>28</v>
      </c>
      <c r="I36" s="652">
        <v>29</v>
      </c>
      <c r="J36" s="684"/>
      <c r="K36" s="613"/>
      <c r="L36" s="657"/>
      <c r="M36" s="603"/>
      <c r="N36" s="603"/>
      <c r="O36" s="603"/>
      <c r="P36" s="603"/>
      <c r="Q36" s="603"/>
      <c r="R36" s="603"/>
      <c r="S36" s="603"/>
      <c r="T36" s="603"/>
      <c r="U36" s="603"/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</row>
    <row r="37" spans="1:32" ht="19.149999999999999">
      <c r="A37" s="603"/>
      <c r="B37" s="603"/>
      <c r="C37" s="687" t="s">
        <v>49</v>
      </c>
      <c r="D37" s="688" t="s">
        <v>61</v>
      </c>
      <c r="E37" s="688" t="s">
        <v>39</v>
      </c>
      <c r="F37" s="688" t="s">
        <v>108</v>
      </c>
      <c r="G37" s="688" t="s">
        <v>41</v>
      </c>
      <c r="H37" s="688" t="s">
        <v>40</v>
      </c>
      <c r="I37" s="623" t="s">
        <v>41</v>
      </c>
      <c r="J37" s="656"/>
      <c r="K37" s="613"/>
      <c r="L37" s="657"/>
      <c r="M37" s="603"/>
      <c r="N37" s="603"/>
      <c r="O37" s="603"/>
      <c r="P37" s="603"/>
      <c r="Q37" s="603"/>
      <c r="R37" s="603"/>
      <c r="S37" s="603"/>
      <c r="T37" s="603"/>
      <c r="U37" s="603"/>
      <c r="V37" s="603"/>
      <c r="W37" s="603"/>
      <c r="X37" s="603"/>
      <c r="Y37" s="603"/>
      <c r="Z37" s="603"/>
      <c r="AA37" s="603"/>
      <c r="AB37" s="603"/>
      <c r="AC37" s="603"/>
      <c r="AD37" s="603"/>
      <c r="AE37" s="603"/>
      <c r="AF37" s="603"/>
    </row>
    <row r="38" spans="1:32" ht="19.899999999999999" thickBot="1">
      <c r="A38" s="603"/>
      <c r="B38" s="603"/>
      <c r="C38" s="676">
        <v>0.12</v>
      </c>
      <c r="D38" s="627">
        <v>0.19</v>
      </c>
      <c r="E38" s="627">
        <v>0.28000000000000003</v>
      </c>
      <c r="F38" s="627">
        <v>0.37</v>
      </c>
      <c r="G38" s="627">
        <v>0.47</v>
      </c>
      <c r="H38" s="627">
        <v>0.57999999999999996</v>
      </c>
      <c r="I38" s="630">
        <v>0.68</v>
      </c>
      <c r="J38" s="613"/>
      <c r="K38" s="613"/>
      <c r="L38" s="657"/>
      <c r="M38" s="603"/>
      <c r="N38" s="603"/>
      <c r="O38" s="603"/>
      <c r="P38" s="603"/>
      <c r="Q38" s="603"/>
      <c r="R38" s="603"/>
      <c r="S38" s="603"/>
      <c r="T38" s="603"/>
      <c r="U38" s="603"/>
      <c r="V38" s="603"/>
      <c r="W38" s="603"/>
      <c r="X38" s="603"/>
      <c r="Y38" s="603"/>
      <c r="Z38" s="603"/>
      <c r="AA38" s="603"/>
      <c r="AB38" s="603"/>
      <c r="AC38" s="603"/>
      <c r="AD38" s="603"/>
      <c r="AE38" s="603"/>
      <c r="AF38" s="603"/>
    </row>
    <row r="39" spans="1:32" ht="19.149999999999999">
      <c r="A39" s="603"/>
      <c r="B39" s="603"/>
      <c r="C39" s="632" t="s">
        <v>50</v>
      </c>
      <c r="D39" s="633" t="s">
        <v>51</v>
      </c>
      <c r="E39" s="633" t="s">
        <v>62</v>
      </c>
      <c r="F39" s="633" t="s">
        <v>53</v>
      </c>
      <c r="G39" s="633" t="s">
        <v>91</v>
      </c>
      <c r="H39" s="633" t="s">
        <v>62</v>
      </c>
      <c r="I39" s="635" t="s">
        <v>50</v>
      </c>
      <c r="J39" s="636" t="s">
        <v>32</v>
      </c>
      <c r="K39" s="613"/>
      <c r="L39" s="657"/>
      <c r="M39" s="603"/>
      <c r="N39" s="603"/>
      <c r="O39" s="603"/>
      <c r="P39" s="603"/>
      <c r="Q39" s="603"/>
      <c r="R39" s="603"/>
      <c r="S39" s="603"/>
      <c r="T39" s="603"/>
      <c r="U39" s="603"/>
      <c r="V39" s="603"/>
      <c r="W39" s="603"/>
      <c r="X39" s="603"/>
      <c r="Y39" s="603"/>
      <c r="Z39" s="603"/>
      <c r="AA39" s="603"/>
      <c r="AB39" s="603"/>
      <c r="AC39" s="603"/>
      <c r="AD39" s="603"/>
      <c r="AE39" s="603"/>
      <c r="AF39" s="603"/>
    </row>
    <row r="40" spans="1:32" ht="19.149999999999999">
      <c r="A40" s="603"/>
      <c r="B40" s="603"/>
      <c r="C40" s="689"/>
      <c r="D40" s="690"/>
      <c r="E40" s="690"/>
      <c r="F40" s="690"/>
      <c r="G40" s="690"/>
      <c r="H40" s="690"/>
      <c r="I40" s="691"/>
      <c r="J40" s="640" cm="1">
        <f t="array" ref="J40">SUM(IF(ISNUMBER(B40:I40), B40:I40, 0))</f>
        <v>0</v>
      </c>
      <c r="K40" s="613"/>
      <c r="L40" s="665" t="s">
        <v>22</v>
      </c>
      <c r="M40" s="603"/>
      <c r="N40" s="603"/>
      <c r="O40" s="603"/>
      <c r="P40" s="603"/>
      <c r="Q40" s="603"/>
      <c r="R40" s="603"/>
      <c r="S40" s="603"/>
      <c r="T40" s="603"/>
      <c r="U40" s="603"/>
      <c r="V40" s="603"/>
      <c r="W40" s="603"/>
      <c r="X40" s="603"/>
      <c r="Y40" s="603"/>
      <c r="Z40" s="603"/>
      <c r="AA40" s="603"/>
      <c r="AB40" s="603"/>
      <c r="AC40" s="603"/>
      <c r="AD40" s="603"/>
      <c r="AE40" s="603"/>
      <c r="AF40" s="603"/>
    </row>
    <row r="41" spans="1:32" ht="19.149999999999999">
      <c r="A41" s="603"/>
      <c r="B41" s="603"/>
      <c r="C41" s="470"/>
      <c r="D41" s="469"/>
      <c r="E41" s="469"/>
      <c r="F41" s="469"/>
      <c r="G41" s="469"/>
      <c r="H41" s="469"/>
      <c r="I41" s="639"/>
      <c r="J41" s="640" cm="1">
        <f t="array" ref="J41">SUM(IF(ISNUMBER(B41:I41), B41:I41, 0))</f>
        <v>0</v>
      </c>
      <c r="K41" s="613"/>
      <c r="L41" s="665" t="s">
        <v>24</v>
      </c>
      <c r="M41" s="603"/>
      <c r="N41" s="603"/>
      <c r="O41" s="603"/>
      <c r="P41" s="603"/>
      <c r="Q41" s="603"/>
      <c r="R41" s="603"/>
      <c r="S41" s="603"/>
      <c r="T41" s="603"/>
      <c r="U41" s="603"/>
      <c r="V41" s="603"/>
      <c r="W41" s="603"/>
      <c r="X41" s="603"/>
      <c r="Y41" s="603"/>
      <c r="Z41" s="603"/>
      <c r="AA41" s="603"/>
      <c r="AB41" s="603"/>
      <c r="AC41" s="603"/>
      <c r="AD41" s="603"/>
      <c r="AE41" s="603"/>
      <c r="AF41" s="603"/>
    </row>
    <row r="42" spans="1:32" ht="19.899999999999999" thickBot="1">
      <c r="A42" s="603"/>
      <c r="B42" s="603"/>
      <c r="C42" s="470"/>
      <c r="D42" s="469"/>
      <c r="E42" s="469"/>
      <c r="F42" s="469"/>
      <c r="G42" s="469"/>
      <c r="H42" s="469"/>
      <c r="I42" s="639"/>
      <c r="J42" s="643" cm="1">
        <f t="array" ref="J42">SUM(IF(ISNUMBER(B42:I42), B42:I42, 0))</f>
        <v>0</v>
      </c>
      <c r="K42" s="613"/>
      <c r="L42" s="665" t="s">
        <v>26</v>
      </c>
      <c r="M42" s="603"/>
      <c r="N42" s="603"/>
      <c r="O42" s="603"/>
      <c r="P42" s="603"/>
      <c r="Q42" s="603"/>
      <c r="R42" s="603"/>
      <c r="S42" s="603"/>
      <c r="T42" s="603"/>
      <c r="U42" s="603"/>
      <c r="V42" s="603"/>
      <c r="W42" s="603"/>
      <c r="X42" s="603"/>
      <c r="Y42" s="603"/>
      <c r="Z42" s="603"/>
      <c r="AA42" s="603"/>
      <c r="AB42" s="603"/>
      <c r="AC42" s="603"/>
      <c r="AD42" s="603"/>
      <c r="AE42" s="603"/>
      <c r="AF42" s="603"/>
    </row>
    <row r="43" spans="1:32" ht="19.899999999999999" thickBot="1">
      <c r="A43" s="603"/>
      <c r="B43" s="603"/>
      <c r="C43" s="692" t="s">
        <v>109</v>
      </c>
      <c r="D43" s="649" t="s">
        <v>110</v>
      </c>
      <c r="E43" s="682" t="s">
        <v>111</v>
      </c>
      <c r="F43" s="646" t="s">
        <v>112</v>
      </c>
      <c r="G43" s="646" t="s">
        <v>113</v>
      </c>
      <c r="H43" s="646" t="s">
        <v>114</v>
      </c>
      <c r="I43" s="683" t="s">
        <v>115</v>
      </c>
      <c r="J43" s="643">
        <v>83.43</v>
      </c>
      <c r="K43" s="613"/>
      <c r="L43" s="641" t="s">
        <v>28</v>
      </c>
      <c r="M43" s="603"/>
      <c r="N43" s="603"/>
      <c r="O43" s="603"/>
      <c r="P43" s="603"/>
      <c r="Q43" s="603"/>
      <c r="R43" s="603"/>
      <c r="S43" s="603"/>
      <c r="T43" s="603"/>
      <c r="U43" s="603"/>
      <c r="V43" s="603"/>
      <c r="W43" s="603"/>
      <c r="X43" s="603"/>
      <c r="Y43" s="603"/>
      <c r="Z43" s="603"/>
      <c r="AA43" s="603"/>
      <c r="AB43" s="603"/>
      <c r="AC43" s="603"/>
      <c r="AD43" s="603"/>
      <c r="AE43" s="603"/>
      <c r="AF43" s="603"/>
    </row>
    <row r="44" spans="1:32" ht="19.899999999999999" thickBot="1">
      <c r="A44" s="603"/>
      <c r="B44" s="603"/>
      <c r="C44" s="617">
        <v>30</v>
      </c>
      <c r="D44" s="693"/>
      <c r="E44" s="684"/>
      <c r="F44" s="613"/>
      <c r="G44" s="613"/>
      <c r="H44" s="613"/>
      <c r="I44" s="613"/>
      <c r="J44" s="613"/>
      <c r="K44" s="613"/>
      <c r="L44" s="637"/>
      <c r="M44" s="603"/>
      <c r="N44" s="603"/>
      <c r="O44" s="603"/>
      <c r="P44" s="603"/>
      <c r="Q44" s="603"/>
      <c r="R44" s="603"/>
      <c r="S44" s="603"/>
      <c r="T44" s="603"/>
      <c r="U44" s="603"/>
      <c r="V44" s="603"/>
      <c r="W44" s="603"/>
      <c r="X44" s="603"/>
      <c r="Y44" s="603"/>
      <c r="Z44" s="603"/>
      <c r="AA44" s="603"/>
      <c r="AB44" s="603"/>
      <c r="AC44" s="603"/>
      <c r="AD44" s="603"/>
      <c r="AE44" s="603"/>
      <c r="AF44" s="603"/>
    </row>
    <row r="45" spans="1:32" ht="19.149999999999999">
      <c r="A45" s="603"/>
      <c r="B45" s="603"/>
      <c r="C45" s="632" t="s">
        <v>51</v>
      </c>
      <c r="D45" s="675"/>
      <c r="E45" s="656"/>
      <c r="F45" s="613"/>
      <c r="G45" s="613"/>
      <c r="H45" s="613"/>
      <c r="I45" s="613"/>
      <c r="J45" s="613"/>
      <c r="K45" s="613"/>
      <c r="L45" s="603"/>
      <c r="M45" s="603"/>
      <c r="N45" s="603"/>
      <c r="O45" s="603"/>
      <c r="P45" s="603"/>
      <c r="Q45" s="603"/>
      <c r="R45" s="603"/>
      <c r="S45" s="603"/>
      <c r="T45" s="603"/>
      <c r="U45" s="603"/>
      <c r="V45" s="603"/>
      <c r="W45" s="603"/>
      <c r="X45" s="603"/>
      <c r="Y45" s="603"/>
      <c r="Z45" s="603"/>
      <c r="AA45" s="603"/>
      <c r="AB45" s="603"/>
      <c r="AC45" s="603"/>
      <c r="AD45" s="603"/>
      <c r="AE45" s="603"/>
      <c r="AF45" s="603"/>
    </row>
    <row r="46" spans="1:32" ht="19.899999999999999" thickBot="1">
      <c r="A46" s="603"/>
      <c r="B46" s="603"/>
      <c r="C46" s="694" t="s">
        <v>116</v>
      </c>
      <c r="D46" s="695"/>
      <c r="E46" s="613"/>
      <c r="F46" s="613"/>
      <c r="G46" s="613"/>
      <c r="H46" s="613"/>
      <c r="I46" s="613"/>
      <c r="J46" s="613"/>
      <c r="K46" s="613"/>
      <c r="L46" s="603"/>
      <c r="M46" s="603"/>
      <c r="N46" s="603"/>
      <c r="O46" s="603"/>
      <c r="P46" s="603"/>
      <c r="Q46" s="603"/>
      <c r="R46" s="603"/>
      <c r="S46" s="603"/>
      <c r="T46" s="603"/>
      <c r="U46" s="603"/>
      <c r="V46" s="603"/>
      <c r="W46" s="603"/>
      <c r="X46" s="603"/>
      <c r="Y46" s="603"/>
      <c r="Z46" s="603"/>
      <c r="AA46" s="603"/>
      <c r="AB46" s="603"/>
      <c r="AC46" s="603"/>
      <c r="AD46" s="603"/>
      <c r="AE46" s="603"/>
      <c r="AF46" s="603"/>
    </row>
    <row r="47" spans="1:32" ht="19.149999999999999">
      <c r="A47" s="603"/>
      <c r="B47" s="603"/>
      <c r="C47" s="632"/>
      <c r="D47" s="675"/>
      <c r="E47" s="613"/>
      <c r="G47" s="613"/>
      <c r="H47" s="613"/>
      <c r="I47" s="613"/>
      <c r="J47" s="636" t="s">
        <v>33</v>
      </c>
      <c r="K47" s="696"/>
      <c r="L47" s="603"/>
      <c r="M47" s="603"/>
      <c r="N47" s="603"/>
      <c r="O47" s="603"/>
      <c r="P47" s="603"/>
      <c r="Q47" s="603"/>
      <c r="R47" s="603"/>
      <c r="S47" s="603"/>
      <c r="T47" s="603"/>
      <c r="U47" s="603"/>
      <c r="V47" s="603"/>
      <c r="W47" s="603"/>
      <c r="X47" s="603"/>
      <c r="Y47" s="603"/>
      <c r="Z47" s="603"/>
      <c r="AA47" s="603"/>
      <c r="AB47" s="603"/>
      <c r="AC47" s="603"/>
      <c r="AD47" s="603"/>
      <c r="AE47" s="603"/>
      <c r="AF47" s="603"/>
    </row>
    <row r="48" spans="1:32" ht="19.149999999999999">
      <c r="A48" s="603"/>
      <c r="B48" s="603"/>
      <c r="C48" s="689"/>
      <c r="D48" s="695"/>
      <c r="E48" s="613"/>
      <c r="G48" s="613"/>
      <c r="H48" s="613"/>
      <c r="I48" s="613"/>
      <c r="J48" s="640" cm="1">
        <f t="array" ref="J48">SUM(IF(ISNUMBER(B48:D48), B48:D48, 0))</f>
        <v>0</v>
      </c>
      <c r="L48" s="665" t="s">
        <v>22</v>
      </c>
      <c r="M48" s="603"/>
      <c r="N48" s="603"/>
      <c r="O48" s="603"/>
      <c r="P48" s="603"/>
      <c r="Q48" s="603"/>
      <c r="R48" s="603"/>
      <c r="S48" s="603"/>
      <c r="T48" s="603"/>
      <c r="U48" s="603"/>
      <c r="V48" s="603"/>
      <c r="W48" s="603"/>
      <c r="X48" s="603"/>
      <c r="Y48" s="603"/>
      <c r="Z48" s="603"/>
      <c r="AA48" s="603"/>
      <c r="AB48" s="603"/>
      <c r="AC48" s="603"/>
      <c r="AD48" s="603"/>
      <c r="AE48" s="603"/>
      <c r="AF48" s="603"/>
    </row>
    <row r="49" spans="1:32" ht="19.149999999999999">
      <c r="A49" s="603"/>
      <c r="B49" s="603"/>
      <c r="C49" s="470"/>
      <c r="D49" s="695"/>
      <c r="E49" s="613"/>
      <c r="G49" s="613"/>
      <c r="H49" s="613"/>
      <c r="I49" s="613"/>
      <c r="J49" s="640" cm="1">
        <f t="array" ref="J49">SUM(IF(ISNUMBER(B49:D49), B49:D49, 0))</f>
        <v>0</v>
      </c>
      <c r="L49" s="665" t="s">
        <v>24</v>
      </c>
      <c r="M49" s="603"/>
      <c r="N49" s="603"/>
      <c r="O49" s="603"/>
      <c r="P49" s="603"/>
      <c r="Q49" s="603"/>
      <c r="R49" s="603"/>
      <c r="S49" s="603"/>
      <c r="T49" s="603"/>
      <c r="U49" s="603"/>
      <c r="V49" s="603"/>
      <c r="W49" s="603"/>
      <c r="X49" s="603"/>
      <c r="Y49" s="603"/>
      <c r="Z49" s="603"/>
      <c r="AA49" s="603"/>
      <c r="AB49" s="603"/>
      <c r="AC49" s="603"/>
      <c r="AD49" s="603"/>
      <c r="AE49" s="603"/>
      <c r="AF49" s="603"/>
    </row>
    <row r="50" spans="1:32" ht="19.899999999999999" thickBot="1">
      <c r="A50" s="603"/>
      <c r="B50" s="603"/>
      <c r="C50" s="470"/>
      <c r="D50" s="695"/>
      <c r="E50" s="613"/>
      <c r="G50" s="613"/>
      <c r="H50" s="613"/>
      <c r="I50" s="613"/>
      <c r="J50" s="643" cm="1">
        <f t="array" ref="J50">SUM(IF(ISNUMBER(B50:D50), B50:D50, 0))</f>
        <v>0</v>
      </c>
      <c r="L50" s="665" t="s">
        <v>26</v>
      </c>
      <c r="M50" s="603"/>
      <c r="N50" s="603"/>
      <c r="O50" s="603"/>
      <c r="P50" s="603"/>
      <c r="Q50" s="603"/>
      <c r="R50" s="603"/>
      <c r="S50" s="603"/>
      <c r="T50" s="603"/>
      <c r="U50" s="603"/>
      <c r="V50" s="603"/>
      <c r="W50" s="603"/>
      <c r="X50" s="603"/>
      <c r="Y50" s="603"/>
      <c r="Z50" s="603"/>
      <c r="AA50" s="603"/>
      <c r="AB50" s="603"/>
      <c r="AC50" s="603"/>
      <c r="AD50" s="603"/>
      <c r="AE50" s="603"/>
      <c r="AF50" s="603"/>
    </row>
    <row r="51" spans="1:32" ht="19.899999999999999" thickBot="1">
      <c r="A51" s="603"/>
      <c r="B51" s="603"/>
      <c r="C51" s="666" t="s">
        <v>115</v>
      </c>
      <c r="D51" s="683"/>
      <c r="G51" s="613"/>
      <c r="H51" s="613"/>
      <c r="I51" s="613"/>
      <c r="J51" s="643">
        <v>11.98</v>
      </c>
      <c r="L51" s="641" t="s">
        <v>28</v>
      </c>
      <c r="M51" s="603"/>
      <c r="N51" s="603"/>
      <c r="O51" s="603"/>
      <c r="P51" s="603"/>
      <c r="Q51" s="603"/>
      <c r="R51" s="603"/>
      <c r="S51" s="603"/>
      <c r="T51" s="603"/>
      <c r="U51" s="603"/>
      <c r="V51" s="603"/>
      <c r="W51" s="603"/>
      <c r="X51" s="603"/>
      <c r="Y51" s="603"/>
      <c r="Z51" s="603"/>
      <c r="AA51" s="603"/>
      <c r="AB51" s="603"/>
      <c r="AC51" s="603"/>
      <c r="AD51" s="603"/>
      <c r="AE51" s="603"/>
      <c r="AF51" s="603"/>
    </row>
    <row r="52" spans="1:32" ht="19.149999999999999">
      <c r="A52" s="603"/>
      <c r="B52" s="603"/>
      <c r="C52" s="613"/>
      <c r="D52" s="613"/>
      <c r="E52" s="613"/>
      <c r="F52" s="613"/>
      <c r="G52" s="613"/>
      <c r="H52" s="613"/>
      <c r="I52" s="613"/>
      <c r="J52" s="613"/>
      <c r="K52" s="613"/>
      <c r="L52" s="603"/>
      <c r="M52" s="603"/>
      <c r="N52" s="603"/>
      <c r="O52" s="603"/>
      <c r="P52" s="603"/>
      <c r="Q52" s="603"/>
      <c r="R52" s="603"/>
      <c r="S52" s="603"/>
      <c r="T52" s="603"/>
      <c r="U52" s="603"/>
      <c r="V52" s="603"/>
      <c r="W52" s="603"/>
      <c r="X52" s="603"/>
      <c r="Y52" s="603"/>
      <c r="Z52" s="603"/>
      <c r="AA52" s="603"/>
      <c r="AB52" s="603"/>
      <c r="AC52" s="603"/>
      <c r="AD52" s="603"/>
      <c r="AE52" s="603"/>
      <c r="AF52" s="603"/>
    </row>
    <row r="53" spans="1:32" ht="17.45">
      <c r="A53" s="603"/>
      <c r="B53" s="603"/>
      <c r="C53" s="603"/>
      <c r="D53" s="603"/>
      <c r="E53" s="603"/>
      <c r="F53" s="603"/>
      <c r="G53" s="603"/>
      <c r="H53" s="603"/>
      <c r="I53" s="603"/>
      <c r="J53" s="603"/>
      <c r="K53" s="603"/>
      <c r="L53" s="603"/>
      <c r="M53" s="603"/>
      <c r="N53" s="603"/>
      <c r="O53" s="603"/>
      <c r="P53" s="603"/>
      <c r="Q53" s="603"/>
      <c r="R53" s="603"/>
      <c r="S53" s="603"/>
      <c r="T53" s="603"/>
      <c r="U53" s="603"/>
      <c r="V53" s="603"/>
      <c r="W53" s="603"/>
      <c r="X53" s="603"/>
      <c r="Y53" s="603"/>
      <c r="Z53" s="603"/>
      <c r="AA53" s="603"/>
      <c r="AB53" s="603"/>
      <c r="AC53" s="603"/>
      <c r="AD53" s="603"/>
      <c r="AE53" s="603"/>
      <c r="AF53" s="603"/>
    </row>
    <row r="54" spans="1:32" ht="17.45">
      <c r="A54" s="603"/>
      <c r="B54" s="603"/>
      <c r="C54" s="603"/>
      <c r="D54" s="603"/>
      <c r="E54" s="603"/>
      <c r="F54" s="603"/>
      <c r="G54" s="603"/>
      <c r="H54" s="603"/>
      <c r="I54" s="603"/>
      <c r="J54" s="603"/>
      <c r="K54" s="603"/>
      <c r="L54" s="603"/>
      <c r="M54" s="603"/>
      <c r="N54" s="603"/>
      <c r="O54" s="603"/>
      <c r="P54" s="603"/>
      <c r="Q54" s="603"/>
      <c r="R54" s="603"/>
      <c r="S54" s="603"/>
      <c r="T54" s="603"/>
      <c r="U54" s="603"/>
      <c r="V54" s="603"/>
      <c r="W54" s="603"/>
      <c r="X54" s="603"/>
      <c r="Y54" s="603"/>
      <c r="Z54" s="603"/>
      <c r="AA54" s="603"/>
      <c r="AB54" s="603"/>
      <c r="AC54" s="603"/>
      <c r="AD54" s="603"/>
      <c r="AE54" s="603"/>
      <c r="AF54" s="603"/>
    </row>
    <row r="55" spans="1:32" ht="17.4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3"/>
      <c r="Y55" s="603"/>
      <c r="Z55" s="603"/>
      <c r="AA55" s="603"/>
      <c r="AB55" s="603"/>
      <c r="AC55" s="603"/>
      <c r="AD55" s="603"/>
      <c r="AE55" s="603"/>
      <c r="AF55" s="603"/>
    </row>
    <row r="56" spans="1:32" ht="17.45">
      <c r="A56" s="603"/>
      <c r="B56" s="603"/>
      <c r="C56" s="603"/>
      <c r="D56" s="603"/>
      <c r="E56" s="603"/>
      <c r="F56" s="603"/>
      <c r="G56" s="603"/>
      <c r="H56" s="603"/>
      <c r="I56" s="603"/>
      <c r="J56" s="603"/>
      <c r="K56" s="603"/>
      <c r="L56" s="603"/>
      <c r="M56" s="603"/>
      <c r="N56" s="603"/>
      <c r="O56" s="603"/>
      <c r="P56" s="603"/>
      <c r="Q56" s="603"/>
      <c r="R56" s="603"/>
      <c r="S56" s="603"/>
      <c r="T56" s="603"/>
      <c r="U56" s="603"/>
      <c r="V56" s="603"/>
      <c r="W56" s="603"/>
      <c r="X56" s="603"/>
      <c r="Y56" s="603"/>
      <c r="Z56" s="603"/>
      <c r="AA56" s="603"/>
      <c r="AB56" s="603"/>
      <c r="AC56" s="603"/>
      <c r="AD56" s="603"/>
      <c r="AE56" s="603"/>
      <c r="AF56" s="603"/>
    </row>
    <row r="57" spans="1:32" ht="17.45">
      <c r="A57" s="603"/>
      <c r="B57" s="603"/>
      <c r="C57" s="603"/>
      <c r="D57" s="603"/>
      <c r="E57" s="603"/>
      <c r="F57" s="603"/>
      <c r="G57" s="603"/>
      <c r="H57" s="603"/>
      <c r="I57" s="603"/>
      <c r="J57" s="603"/>
      <c r="K57" s="603"/>
      <c r="L57" s="603"/>
      <c r="M57" s="603"/>
      <c r="N57" s="603"/>
      <c r="O57" s="603"/>
      <c r="P57" s="603"/>
      <c r="Q57" s="603"/>
      <c r="R57" s="603"/>
      <c r="S57" s="603"/>
      <c r="T57" s="603"/>
      <c r="U57" s="603"/>
      <c r="V57" s="603"/>
      <c r="W57" s="603"/>
      <c r="X57" s="603"/>
      <c r="Y57" s="603"/>
      <c r="Z57" s="603"/>
      <c r="AA57" s="603"/>
      <c r="AB57" s="603"/>
      <c r="AC57" s="603"/>
      <c r="AD57" s="603"/>
      <c r="AE57" s="603"/>
      <c r="AF57" s="603"/>
    </row>
    <row r="58" spans="1:32" ht="17.45">
      <c r="A58" s="603"/>
      <c r="B58" s="603"/>
      <c r="C58" s="603"/>
      <c r="D58" s="603"/>
      <c r="E58" s="603"/>
      <c r="F58" s="603"/>
      <c r="G58" s="603"/>
      <c r="H58" s="603"/>
      <c r="I58" s="603"/>
      <c r="J58" s="603"/>
      <c r="K58" s="603"/>
      <c r="L58" s="603"/>
      <c r="M58" s="603"/>
      <c r="N58" s="603"/>
      <c r="O58" s="603"/>
      <c r="P58" s="603"/>
      <c r="Q58" s="603"/>
      <c r="R58" s="603"/>
      <c r="S58" s="603"/>
      <c r="T58" s="603"/>
      <c r="U58" s="603"/>
      <c r="V58" s="603"/>
      <c r="W58" s="603"/>
      <c r="X58" s="603"/>
      <c r="Y58" s="603"/>
      <c r="Z58" s="603"/>
      <c r="AA58" s="603"/>
      <c r="AB58" s="603"/>
      <c r="AC58" s="603"/>
      <c r="AD58" s="603"/>
      <c r="AE58" s="603"/>
      <c r="AF58" s="603"/>
    </row>
    <row r="59" spans="1:32" ht="17.45">
      <c r="A59" s="603"/>
      <c r="B59" s="603"/>
      <c r="C59" s="603"/>
      <c r="D59" s="603"/>
      <c r="E59" s="603"/>
      <c r="F59" s="603"/>
      <c r="G59" s="603"/>
      <c r="H59" s="603"/>
      <c r="I59" s="603"/>
      <c r="J59" s="603"/>
      <c r="K59" s="603"/>
      <c r="L59" s="603"/>
      <c r="M59" s="603"/>
      <c r="N59" s="603"/>
      <c r="O59" s="603"/>
      <c r="P59" s="603"/>
      <c r="Q59" s="603"/>
      <c r="R59" s="603"/>
      <c r="S59" s="603"/>
      <c r="T59" s="603"/>
      <c r="U59" s="603"/>
      <c r="V59" s="603"/>
      <c r="W59" s="603"/>
      <c r="X59" s="603"/>
      <c r="Y59" s="603"/>
      <c r="Z59" s="603"/>
      <c r="AA59" s="603"/>
      <c r="AB59" s="603"/>
      <c r="AC59" s="603"/>
      <c r="AD59" s="603"/>
      <c r="AE59" s="603"/>
      <c r="AF59" s="603"/>
    </row>
    <row r="60" spans="1:32" ht="17.45">
      <c r="A60" s="603"/>
      <c r="B60" s="603"/>
      <c r="C60" s="603"/>
      <c r="D60" s="603"/>
      <c r="E60" s="603"/>
      <c r="F60" s="603"/>
      <c r="G60" s="603"/>
      <c r="H60" s="603"/>
      <c r="I60" s="603"/>
      <c r="J60" s="603"/>
      <c r="K60" s="603"/>
      <c r="L60" s="603"/>
      <c r="M60" s="603"/>
      <c r="N60" s="603"/>
      <c r="O60" s="603"/>
      <c r="P60" s="603"/>
      <c r="Q60" s="603"/>
      <c r="R60" s="603"/>
      <c r="S60" s="603"/>
      <c r="T60" s="603"/>
      <c r="U60" s="603"/>
      <c r="V60" s="603"/>
      <c r="W60" s="603"/>
      <c r="X60" s="603"/>
      <c r="Y60" s="603"/>
      <c r="Z60" s="603"/>
      <c r="AA60" s="603"/>
      <c r="AB60" s="603"/>
      <c r="AC60" s="603"/>
      <c r="AD60" s="603"/>
      <c r="AE60" s="603"/>
      <c r="AF60" s="603"/>
    </row>
    <row r="61" spans="1:32" ht="17.45">
      <c r="A61" s="603"/>
      <c r="B61" s="603"/>
      <c r="C61" s="603"/>
      <c r="D61" s="603"/>
      <c r="E61" s="603"/>
      <c r="F61" s="603"/>
      <c r="G61" s="603"/>
      <c r="H61" s="603"/>
      <c r="I61" s="603"/>
      <c r="J61" s="603"/>
      <c r="K61" s="603"/>
      <c r="L61" s="603"/>
      <c r="M61" s="603"/>
      <c r="N61" s="603"/>
      <c r="O61" s="603"/>
      <c r="P61" s="603"/>
      <c r="Q61" s="603"/>
      <c r="R61" s="603"/>
      <c r="S61" s="603"/>
      <c r="T61" s="603"/>
      <c r="U61" s="603"/>
      <c r="V61" s="603"/>
      <c r="W61" s="603"/>
      <c r="X61" s="603"/>
      <c r="Y61" s="603"/>
      <c r="Z61" s="603"/>
      <c r="AA61" s="603"/>
      <c r="AB61" s="603"/>
      <c r="AC61" s="603"/>
      <c r="AD61" s="603"/>
      <c r="AE61" s="603"/>
      <c r="AF61" s="603"/>
    </row>
    <row r="62" spans="1:32" ht="17.45">
      <c r="A62" s="603"/>
      <c r="B62" s="603"/>
      <c r="C62" s="603"/>
      <c r="D62" s="603"/>
      <c r="E62" s="603"/>
      <c r="F62" s="603"/>
      <c r="G62" s="603"/>
      <c r="H62" s="603"/>
      <c r="I62" s="603"/>
      <c r="J62" s="603"/>
      <c r="K62" s="603"/>
      <c r="L62" s="603"/>
      <c r="M62" s="603"/>
      <c r="N62" s="603"/>
      <c r="O62" s="603"/>
      <c r="P62" s="603"/>
      <c r="Q62" s="603"/>
      <c r="R62" s="603"/>
      <c r="S62" s="603"/>
      <c r="T62" s="603"/>
      <c r="U62" s="603"/>
      <c r="V62" s="603"/>
      <c r="W62" s="603"/>
      <c r="X62" s="603"/>
      <c r="Y62" s="603"/>
      <c r="Z62" s="603"/>
      <c r="AA62" s="603"/>
      <c r="AB62" s="603"/>
      <c r="AC62" s="603"/>
      <c r="AD62" s="603"/>
      <c r="AE62" s="603"/>
      <c r="AF62" s="603"/>
    </row>
    <row r="63" spans="1:32" ht="17.45">
      <c r="A63" s="603"/>
      <c r="B63" s="603"/>
      <c r="C63" s="603"/>
      <c r="D63" s="603"/>
      <c r="E63" s="603"/>
      <c r="F63" s="603"/>
      <c r="G63" s="603"/>
      <c r="H63" s="603"/>
      <c r="I63" s="603"/>
      <c r="J63" s="603"/>
      <c r="K63" s="603"/>
      <c r="L63" s="603"/>
      <c r="M63" s="603"/>
      <c r="N63" s="603"/>
      <c r="O63" s="603"/>
      <c r="P63" s="603"/>
      <c r="Q63" s="603"/>
      <c r="R63" s="603"/>
      <c r="S63" s="603"/>
      <c r="T63" s="603"/>
      <c r="U63" s="603"/>
      <c r="V63" s="603"/>
      <c r="W63" s="603"/>
      <c r="X63" s="603"/>
      <c r="Y63" s="603"/>
      <c r="Z63" s="603"/>
      <c r="AA63" s="603"/>
      <c r="AB63" s="603"/>
      <c r="AC63" s="603"/>
      <c r="AD63" s="603"/>
      <c r="AE63" s="603"/>
      <c r="AF63" s="603"/>
    </row>
    <row r="64" spans="1:32" ht="17.45">
      <c r="A64" s="603"/>
      <c r="B64" s="603"/>
      <c r="C64" s="603"/>
      <c r="D64" s="603"/>
      <c r="E64" s="603"/>
      <c r="F64" s="603"/>
      <c r="G64" s="603"/>
      <c r="H64" s="603"/>
      <c r="I64" s="603"/>
      <c r="J64" s="603"/>
      <c r="K64" s="603"/>
      <c r="L64" s="603"/>
      <c r="M64" s="603"/>
      <c r="N64" s="603"/>
      <c r="O64" s="603"/>
      <c r="P64" s="603"/>
      <c r="Q64" s="603"/>
      <c r="R64" s="603"/>
      <c r="S64" s="603"/>
      <c r="T64" s="603"/>
      <c r="U64" s="603"/>
      <c r="V64" s="603"/>
      <c r="W64" s="603"/>
      <c r="X64" s="603"/>
      <c r="Y64" s="603"/>
      <c r="Z64" s="603"/>
      <c r="AA64" s="603"/>
      <c r="AB64" s="603"/>
      <c r="AC64" s="603"/>
      <c r="AD64" s="603"/>
      <c r="AE64" s="603"/>
      <c r="AF64" s="603"/>
    </row>
    <row r="65" spans="1:32" ht="17.45">
      <c r="A65" s="603"/>
      <c r="B65" s="603"/>
      <c r="C65" s="603"/>
      <c r="D65" s="603"/>
      <c r="E65" s="603"/>
      <c r="F65" s="603"/>
      <c r="G65" s="603"/>
      <c r="H65" s="603"/>
      <c r="I65" s="603"/>
      <c r="J65" s="603"/>
      <c r="K65" s="603"/>
      <c r="L65" s="603"/>
      <c r="M65" s="603"/>
      <c r="N65" s="603"/>
      <c r="O65" s="603"/>
      <c r="P65" s="603"/>
      <c r="Q65" s="603"/>
      <c r="R65" s="603"/>
      <c r="S65" s="603"/>
      <c r="T65" s="603"/>
      <c r="U65" s="603"/>
      <c r="V65" s="603"/>
      <c r="W65" s="603"/>
      <c r="X65" s="603"/>
      <c r="Y65" s="603"/>
      <c r="Z65" s="603"/>
      <c r="AA65" s="603"/>
      <c r="AB65" s="603"/>
      <c r="AC65" s="603"/>
      <c r="AD65" s="603"/>
      <c r="AE65" s="603"/>
      <c r="AF65" s="603"/>
    </row>
    <row r="66" spans="1:32" ht="17.45">
      <c r="A66" s="603"/>
      <c r="B66" s="603"/>
      <c r="C66" s="603"/>
      <c r="D66" s="603"/>
      <c r="E66" s="603"/>
      <c r="F66" s="603"/>
      <c r="G66" s="603"/>
      <c r="H66" s="603"/>
      <c r="I66" s="603"/>
      <c r="J66" s="603"/>
      <c r="K66" s="603"/>
      <c r="L66" s="603"/>
      <c r="M66" s="603"/>
      <c r="N66" s="603"/>
      <c r="O66" s="603"/>
      <c r="P66" s="603"/>
      <c r="Q66" s="603"/>
      <c r="R66" s="603"/>
      <c r="S66" s="603"/>
      <c r="T66" s="603"/>
      <c r="U66" s="603"/>
      <c r="V66" s="603"/>
      <c r="W66" s="603"/>
      <c r="X66" s="603"/>
      <c r="Y66" s="603"/>
      <c r="Z66" s="603"/>
      <c r="AA66" s="603"/>
      <c r="AB66" s="603"/>
      <c r="AC66" s="603"/>
      <c r="AD66" s="603"/>
      <c r="AE66" s="603"/>
      <c r="AF66" s="603"/>
    </row>
    <row r="67" spans="1:32" ht="17.45">
      <c r="A67" s="603"/>
      <c r="B67" s="603"/>
      <c r="C67" s="603"/>
      <c r="D67" s="603"/>
      <c r="E67" s="603"/>
      <c r="F67" s="603"/>
      <c r="G67" s="603"/>
      <c r="H67" s="603"/>
      <c r="I67" s="603"/>
      <c r="J67" s="603"/>
      <c r="K67" s="603"/>
      <c r="L67" s="603"/>
      <c r="M67" s="603"/>
      <c r="N67" s="603"/>
      <c r="O67" s="603"/>
      <c r="P67" s="603"/>
      <c r="Q67" s="603"/>
      <c r="R67" s="603"/>
      <c r="S67" s="603"/>
      <c r="T67" s="603"/>
      <c r="U67" s="603"/>
      <c r="V67" s="603"/>
      <c r="W67" s="603"/>
      <c r="X67" s="603"/>
      <c r="Y67" s="603"/>
      <c r="Z67" s="603"/>
      <c r="AA67" s="603"/>
      <c r="AB67" s="603"/>
      <c r="AC67" s="603"/>
      <c r="AD67" s="603"/>
      <c r="AE67" s="603"/>
      <c r="AF67" s="603"/>
    </row>
    <row r="68" spans="1:32" ht="17.45">
      <c r="A68" s="603"/>
      <c r="B68" s="603"/>
      <c r="C68" s="603"/>
      <c r="D68" s="603"/>
      <c r="E68" s="603"/>
      <c r="F68" s="603"/>
      <c r="G68" s="603"/>
      <c r="H68" s="603"/>
      <c r="I68" s="603"/>
      <c r="J68" s="603"/>
      <c r="K68" s="603"/>
      <c r="L68" s="603"/>
      <c r="M68" s="603"/>
      <c r="N68" s="603"/>
      <c r="O68" s="603"/>
      <c r="P68" s="603"/>
      <c r="Q68" s="603"/>
      <c r="R68" s="603"/>
      <c r="S68" s="603"/>
      <c r="T68" s="603"/>
      <c r="U68" s="603"/>
      <c r="V68" s="603"/>
      <c r="W68" s="603"/>
      <c r="X68" s="603"/>
      <c r="Y68" s="603"/>
      <c r="Z68" s="603"/>
      <c r="AA68" s="603"/>
      <c r="AB68" s="603"/>
      <c r="AC68" s="603"/>
      <c r="AD68" s="603"/>
      <c r="AE68" s="603"/>
      <c r="AF68" s="603"/>
    </row>
    <row r="69" spans="1:32" ht="17.45">
      <c r="A69" s="603"/>
      <c r="B69" s="603"/>
      <c r="C69" s="603"/>
      <c r="D69" s="603"/>
      <c r="E69" s="603"/>
      <c r="F69" s="603"/>
      <c r="G69" s="603"/>
      <c r="H69" s="603"/>
      <c r="I69" s="603"/>
      <c r="J69" s="603"/>
      <c r="K69" s="603"/>
      <c r="L69" s="603"/>
      <c r="M69" s="603"/>
      <c r="N69" s="603"/>
      <c r="O69" s="603"/>
      <c r="P69" s="603"/>
      <c r="Q69" s="603"/>
      <c r="R69" s="603"/>
      <c r="S69" s="603"/>
      <c r="T69" s="603"/>
      <c r="U69" s="603"/>
      <c r="V69" s="603"/>
      <c r="W69" s="603"/>
      <c r="X69" s="603"/>
      <c r="Y69" s="603"/>
      <c r="Z69" s="603"/>
      <c r="AA69" s="603"/>
      <c r="AB69" s="603"/>
      <c r="AC69" s="603"/>
      <c r="AD69" s="603"/>
      <c r="AE69" s="603"/>
      <c r="AF69" s="603"/>
    </row>
    <row r="70" spans="1:32" ht="17.45">
      <c r="A70" s="603"/>
      <c r="B70" s="603"/>
      <c r="C70" s="603"/>
      <c r="D70" s="603"/>
      <c r="E70" s="603"/>
      <c r="F70" s="603"/>
      <c r="G70" s="603"/>
      <c r="H70" s="603"/>
      <c r="I70" s="603"/>
      <c r="J70" s="603"/>
      <c r="K70" s="603"/>
      <c r="L70" s="603"/>
      <c r="M70" s="603"/>
      <c r="N70" s="603"/>
      <c r="O70" s="603"/>
      <c r="P70" s="603"/>
      <c r="Q70" s="603"/>
      <c r="R70" s="603"/>
      <c r="S70" s="603"/>
      <c r="T70" s="603"/>
      <c r="U70" s="603"/>
      <c r="V70" s="603"/>
      <c r="W70" s="603"/>
      <c r="X70" s="603"/>
      <c r="Y70" s="603"/>
      <c r="Z70" s="603"/>
      <c r="AA70" s="603"/>
      <c r="AB70" s="603"/>
      <c r="AC70" s="603"/>
      <c r="AD70" s="603"/>
      <c r="AE70" s="603"/>
      <c r="AF70" s="603"/>
    </row>
    <row r="71" spans="1:32" ht="17.45">
      <c r="A71" s="603"/>
      <c r="B71" s="603"/>
      <c r="C71" s="603"/>
      <c r="D71" s="603"/>
      <c r="E71" s="603"/>
      <c r="F71" s="603"/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  <c r="R71" s="603"/>
      <c r="S71" s="603"/>
      <c r="T71" s="603"/>
      <c r="U71" s="603"/>
      <c r="V71" s="603"/>
      <c r="W71" s="603"/>
      <c r="X71" s="603"/>
      <c r="Y71" s="603"/>
      <c r="Z71" s="603"/>
      <c r="AA71" s="603"/>
      <c r="AB71" s="603"/>
      <c r="AC71" s="603"/>
      <c r="AD71" s="603"/>
      <c r="AE71" s="603"/>
      <c r="AF71" s="603"/>
    </row>
    <row r="72" spans="1:32" ht="17.45">
      <c r="A72" s="603"/>
      <c r="B72" s="603"/>
      <c r="C72" s="603"/>
      <c r="D72" s="603"/>
      <c r="E72" s="603"/>
      <c r="F72" s="603"/>
      <c r="G72" s="603"/>
      <c r="H72" s="603"/>
      <c r="I72" s="603"/>
      <c r="J72" s="603"/>
      <c r="K72" s="603"/>
      <c r="L72" s="603"/>
      <c r="M72" s="603"/>
      <c r="N72" s="603"/>
      <c r="O72" s="603"/>
      <c r="P72" s="603"/>
      <c r="Q72" s="603"/>
      <c r="R72" s="603"/>
      <c r="S72" s="603"/>
      <c r="T72" s="603"/>
      <c r="U72" s="603"/>
      <c r="V72" s="603"/>
      <c r="W72" s="603"/>
      <c r="X72" s="603"/>
      <c r="Y72" s="603"/>
      <c r="Z72" s="603"/>
      <c r="AA72" s="603"/>
      <c r="AB72" s="603"/>
      <c r="AC72" s="603"/>
      <c r="AD72" s="603"/>
      <c r="AE72" s="603"/>
      <c r="AF72" s="603"/>
    </row>
    <row r="73" spans="1:32" ht="17.45">
      <c r="A73" s="603"/>
      <c r="B73" s="603"/>
      <c r="C73" s="603"/>
      <c r="D73" s="603"/>
      <c r="E73" s="603"/>
      <c r="F73" s="603"/>
      <c r="G73" s="603"/>
      <c r="H73" s="603"/>
      <c r="I73" s="603"/>
      <c r="J73" s="603"/>
      <c r="K73" s="603"/>
      <c r="L73" s="603"/>
      <c r="M73" s="603"/>
      <c r="N73" s="603"/>
      <c r="O73" s="603"/>
      <c r="P73" s="603"/>
      <c r="Q73" s="603"/>
      <c r="R73" s="603"/>
      <c r="S73" s="603"/>
      <c r="T73" s="603"/>
      <c r="U73" s="603"/>
      <c r="V73" s="603"/>
      <c r="W73" s="603"/>
      <c r="X73" s="603"/>
      <c r="Y73" s="603"/>
      <c r="Z73" s="603"/>
      <c r="AA73" s="603"/>
      <c r="AB73" s="603"/>
      <c r="AC73" s="603"/>
      <c r="AD73" s="603"/>
      <c r="AE73" s="603"/>
      <c r="AF73" s="603"/>
    </row>
    <row r="74" spans="1:32" ht="17.45">
      <c r="A74" s="603"/>
      <c r="B74" s="603"/>
      <c r="C74" s="603"/>
      <c r="D74" s="603"/>
      <c r="E74" s="603"/>
      <c r="F74" s="603"/>
      <c r="G74" s="603"/>
      <c r="H74" s="603"/>
      <c r="I74" s="603"/>
      <c r="J74" s="603"/>
      <c r="K74" s="603"/>
      <c r="L74" s="603"/>
      <c r="M74" s="603"/>
      <c r="N74" s="603"/>
      <c r="O74" s="603"/>
      <c r="P74" s="603"/>
      <c r="Q74" s="603"/>
      <c r="R74" s="603"/>
      <c r="S74" s="603"/>
      <c r="T74" s="603"/>
      <c r="U74" s="603"/>
      <c r="V74" s="603"/>
      <c r="W74" s="603"/>
      <c r="X74" s="603"/>
      <c r="Y74" s="603"/>
      <c r="Z74" s="603"/>
      <c r="AA74" s="603"/>
      <c r="AB74" s="603"/>
      <c r="AC74" s="603"/>
      <c r="AD74" s="603"/>
      <c r="AE74" s="603"/>
      <c r="AF74" s="603"/>
    </row>
    <row r="75" spans="1:32" ht="17.45">
      <c r="A75" s="603"/>
      <c r="B75" s="603"/>
      <c r="C75" s="603"/>
      <c r="D75" s="603"/>
      <c r="E75" s="603"/>
      <c r="F75" s="603"/>
      <c r="G75" s="603"/>
      <c r="H75" s="603"/>
      <c r="I75" s="603"/>
      <c r="J75" s="603"/>
      <c r="K75" s="603"/>
      <c r="L75" s="603"/>
      <c r="M75" s="603"/>
      <c r="N75" s="603"/>
      <c r="O75" s="603"/>
      <c r="P75" s="603"/>
      <c r="Q75" s="603"/>
      <c r="R75" s="603"/>
      <c r="S75" s="603"/>
      <c r="T75" s="603"/>
      <c r="U75" s="603"/>
      <c r="V75" s="603"/>
      <c r="W75" s="603"/>
      <c r="X75" s="603"/>
      <c r="Y75" s="603"/>
      <c r="Z75" s="603"/>
      <c r="AA75" s="603"/>
      <c r="AB75" s="603"/>
      <c r="AC75" s="603"/>
      <c r="AD75" s="603"/>
      <c r="AE75" s="603"/>
      <c r="AF75" s="603"/>
    </row>
    <row r="76" spans="1:32" ht="17.45">
      <c r="A76" s="603"/>
      <c r="B76" s="603"/>
      <c r="C76" s="603"/>
      <c r="D76" s="603"/>
      <c r="E76" s="603"/>
      <c r="F76" s="603"/>
      <c r="G76" s="603"/>
      <c r="H76" s="603"/>
      <c r="I76" s="603"/>
      <c r="J76" s="603"/>
      <c r="K76" s="603"/>
      <c r="L76" s="603"/>
      <c r="M76" s="603"/>
      <c r="N76" s="603"/>
      <c r="O76" s="603"/>
      <c r="P76" s="603"/>
      <c r="Q76" s="603"/>
      <c r="R76" s="603"/>
      <c r="S76" s="603"/>
      <c r="T76" s="603"/>
      <c r="U76" s="603"/>
      <c r="V76" s="603"/>
      <c r="W76" s="603"/>
      <c r="X76" s="603"/>
      <c r="Y76" s="603"/>
      <c r="Z76" s="603"/>
      <c r="AA76" s="603"/>
      <c r="AB76" s="603"/>
      <c r="AC76" s="603"/>
      <c r="AD76" s="603"/>
      <c r="AE76" s="603"/>
      <c r="AF76" s="603"/>
    </row>
    <row r="77" spans="1:32" ht="17.45">
      <c r="A77" s="603"/>
      <c r="B77" s="603"/>
      <c r="C77" s="603"/>
      <c r="D77" s="603"/>
      <c r="E77" s="603"/>
      <c r="F77" s="603"/>
      <c r="G77" s="603"/>
      <c r="H77" s="603"/>
      <c r="I77" s="603"/>
      <c r="J77" s="603"/>
      <c r="K77" s="603"/>
      <c r="L77" s="603"/>
      <c r="M77" s="603"/>
      <c r="N77" s="603"/>
      <c r="O77" s="603"/>
      <c r="P77" s="603"/>
      <c r="Q77" s="603"/>
      <c r="R77" s="603"/>
      <c r="S77" s="603"/>
      <c r="T77" s="603"/>
      <c r="U77" s="603"/>
      <c r="V77" s="603"/>
      <c r="W77" s="603"/>
      <c r="X77" s="603"/>
      <c r="Y77" s="603"/>
      <c r="Z77" s="603"/>
      <c r="AA77" s="603"/>
      <c r="AB77" s="603"/>
      <c r="AC77" s="603"/>
      <c r="AD77" s="603"/>
      <c r="AE77" s="603"/>
      <c r="AF77" s="603"/>
    </row>
    <row r="78" spans="1:32" ht="17.45">
      <c r="A78" s="603"/>
      <c r="B78" s="603"/>
      <c r="C78" s="603"/>
      <c r="D78" s="603"/>
      <c r="E78" s="603"/>
      <c r="F78" s="603"/>
      <c r="G78" s="603"/>
      <c r="H78" s="603"/>
      <c r="I78" s="603"/>
      <c r="J78" s="603"/>
      <c r="K78" s="603"/>
      <c r="L78" s="603"/>
      <c r="M78" s="603"/>
      <c r="N78" s="603"/>
      <c r="O78" s="603"/>
      <c r="P78" s="603"/>
      <c r="Q78" s="603"/>
      <c r="R78" s="603"/>
      <c r="S78" s="603"/>
      <c r="T78" s="603"/>
      <c r="U78" s="603"/>
      <c r="V78" s="603"/>
      <c r="W78" s="603"/>
      <c r="X78" s="603"/>
      <c r="Y78" s="603"/>
      <c r="Z78" s="603"/>
      <c r="AA78" s="603"/>
      <c r="AB78" s="603"/>
      <c r="AC78" s="603"/>
      <c r="AD78" s="603"/>
      <c r="AE78" s="603"/>
      <c r="AF78" s="603"/>
    </row>
    <row r="79" spans="1:32" ht="17.45">
      <c r="A79" s="603"/>
      <c r="B79" s="603"/>
      <c r="C79" s="603"/>
      <c r="D79" s="603"/>
      <c r="E79" s="603"/>
      <c r="F79" s="603"/>
      <c r="G79" s="603"/>
      <c r="H79" s="603"/>
      <c r="I79" s="603"/>
      <c r="J79" s="603"/>
      <c r="K79" s="603"/>
      <c r="L79" s="603"/>
      <c r="M79" s="603"/>
      <c r="N79" s="603"/>
      <c r="O79" s="603"/>
      <c r="P79" s="603"/>
      <c r="Q79" s="603"/>
      <c r="R79" s="603"/>
      <c r="S79" s="603"/>
      <c r="T79" s="603"/>
      <c r="U79" s="603"/>
      <c r="V79" s="603"/>
      <c r="W79" s="603"/>
      <c r="X79" s="603"/>
      <c r="Y79" s="603"/>
      <c r="Z79" s="603"/>
      <c r="AA79" s="603"/>
      <c r="AB79" s="603"/>
      <c r="AC79" s="603"/>
      <c r="AD79" s="603"/>
      <c r="AE79" s="603"/>
      <c r="AF79" s="603"/>
    </row>
    <row r="80" spans="1:32" ht="17.45">
      <c r="A80" s="603"/>
      <c r="B80" s="603"/>
      <c r="C80" s="603"/>
      <c r="D80" s="603"/>
      <c r="E80" s="603"/>
      <c r="F80" s="603"/>
      <c r="G80" s="603"/>
      <c r="H80" s="603"/>
      <c r="I80" s="603"/>
      <c r="J80" s="603"/>
      <c r="K80" s="603"/>
      <c r="L80" s="603"/>
      <c r="M80" s="603"/>
      <c r="N80" s="603"/>
      <c r="O80" s="603"/>
      <c r="P80" s="603"/>
      <c r="Q80" s="603"/>
      <c r="R80" s="603"/>
      <c r="S80" s="603"/>
      <c r="T80" s="603"/>
      <c r="U80" s="603"/>
      <c r="V80" s="603"/>
      <c r="W80" s="603"/>
      <c r="X80" s="603"/>
      <c r="Y80" s="603"/>
      <c r="Z80" s="603"/>
      <c r="AA80" s="603"/>
      <c r="AB80" s="603"/>
      <c r="AC80" s="603"/>
      <c r="AD80" s="603"/>
      <c r="AE80" s="603"/>
      <c r="AF80" s="603"/>
    </row>
    <row r="81" spans="1:32" ht="17.45">
      <c r="A81" s="603"/>
      <c r="B81" s="603"/>
      <c r="C81" s="603"/>
      <c r="D81" s="603"/>
      <c r="E81" s="603"/>
      <c r="F81" s="603"/>
      <c r="G81" s="603"/>
      <c r="H81" s="603"/>
      <c r="I81" s="603"/>
      <c r="J81" s="603"/>
      <c r="K81" s="603"/>
      <c r="L81" s="603"/>
      <c r="M81" s="603"/>
      <c r="N81" s="603"/>
      <c r="O81" s="603"/>
      <c r="P81" s="603"/>
      <c r="Q81" s="603"/>
      <c r="R81" s="603"/>
      <c r="S81" s="603"/>
      <c r="T81" s="603"/>
      <c r="U81" s="603"/>
      <c r="V81" s="603"/>
      <c r="W81" s="603"/>
      <c r="X81" s="603"/>
      <c r="Y81" s="603"/>
      <c r="Z81" s="603"/>
      <c r="AA81" s="603"/>
      <c r="AB81" s="603"/>
      <c r="AC81" s="603"/>
      <c r="AD81" s="603"/>
      <c r="AE81" s="603"/>
      <c r="AF81" s="603"/>
    </row>
    <row r="82" spans="1:32" ht="17.45">
      <c r="A82" s="603"/>
      <c r="B82" s="603"/>
      <c r="C82" s="603"/>
      <c r="D82" s="603"/>
      <c r="E82" s="603"/>
      <c r="F82" s="603"/>
      <c r="G82" s="603"/>
      <c r="H82" s="603"/>
      <c r="I82" s="603"/>
      <c r="J82" s="603"/>
      <c r="K82" s="603"/>
      <c r="L82" s="603"/>
      <c r="M82" s="603"/>
      <c r="N82" s="603"/>
      <c r="O82" s="603"/>
      <c r="P82" s="603"/>
      <c r="Q82" s="603"/>
      <c r="R82" s="603"/>
      <c r="S82" s="603"/>
      <c r="T82" s="603"/>
      <c r="U82" s="603"/>
      <c r="V82" s="603"/>
      <c r="W82" s="603"/>
      <c r="X82" s="603"/>
      <c r="Y82" s="603"/>
      <c r="Z82" s="603"/>
      <c r="AA82" s="603"/>
      <c r="AB82" s="603"/>
      <c r="AC82" s="603"/>
      <c r="AD82" s="603"/>
      <c r="AE82" s="603"/>
      <c r="AF82" s="603"/>
    </row>
    <row r="83" spans="1:32" ht="17.45">
      <c r="A83" s="603"/>
      <c r="B83" s="603"/>
      <c r="C83" s="603"/>
      <c r="D83" s="603"/>
      <c r="E83" s="603"/>
      <c r="F83" s="603"/>
      <c r="G83" s="603"/>
      <c r="H83" s="603"/>
      <c r="I83" s="603"/>
      <c r="J83" s="603"/>
      <c r="K83" s="603"/>
      <c r="L83" s="603"/>
      <c r="M83" s="603"/>
      <c r="N83" s="603"/>
      <c r="O83" s="603"/>
      <c r="P83" s="603"/>
      <c r="Q83" s="603"/>
      <c r="R83" s="603"/>
      <c r="S83" s="603"/>
      <c r="T83" s="603"/>
      <c r="U83" s="603"/>
      <c r="V83" s="603"/>
      <c r="W83" s="603"/>
      <c r="X83" s="603"/>
      <c r="Y83" s="603"/>
      <c r="Z83" s="603"/>
      <c r="AA83" s="603"/>
      <c r="AB83" s="603"/>
      <c r="AC83" s="603"/>
      <c r="AD83" s="603"/>
      <c r="AE83" s="603"/>
      <c r="AF83" s="603"/>
    </row>
    <row r="84" spans="1:32" ht="17.45">
      <c r="A84" s="603"/>
      <c r="B84" s="603"/>
      <c r="C84" s="603"/>
      <c r="D84" s="603"/>
      <c r="E84" s="603"/>
      <c r="F84" s="603"/>
      <c r="G84" s="603"/>
      <c r="H84" s="603"/>
      <c r="I84" s="603"/>
      <c r="J84" s="603"/>
      <c r="K84" s="603"/>
      <c r="L84" s="603"/>
      <c r="M84" s="603"/>
      <c r="N84" s="603"/>
      <c r="O84" s="603"/>
      <c r="P84" s="603"/>
      <c r="Q84" s="603"/>
      <c r="R84" s="603"/>
      <c r="S84" s="603"/>
      <c r="T84" s="603"/>
      <c r="U84" s="603"/>
      <c r="V84" s="603"/>
      <c r="W84" s="603"/>
      <c r="X84" s="603"/>
      <c r="Y84" s="603"/>
      <c r="Z84" s="603"/>
      <c r="AA84" s="603"/>
      <c r="AB84" s="603"/>
      <c r="AC84" s="603"/>
      <c r="AD84" s="603"/>
      <c r="AE84" s="603"/>
      <c r="AF84" s="603"/>
    </row>
    <row r="85" spans="1:32" ht="17.45">
      <c r="A85" s="603"/>
      <c r="B85" s="603"/>
      <c r="C85" s="603"/>
      <c r="D85" s="603"/>
      <c r="E85" s="603"/>
      <c r="F85" s="603"/>
      <c r="G85" s="603"/>
      <c r="H85" s="603"/>
      <c r="I85" s="603"/>
      <c r="J85" s="603"/>
      <c r="K85" s="603"/>
      <c r="L85" s="603"/>
      <c r="M85" s="603"/>
      <c r="N85" s="603"/>
      <c r="O85" s="603"/>
      <c r="P85" s="603"/>
      <c r="Q85" s="603"/>
      <c r="R85" s="603"/>
      <c r="S85" s="603"/>
      <c r="T85" s="603"/>
      <c r="U85" s="603"/>
      <c r="V85" s="603"/>
      <c r="W85" s="603"/>
      <c r="X85" s="603"/>
      <c r="Y85" s="603"/>
      <c r="Z85" s="603"/>
      <c r="AA85" s="603"/>
      <c r="AB85" s="603"/>
      <c r="AC85" s="603"/>
      <c r="AD85" s="603"/>
      <c r="AE85" s="603"/>
      <c r="AF85" s="603"/>
    </row>
    <row r="86" spans="1:32" ht="17.45">
      <c r="A86" s="603"/>
      <c r="B86" s="603"/>
      <c r="C86" s="603"/>
      <c r="D86" s="603"/>
      <c r="E86" s="603"/>
      <c r="F86" s="603"/>
      <c r="G86" s="603"/>
      <c r="H86" s="603"/>
      <c r="I86" s="603"/>
      <c r="J86" s="603"/>
      <c r="K86" s="603"/>
      <c r="L86" s="603"/>
      <c r="M86" s="603"/>
      <c r="N86" s="603"/>
      <c r="O86" s="603"/>
      <c r="P86" s="603"/>
      <c r="Q86" s="603"/>
      <c r="R86" s="603"/>
      <c r="S86" s="603"/>
      <c r="T86" s="603"/>
      <c r="U86" s="603"/>
      <c r="V86" s="603"/>
      <c r="W86" s="603"/>
      <c r="X86" s="603"/>
      <c r="Y86" s="603"/>
      <c r="Z86" s="603"/>
      <c r="AA86" s="603"/>
      <c r="AB86" s="603"/>
      <c r="AC86" s="603"/>
      <c r="AD86" s="603"/>
      <c r="AE86" s="603"/>
      <c r="AF86" s="603"/>
    </row>
    <row r="87" spans="1:32" ht="17.45">
      <c r="A87" s="603"/>
      <c r="B87" s="603"/>
      <c r="C87" s="603"/>
      <c r="D87" s="603"/>
      <c r="E87" s="603"/>
      <c r="F87" s="603"/>
      <c r="G87" s="603"/>
      <c r="H87" s="603"/>
      <c r="I87" s="603"/>
      <c r="J87" s="603"/>
      <c r="K87" s="603"/>
      <c r="L87" s="603"/>
      <c r="M87" s="603"/>
      <c r="N87" s="603"/>
      <c r="O87" s="603"/>
      <c r="P87" s="603"/>
      <c r="Q87" s="603"/>
      <c r="R87" s="603"/>
      <c r="S87" s="603"/>
      <c r="T87" s="603"/>
      <c r="U87" s="603"/>
      <c r="V87" s="603"/>
      <c r="W87" s="603"/>
      <c r="X87" s="603"/>
      <c r="Y87" s="603"/>
      <c r="Z87" s="603"/>
      <c r="AA87" s="603"/>
      <c r="AB87" s="603"/>
      <c r="AC87" s="603"/>
      <c r="AD87" s="603"/>
      <c r="AE87" s="603"/>
      <c r="AF87" s="603"/>
    </row>
    <row r="88" spans="1:32" ht="17.45">
      <c r="A88" s="603"/>
      <c r="B88" s="603"/>
      <c r="C88" s="603"/>
      <c r="D88" s="603"/>
      <c r="E88" s="603"/>
      <c r="F88" s="603"/>
      <c r="G88" s="603"/>
      <c r="H88" s="603"/>
      <c r="I88" s="603"/>
      <c r="J88" s="603"/>
      <c r="K88" s="603"/>
      <c r="L88" s="603"/>
      <c r="M88" s="603"/>
      <c r="N88" s="603"/>
      <c r="O88" s="603"/>
      <c r="P88" s="603"/>
      <c r="Q88" s="603"/>
      <c r="R88" s="603"/>
      <c r="S88" s="603"/>
      <c r="T88" s="603"/>
      <c r="U88" s="603"/>
      <c r="V88" s="603"/>
      <c r="W88" s="603"/>
      <c r="X88" s="603"/>
      <c r="Y88" s="603"/>
      <c r="Z88" s="603"/>
      <c r="AA88" s="603"/>
      <c r="AB88" s="603"/>
      <c r="AC88" s="603"/>
      <c r="AD88" s="603"/>
      <c r="AE88" s="603"/>
      <c r="AF88" s="60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A53D-4DAE-4F48-BCAD-FB9E6B4D761C}">
  <dimension ref="A1:AF88"/>
  <sheetViews>
    <sheetView topLeftCell="E17" zoomScaleNormal="100" zoomScaleSheetLayoutView="100" workbookViewId="0">
      <selection activeCell="F39" sqref="F39"/>
    </sheetView>
  </sheetViews>
  <sheetFormatPr defaultColWidth="8.42578125" defaultRowHeight="14.45"/>
  <cols>
    <col min="1" max="1" width="3" style="442" customWidth="1"/>
    <col min="2" max="2" width="21" style="442" customWidth="1"/>
    <col min="3" max="9" width="23.7109375" style="442" customWidth="1"/>
    <col min="10" max="10" width="24.42578125" style="442" customWidth="1"/>
    <col min="11" max="11" width="1.7109375" style="442" customWidth="1"/>
    <col min="12" max="12" width="33" style="442" customWidth="1"/>
    <col min="13" max="14" width="23.28515625" style="442" customWidth="1"/>
    <col min="15" max="16384" width="8.42578125" style="442"/>
  </cols>
  <sheetData>
    <row r="1" spans="1:32" ht="19.899999999999999" thickBot="1">
      <c r="A1" s="697"/>
      <c r="B1" s="697"/>
      <c r="C1" s="443" t="s">
        <v>0</v>
      </c>
      <c r="D1" s="450">
        <v>205.45</v>
      </c>
      <c r="E1" s="697"/>
      <c r="F1" s="698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</row>
    <row r="2" spans="1:32" ht="19.899999999999999" thickBot="1">
      <c r="A2" s="697"/>
      <c r="B2" s="444" t="s">
        <v>117</v>
      </c>
      <c r="C2" s="699" t="s">
        <v>1</v>
      </c>
      <c r="D2" s="700">
        <f>J8+J16+J24+J32+J40+J48</f>
        <v>192.3</v>
      </c>
      <c r="E2" s="701" t="s">
        <v>2</v>
      </c>
      <c r="F2" s="702">
        <f>J9+J17+J25+J33+J41+J49</f>
        <v>0</v>
      </c>
      <c r="G2" s="701" t="s">
        <v>3</v>
      </c>
      <c r="H2" s="702">
        <f>J10+J18+J26+J34+J42+J50</f>
        <v>0</v>
      </c>
      <c r="I2" s="703"/>
      <c r="J2" s="704" t="s">
        <v>4</v>
      </c>
      <c r="K2" s="705"/>
      <c r="L2" s="704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  <c r="Y2" s="697"/>
      <c r="Z2" s="697"/>
      <c r="AA2" s="697"/>
      <c r="AB2" s="697"/>
      <c r="AC2" s="697"/>
      <c r="AD2" s="697"/>
      <c r="AE2" s="697"/>
      <c r="AF2" s="697"/>
    </row>
    <row r="3" spans="1:32" ht="19.899999999999999" thickBot="1">
      <c r="A3" s="697"/>
      <c r="B3" s="706" t="s">
        <v>5</v>
      </c>
      <c r="C3" s="445" t="s">
        <v>6</v>
      </c>
      <c r="D3" s="446" t="s">
        <v>7</v>
      </c>
      <c r="E3" s="447" t="s">
        <v>8</v>
      </c>
      <c r="F3" s="448" t="s">
        <v>9</v>
      </c>
      <c r="G3" s="446" t="s">
        <v>10</v>
      </c>
      <c r="H3" s="446" t="s">
        <v>11</v>
      </c>
      <c r="I3" s="449" t="s">
        <v>12</v>
      </c>
      <c r="J3" s="704" t="s">
        <v>13</v>
      </c>
      <c r="K3" s="707"/>
      <c r="L3" s="704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  <c r="Z3" s="697"/>
      <c r="AA3" s="697"/>
      <c r="AB3" s="697"/>
      <c r="AC3" s="697"/>
      <c r="AD3" s="697"/>
      <c r="AE3" s="697"/>
      <c r="AF3" s="697"/>
    </row>
    <row r="4" spans="1:32" ht="19.899999999999999" thickBot="1">
      <c r="A4" s="697"/>
      <c r="B4" s="708" t="s">
        <v>14</v>
      </c>
      <c r="C4" s="709" t="s">
        <v>4</v>
      </c>
      <c r="D4" s="709" t="s">
        <v>4</v>
      </c>
      <c r="E4" s="709" t="s">
        <v>4</v>
      </c>
      <c r="F4" s="709">
        <v>1</v>
      </c>
      <c r="G4" s="709">
        <v>2</v>
      </c>
      <c r="H4" s="710">
        <v>3</v>
      </c>
      <c r="I4" s="711">
        <v>4</v>
      </c>
      <c r="J4" s="704" t="s">
        <v>15</v>
      </c>
      <c r="K4" s="707"/>
      <c r="L4" s="712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7"/>
      <c r="X4" s="697"/>
      <c r="Y4" s="697"/>
      <c r="Z4" s="697"/>
      <c r="AA4" s="697"/>
      <c r="AB4" s="697"/>
      <c r="AC4" s="697"/>
      <c r="AD4" s="697"/>
      <c r="AE4" s="697"/>
      <c r="AF4" s="697"/>
    </row>
    <row r="5" spans="1:32" ht="19.149999999999999">
      <c r="A5" s="697"/>
      <c r="B5" s="713" t="s">
        <v>16</v>
      </c>
      <c r="C5" s="714"/>
      <c r="D5" s="715"/>
      <c r="E5" s="716"/>
      <c r="F5" s="715" t="s">
        <v>39</v>
      </c>
      <c r="G5" s="715" t="s">
        <v>118</v>
      </c>
      <c r="H5" s="715" t="s">
        <v>41</v>
      </c>
      <c r="I5" s="717" t="s">
        <v>50</v>
      </c>
      <c r="J5" s="704" t="s">
        <v>17</v>
      </c>
      <c r="K5" s="707"/>
      <c r="L5" s="718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  <c r="Y5" s="697"/>
      <c r="Z5" s="697"/>
      <c r="AA5" s="697"/>
      <c r="AB5" s="697"/>
      <c r="AC5" s="697"/>
      <c r="AD5" s="697"/>
      <c r="AE5" s="697"/>
      <c r="AF5" s="697"/>
    </row>
    <row r="6" spans="1:32" ht="19.899999999999999" thickBot="1">
      <c r="A6" s="697"/>
      <c r="B6" s="719" t="s">
        <v>18</v>
      </c>
      <c r="C6" s="720" t="s">
        <v>4</v>
      </c>
      <c r="D6" s="720" t="s">
        <v>4</v>
      </c>
      <c r="E6" s="721" t="s">
        <v>4</v>
      </c>
      <c r="F6" s="721">
        <v>0.7</v>
      </c>
      <c r="G6" s="722">
        <v>0.79</v>
      </c>
      <c r="H6" s="723">
        <v>0.87</v>
      </c>
      <c r="I6" s="724">
        <v>0.94</v>
      </c>
      <c r="J6" s="725"/>
      <c r="K6" s="707"/>
      <c r="L6" s="697"/>
      <c r="M6" s="697"/>
      <c r="N6" s="697"/>
      <c r="O6" s="697"/>
      <c r="P6" s="697"/>
      <c r="Q6" s="697"/>
      <c r="R6" s="697"/>
      <c r="S6" s="697"/>
      <c r="T6" s="697"/>
      <c r="U6" s="697"/>
      <c r="V6" s="697"/>
      <c r="W6" s="697"/>
      <c r="X6" s="697"/>
      <c r="Y6" s="697"/>
      <c r="Z6" s="697"/>
      <c r="AA6" s="697"/>
      <c r="AB6" s="697"/>
      <c r="AC6" s="697"/>
      <c r="AD6" s="697"/>
      <c r="AE6" s="697"/>
      <c r="AF6" s="697"/>
    </row>
    <row r="7" spans="1:32" ht="19.149999999999999">
      <c r="A7" s="697"/>
      <c r="B7" s="713" t="s">
        <v>19</v>
      </c>
      <c r="C7" s="726"/>
      <c r="D7" s="727"/>
      <c r="E7" s="728"/>
      <c r="F7" s="727" t="s">
        <v>42</v>
      </c>
      <c r="G7" s="727" t="s">
        <v>52</v>
      </c>
      <c r="H7" s="727" t="s">
        <v>54</v>
      </c>
      <c r="I7" s="727" t="s">
        <v>108</v>
      </c>
      <c r="J7" s="729" t="s">
        <v>20</v>
      </c>
      <c r="K7" s="707"/>
      <c r="L7" s="730"/>
      <c r="M7" s="697"/>
      <c r="N7" s="697"/>
      <c r="O7" s="697"/>
      <c r="P7" s="697"/>
      <c r="Q7" s="697"/>
      <c r="R7" s="697"/>
      <c r="S7" s="697"/>
      <c r="T7" s="697"/>
      <c r="U7" s="697"/>
      <c r="V7" s="697"/>
      <c r="W7" s="697"/>
      <c r="X7" s="697"/>
      <c r="Y7" s="697"/>
      <c r="Z7" s="697"/>
      <c r="AA7" s="697"/>
      <c r="AB7" s="697"/>
      <c r="AC7" s="697"/>
      <c r="AD7" s="697"/>
      <c r="AE7" s="697"/>
      <c r="AF7" s="697"/>
    </row>
    <row r="8" spans="1:32" ht="19.149999999999999">
      <c r="A8" s="697"/>
      <c r="B8" s="708" t="s">
        <v>21</v>
      </c>
      <c r="C8" s="731"/>
      <c r="D8" s="732"/>
      <c r="E8" s="733"/>
      <c r="F8" s="732" t="s">
        <v>119</v>
      </c>
      <c r="G8" s="732">
        <v>6.4</v>
      </c>
      <c r="H8" s="732">
        <v>3.3</v>
      </c>
      <c r="I8" s="703" t="s">
        <v>120</v>
      </c>
      <c r="J8" s="734" cm="1">
        <f t="array" ref="J8">SUM(IF(ISNUMBER(C8:I8), C8:I8, 0))</f>
        <v>9.6999999999999993</v>
      </c>
      <c r="K8" s="707"/>
      <c r="L8" s="735" t="s">
        <v>22</v>
      </c>
      <c r="M8" s="697"/>
      <c r="N8" s="697"/>
      <c r="O8" s="697"/>
      <c r="P8" s="697"/>
      <c r="Q8" s="697"/>
      <c r="R8" s="697"/>
      <c r="S8" s="697"/>
      <c r="T8" s="697"/>
      <c r="U8" s="697"/>
      <c r="V8" s="697"/>
      <c r="W8" s="697"/>
      <c r="X8" s="697"/>
      <c r="Y8" s="697"/>
      <c r="Z8" s="697"/>
      <c r="AA8" s="697"/>
      <c r="AB8" s="697"/>
      <c r="AC8" s="697"/>
      <c r="AD8" s="697"/>
      <c r="AE8" s="697"/>
      <c r="AF8" s="697"/>
    </row>
    <row r="9" spans="1:32" ht="19.149999999999999">
      <c r="A9" s="697"/>
      <c r="B9" s="708" t="s">
        <v>23</v>
      </c>
      <c r="C9" s="731"/>
      <c r="D9" s="732"/>
      <c r="E9" s="733"/>
      <c r="F9" s="732">
        <v>0</v>
      </c>
      <c r="G9" s="732">
        <v>0</v>
      </c>
      <c r="H9" s="732">
        <v>0</v>
      </c>
      <c r="I9" s="703">
        <v>0</v>
      </c>
      <c r="J9" s="734" cm="1">
        <f t="array" ref="J9">SUM(IF(ISNUMBER(B9:I9), B9:I9, 0))</f>
        <v>0</v>
      </c>
      <c r="K9" s="707"/>
      <c r="L9" s="735" t="s">
        <v>24</v>
      </c>
      <c r="M9" s="697"/>
      <c r="N9" s="697"/>
      <c r="O9" s="697"/>
      <c r="P9" s="697"/>
      <c r="Q9" s="697"/>
      <c r="R9" s="697"/>
      <c r="S9" s="697"/>
      <c r="T9" s="697"/>
      <c r="U9" s="697"/>
      <c r="V9" s="697"/>
      <c r="W9" s="697"/>
      <c r="X9" s="697"/>
      <c r="Y9" s="697"/>
      <c r="Z9" s="697"/>
      <c r="AA9" s="697"/>
      <c r="AB9" s="697"/>
      <c r="AC9" s="697"/>
      <c r="AD9" s="697"/>
      <c r="AE9" s="697"/>
      <c r="AF9" s="697"/>
    </row>
    <row r="10" spans="1:32" ht="19.899999999999999" thickBot="1">
      <c r="A10" s="697"/>
      <c r="B10" s="708" t="s">
        <v>25</v>
      </c>
      <c r="C10" s="731"/>
      <c r="D10" s="732"/>
      <c r="E10" s="733"/>
      <c r="F10" s="732">
        <v>0</v>
      </c>
      <c r="G10" s="732">
        <v>0</v>
      </c>
      <c r="H10" s="732">
        <v>0</v>
      </c>
      <c r="I10" s="736" t="s">
        <v>75</v>
      </c>
      <c r="J10" s="737" cm="1">
        <f t="array" ref="J10">SUM(IF(ISNUMBER(B10:I10), B10:I10, 0))</f>
        <v>0</v>
      </c>
      <c r="K10" s="707"/>
      <c r="L10" s="735" t="s">
        <v>26</v>
      </c>
      <c r="M10" s="697"/>
      <c r="N10" s="697"/>
      <c r="O10" s="697"/>
      <c r="P10" s="697"/>
      <c r="Q10" s="697"/>
      <c r="R10" s="697"/>
      <c r="S10" s="697"/>
      <c r="T10" s="697"/>
      <c r="U10" s="697"/>
      <c r="V10" s="697"/>
      <c r="W10" s="697"/>
      <c r="X10" s="697"/>
      <c r="Y10" s="697"/>
      <c r="Z10" s="697"/>
      <c r="AA10" s="697"/>
      <c r="AB10" s="697"/>
      <c r="AC10" s="697"/>
      <c r="AD10" s="697"/>
      <c r="AE10" s="697"/>
      <c r="AF10" s="697"/>
    </row>
    <row r="11" spans="1:32" ht="19.899999999999999" thickBot="1">
      <c r="A11" s="697"/>
      <c r="B11" s="738" t="s">
        <v>27</v>
      </c>
      <c r="C11" s="739" t="s">
        <v>4</v>
      </c>
      <c r="D11" s="740" t="s">
        <v>4</v>
      </c>
      <c r="E11" s="741" t="s">
        <v>4</v>
      </c>
      <c r="F11" s="742" t="s">
        <v>121</v>
      </c>
      <c r="G11" s="743" t="s">
        <v>122</v>
      </c>
      <c r="H11" s="744" t="s">
        <v>123</v>
      </c>
      <c r="I11" s="745" t="s">
        <v>124</v>
      </c>
      <c r="J11" s="737">
        <v>7.33</v>
      </c>
      <c r="K11" s="707"/>
      <c r="L11" s="735" t="s">
        <v>28</v>
      </c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7"/>
      <c r="Z11" s="697"/>
      <c r="AA11" s="697"/>
      <c r="AB11" s="697"/>
      <c r="AC11" s="697"/>
      <c r="AD11" s="697"/>
      <c r="AE11" s="697"/>
      <c r="AF11" s="697"/>
    </row>
    <row r="12" spans="1:32" ht="19.899999999999999" thickBot="1">
      <c r="A12" s="697"/>
      <c r="B12" s="697" t="s">
        <v>4</v>
      </c>
      <c r="C12" s="746">
        <v>5</v>
      </c>
      <c r="D12" s="746">
        <v>6</v>
      </c>
      <c r="E12" s="746">
        <v>7</v>
      </c>
      <c r="F12" s="747">
        <v>8</v>
      </c>
      <c r="G12" s="748">
        <v>9</v>
      </c>
      <c r="H12" s="749">
        <v>10</v>
      </c>
      <c r="I12" s="711">
        <v>11</v>
      </c>
      <c r="J12" s="750"/>
      <c r="K12" s="707"/>
      <c r="L12" s="751"/>
      <c r="M12" s="697"/>
      <c r="N12" s="697"/>
      <c r="O12" s="697"/>
      <c r="P12" s="697"/>
      <c r="Q12" s="697"/>
      <c r="R12" s="697"/>
      <c r="S12" s="697"/>
      <c r="T12" s="697"/>
      <c r="U12" s="697"/>
      <c r="V12" s="697"/>
      <c r="W12" s="697"/>
      <c r="X12" s="697"/>
      <c r="Y12" s="697"/>
      <c r="Z12" s="697"/>
      <c r="AA12" s="697"/>
      <c r="AB12" s="697"/>
      <c r="AC12" s="697"/>
      <c r="AD12" s="697"/>
      <c r="AE12" s="697"/>
      <c r="AF12" s="697"/>
    </row>
    <row r="13" spans="1:32" ht="19.149999999999999">
      <c r="A13" s="697"/>
      <c r="B13" s="697"/>
      <c r="C13" s="726"/>
      <c r="D13" s="727"/>
      <c r="E13" s="727" t="s">
        <v>125</v>
      </c>
      <c r="F13" s="715" t="s">
        <v>77</v>
      </c>
      <c r="G13" s="727" t="s">
        <v>51</v>
      </c>
      <c r="H13" s="715" t="s">
        <v>77</v>
      </c>
      <c r="I13" s="752" t="s">
        <v>41</v>
      </c>
      <c r="J13" s="750"/>
      <c r="K13" s="707"/>
      <c r="L13" s="751"/>
      <c r="M13" s="697"/>
      <c r="N13" s="697"/>
      <c r="O13" s="697"/>
      <c r="P13" s="697"/>
      <c r="Q13" s="697"/>
      <c r="R13" s="697"/>
      <c r="S13" s="697"/>
      <c r="T13" s="697"/>
      <c r="U13" s="697"/>
      <c r="V13" s="697"/>
      <c r="W13" s="697"/>
      <c r="X13" s="697"/>
      <c r="Y13" s="697"/>
      <c r="Z13" s="697"/>
      <c r="AA13" s="697"/>
      <c r="AB13" s="697"/>
      <c r="AC13" s="697"/>
      <c r="AD13" s="697"/>
      <c r="AE13" s="697"/>
      <c r="AF13" s="697"/>
    </row>
    <row r="14" spans="1:32" ht="19.899999999999999" thickBot="1">
      <c r="A14" s="697"/>
      <c r="B14" s="697"/>
      <c r="C14" s="753">
        <v>0.98</v>
      </c>
      <c r="D14" s="723">
        <v>1</v>
      </c>
      <c r="E14" s="720">
        <v>0.99</v>
      </c>
      <c r="F14" s="721">
        <v>0.95</v>
      </c>
      <c r="G14" s="721">
        <v>0.88</v>
      </c>
      <c r="H14" s="754">
        <v>0.8</v>
      </c>
      <c r="I14" s="755">
        <v>0.7</v>
      </c>
      <c r="J14" s="707"/>
      <c r="K14" s="707"/>
      <c r="L14" s="751"/>
      <c r="M14" s="697"/>
      <c r="N14" s="697"/>
      <c r="O14" s="697"/>
      <c r="P14" s="697"/>
      <c r="Q14" s="697"/>
      <c r="R14" s="697"/>
      <c r="S14" s="697"/>
      <c r="T14" s="697"/>
      <c r="U14" s="697"/>
      <c r="V14" s="697"/>
      <c r="W14" s="697"/>
      <c r="X14" s="697"/>
      <c r="Y14" s="697"/>
      <c r="Z14" s="697"/>
      <c r="AA14" s="697"/>
      <c r="AB14" s="697"/>
      <c r="AC14" s="697"/>
      <c r="AD14" s="697"/>
      <c r="AE14" s="697"/>
      <c r="AF14" s="697"/>
    </row>
    <row r="15" spans="1:32" ht="19.149999999999999">
      <c r="A15" s="697"/>
      <c r="B15" s="697"/>
      <c r="C15" s="726" t="s">
        <v>50</v>
      </c>
      <c r="D15" s="727" t="s">
        <v>52</v>
      </c>
      <c r="E15" s="727" t="s">
        <v>52</v>
      </c>
      <c r="F15" s="727" t="s">
        <v>42</v>
      </c>
      <c r="G15" s="727" t="s">
        <v>108</v>
      </c>
      <c r="H15" s="756" t="s">
        <v>42</v>
      </c>
      <c r="I15" s="757" t="s">
        <v>42</v>
      </c>
      <c r="J15" s="729" t="s">
        <v>29</v>
      </c>
      <c r="K15" s="707"/>
      <c r="L15" s="751"/>
      <c r="M15" s="697"/>
      <c r="N15" s="697"/>
      <c r="O15" s="697"/>
      <c r="P15" s="697"/>
      <c r="Q15" s="697"/>
      <c r="R15" s="697"/>
      <c r="S15" s="697"/>
      <c r="T15" s="697"/>
      <c r="U15" s="697"/>
      <c r="V15" s="697"/>
      <c r="W15" s="697"/>
      <c r="X15" s="697"/>
      <c r="Y15" s="697"/>
      <c r="Z15" s="697"/>
      <c r="AA15" s="697"/>
      <c r="AB15" s="697"/>
      <c r="AC15" s="697"/>
      <c r="AD15" s="697"/>
      <c r="AE15" s="697"/>
      <c r="AF15" s="697"/>
    </row>
    <row r="16" spans="1:32" ht="19.149999999999999">
      <c r="A16" s="697"/>
      <c r="B16" s="697"/>
      <c r="C16" s="731" t="s">
        <v>126</v>
      </c>
      <c r="D16" s="732" t="s">
        <v>127</v>
      </c>
      <c r="E16" s="732" t="s">
        <v>128</v>
      </c>
      <c r="F16" s="732" t="s">
        <v>129</v>
      </c>
      <c r="G16" s="732">
        <v>3.3</v>
      </c>
      <c r="H16" s="732">
        <v>9.3000000000000007</v>
      </c>
      <c r="I16" s="703">
        <v>8.9</v>
      </c>
      <c r="J16" s="734" cm="1">
        <f t="array" ref="J16">SUM(IF(ISNUMBER(B16:I16), B16:I16, 0))</f>
        <v>21.5</v>
      </c>
      <c r="K16" s="707"/>
      <c r="L16" s="758" t="s">
        <v>22</v>
      </c>
      <c r="M16" s="697"/>
      <c r="N16" s="697"/>
      <c r="O16" s="697"/>
      <c r="P16" s="697"/>
      <c r="Q16" s="697"/>
      <c r="R16" s="697"/>
      <c r="S16" s="697"/>
      <c r="T16" s="697"/>
      <c r="U16" s="697"/>
      <c r="V16" s="697"/>
      <c r="W16" s="697"/>
      <c r="X16" s="697"/>
      <c r="Y16" s="697"/>
      <c r="Z16" s="697"/>
      <c r="AA16" s="697"/>
      <c r="AB16" s="697"/>
      <c r="AC16" s="697"/>
      <c r="AD16" s="697"/>
      <c r="AE16" s="697"/>
      <c r="AF16" s="697"/>
    </row>
    <row r="17" spans="1:32" ht="19.149999999999999">
      <c r="A17" s="697"/>
      <c r="B17" s="697"/>
      <c r="C17" s="731">
        <v>0</v>
      </c>
      <c r="D17" s="732">
        <v>0</v>
      </c>
      <c r="E17" s="732" t="s">
        <v>130</v>
      </c>
      <c r="F17" s="732">
        <v>0</v>
      </c>
      <c r="G17" s="732">
        <v>0</v>
      </c>
      <c r="H17" s="732">
        <v>0</v>
      </c>
      <c r="I17" s="703">
        <v>0</v>
      </c>
      <c r="J17" s="734" cm="1">
        <f t="array" ref="J17">SUM(IF(ISNUMBER(B17:I17), B17:I17, 0))</f>
        <v>0</v>
      </c>
      <c r="K17" s="707"/>
      <c r="L17" s="758" t="s">
        <v>24</v>
      </c>
      <c r="M17" s="697"/>
      <c r="N17" s="697"/>
      <c r="O17" s="697"/>
      <c r="P17" s="697"/>
      <c r="Q17" s="697"/>
      <c r="R17" s="697"/>
      <c r="S17" s="697"/>
      <c r="T17" s="697"/>
      <c r="U17" s="697"/>
      <c r="V17" s="697"/>
      <c r="W17" s="697"/>
      <c r="X17" s="697"/>
      <c r="Y17" s="697"/>
      <c r="Z17" s="697"/>
      <c r="AA17" s="697"/>
      <c r="AB17" s="697"/>
      <c r="AC17" s="697"/>
      <c r="AD17" s="697"/>
      <c r="AE17" s="697"/>
      <c r="AF17" s="697"/>
    </row>
    <row r="18" spans="1:32" ht="19.899999999999999" thickBot="1">
      <c r="A18" s="697"/>
      <c r="B18" s="697"/>
      <c r="C18" s="731">
        <v>0</v>
      </c>
      <c r="D18" s="732">
        <v>0</v>
      </c>
      <c r="E18" s="732">
        <v>0</v>
      </c>
      <c r="F18" s="732">
        <v>0</v>
      </c>
      <c r="G18" s="732">
        <v>0</v>
      </c>
      <c r="H18" s="732">
        <v>0</v>
      </c>
      <c r="I18" s="703">
        <v>0</v>
      </c>
      <c r="J18" s="737" cm="1">
        <f t="array" ref="J18">SUM(IF(ISNUMBER(B18:I18), B18:I18, 0))</f>
        <v>0</v>
      </c>
      <c r="K18" s="707"/>
      <c r="L18" s="758" t="s">
        <v>26</v>
      </c>
      <c r="M18" s="697"/>
      <c r="N18" s="697"/>
      <c r="O18" s="697"/>
      <c r="P18" s="697"/>
      <c r="Q18" s="697"/>
      <c r="R18" s="697"/>
      <c r="S18" s="697"/>
      <c r="T18" s="697"/>
      <c r="U18" s="697"/>
      <c r="V18" s="697"/>
      <c r="W18" s="697"/>
      <c r="X18" s="697"/>
      <c r="Y18" s="697"/>
      <c r="Z18" s="697"/>
      <c r="AA18" s="697"/>
      <c r="AB18" s="697"/>
      <c r="AC18" s="697"/>
      <c r="AD18" s="697"/>
      <c r="AE18" s="697"/>
      <c r="AF18" s="697"/>
    </row>
    <row r="19" spans="1:32" ht="19.899999999999999" thickBot="1">
      <c r="A19" s="697"/>
      <c r="B19" s="697"/>
      <c r="C19" s="759" t="s">
        <v>131</v>
      </c>
      <c r="D19" s="760" t="s">
        <v>132</v>
      </c>
      <c r="E19" s="740" t="s">
        <v>133</v>
      </c>
      <c r="F19" s="743" t="s">
        <v>134</v>
      </c>
      <c r="G19" s="761" t="s">
        <v>135</v>
      </c>
      <c r="H19" s="762" t="s">
        <v>136</v>
      </c>
      <c r="I19" s="745" t="s">
        <v>137</v>
      </c>
      <c r="J19" s="737">
        <v>28.15</v>
      </c>
      <c r="K19" s="707"/>
      <c r="L19" s="735" t="s">
        <v>28</v>
      </c>
      <c r="M19" s="697"/>
      <c r="N19" s="697"/>
      <c r="O19" s="697"/>
      <c r="P19" s="697"/>
      <c r="Q19" s="697"/>
      <c r="R19" s="697"/>
      <c r="S19" s="697"/>
      <c r="T19" s="697"/>
      <c r="U19" s="697"/>
      <c r="V19" s="697"/>
      <c r="W19" s="697"/>
      <c r="X19" s="697"/>
      <c r="Y19" s="697"/>
      <c r="Z19" s="697"/>
      <c r="AA19" s="697"/>
      <c r="AB19" s="697"/>
      <c r="AC19" s="697"/>
      <c r="AD19" s="697"/>
      <c r="AE19" s="697"/>
      <c r="AF19" s="697"/>
    </row>
    <row r="20" spans="1:32" ht="19.899999999999999" thickBot="1">
      <c r="A20" s="697"/>
      <c r="B20" s="697"/>
      <c r="C20" s="763">
        <v>12</v>
      </c>
      <c r="D20" s="763">
        <v>13</v>
      </c>
      <c r="E20" s="764">
        <v>14</v>
      </c>
      <c r="F20" s="765">
        <v>15</v>
      </c>
      <c r="G20" s="766">
        <v>16</v>
      </c>
      <c r="H20" s="766">
        <v>17</v>
      </c>
      <c r="I20" s="767">
        <v>18</v>
      </c>
      <c r="J20" s="750"/>
      <c r="K20" s="707"/>
      <c r="L20" s="751"/>
      <c r="M20" s="697"/>
      <c r="N20" s="697"/>
      <c r="O20" s="697"/>
      <c r="P20" s="697"/>
      <c r="Q20" s="697"/>
      <c r="R20" s="697"/>
      <c r="S20" s="697"/>
      <c r="T20" s="697"/>
      <c r="U20" s="697"/>
      <c r="V20" s="697"/>
      <c r="W20" s="697"/>
      <c r="X20" s="697"/>
      <c r="Y20" s="697"/>
      <c r="Z20" s="697"/>
      <c r="AA20" s="697"/>
      <c r="AB20" s="697"/>
      <c r="AC20" s="697"/>
      <c r="AD20" s="697"/>
      <c r="AE20" s="697"/>
      <c r="AF20" s="697"/>
    </row>
    <row r="21" spans="1:32" ht="19.149999999999999">
      <c r="A21" s="697"/>
      <c r="B21" s="697"/>
      <c r="C21" s="726" t="s">
        <v>50</v>
      </c>
      <c r="D21" s="727" t="s">
        <v>39</v>
      </c>
      <c r="E21" s="727" t="s">
        <v>138</v>
      </c>
      <c r="F21" s="727" t="s">
        <v>40</v>
      </c>
      <c r="G21" s="727" t="s">
        <v>62</v>
      </c>
      <c r="H21" s="727" t="s">
        <v>62</v>
      </c>
      <c r="I21" s="768" t="s">
        <v>41</v>
      </c>
      <c r="J21" s="750"/>
      <c r="K21" s="707"/>
      <c r="L21" s="751"/>
      <c r="M21" s="697"/>
      <c r="N21" s="697"/>
      <c r="O21" s="697"/>
      <c r="P21" s="697"/>
      <c r="Q21" s="697"/>
      <c r="R21" s="697"/>
      <c r="S21" s="697"/>
      <c r="T21" s="697"/>
      <c r="U21" s="697"/>
      <c r="V21" s="697"/>
      <c r="W21" s="697"/>
      <c r="X21" s="697"/>
      <c r="Y21" s="697"/>
      <c r="Z21" s="697"/>
      <c r="AA21" s="697"/>
      <c r="AB21" s="697"/>
      <c r="AC21" s="697"/>
      <c r="AD21" s="697"/>
      <c r="AE21" s="697"/>
      <c r="AF21" s="697"/>
    </row>
    <row r="22" spans="1:32" ht="19.899999999999999" thickBot="1">
      <c r="A22" s="697"/>
      <c r="B22" s="697"/>
      <c r="C22" s="769">
        <v>0.59</v>
      </c>
      <c r="D22" s="721">
        <v>0.47</v>
      </c>
      <c r="E22" s="721">
        <v>0.37</v>
      </c>
      <c r="F22" s="721">
        <v>0.27</v>
      </c>
      <c r="G22" s="722">
        <v>0.18</v>
      </c>
      <c r="H22" s="723">
        <v>0.11</v>
      </c>
      <c r="I22" s="724">
        <v>0.06</v>
      </c>
      <c r="J22" s="707"/>
      <c r="K22" s="707"/>
      <c r="L22" s="751"/>
      <c r="M22" s="697"/>
      <c r="N22" s="697"/>
      <c r="O22" s="697"/>
      <c r="P22" s="697"/>
      <c r="Q22" s="697"/>
      <c r="R22" s="697"/>
      <c r="S22" s="697"/>
      <c r="T22" s="697"/>
      <c r="U22" s="697"/>
      <c r="V22" s="697"/>
      <c r="W22" s="697"/>
      <c r="X22" s="697"/>
      <c r="Y22" s="697"/>
      <c r="Z22" s="697"/>
      <c r="AA22" s="697"/>
      <c r="AB22" s="697"/>
      <c r="AC22" s="697"/>
      <c r="AD22" s="697"/>
      <c r="AE22" s="697"/>
      <c r="AF22" s="697"/>
    </row>
    <row r="23" spans="1:32" ht="19.149999999999999">
      <c r="A23" s="697"/>
      <c r="B23" s="697"/>
      <c r="C23" s="726" t="s">
        <v>42</v>
      </c>
      <c r="D23" s="727" t="s">
        <v>51</v>
      </c>
      <c r="E23" s="727" t="s">
        <v>51</v>
      </c>
      <c r="F23" s="727" t="s">
        <v>50</v>
      </c>
      <c r="G23" s="727" t="s">
        <v>62</v>
      </c>
      <c r="H23" s="727" t="s">
        <v>62</v>
      </c>
      <c r="I23" s="752" t="s">
        <v>54</v>
      </c>
      <c r="J23" s="770" t="s">
        <v>30</v>
      </c>
      <c r="K23" s="707"/>
      <c r="L23" s="751"/>
      <c r="M23" s="697"/>
      <c r="N23" s="697"/>
      <c r="O23" s="697"/>
      <c r="P23" s="697"/>
      <c r="Q23" s="697"/>
      <c r="R23" s="697"/>
      <c r="S23" s="697"/>
      <c r="T23" s="697"/>
      <c r="U23" s="697"/>
      <c r="V23" s="697"/>
      <c r="W23" s="697"/>
      <c r="X23" s="697"/>
      <c r="Y23" s="697"/>
      <c r="Z23" s="697"/>
      <c r="AA23" s="697"/>
      <c r="AB23" s="697"/>
      <c r="AC23" s="697"/>
      <c r="AD23" s="697"/>
      <c r="AE23" s="697"/>
      <c r="AF23" s="697"/>
    </row>
    <row r="24" spans="1:32" ht="19.149999999999999">
      <c r="A24" s="697"/>
      <c r="B24" s="697"/>
      <c r="C24" s="731">
        <v>3.3</v>
      </c>
      <c r="D24" s="771" t="s">
        <v>139</v>
      </c>
      <c r="E24" s="732">
        <v>2.8</v>
      </c>
      <c r="F24" s="732">
        <v>10.199999999999999</v>
      </c>
      <c r="G24" s="732">
        <v>1</v>
      </c>
      <c r="H24" s="772">
        <v>7.2</v>
      </c>
      <c r="I24" s="773">
        <v>10.5</v>
      </c>
      <c r="J24" s="774" cm="1">
        <f t="array" ref="J24">SUM(IF(ISNUMBER(B24:I24), B24:I24, 0))</f>
        <v>35</v>
      </c>
      <c r="K24" s="707"/>
      <c r="L24" s="758" t="s">
        <v>22</v>
      </c>
      <c r="M24" s="697"/>
      <c r="N24" s="697"/>
      <c r="O24" s="697"/>
      <c r="P24" s="697"/>
      <c r="Q24" s="697"/>
      <c r="R24" s="697"/>
      <c r="S24" s="697"/>
      <c r="T24" s="697"/>
      <c r="U24" s="697"/>
      <c r="V24" s="697"/>
      <c r="W24" s="697"/>
      <c r="X24" s="697"/>
      <c r="Y24" s="697"/>
      <c r="Z24" s="697"/>
      <c r="AA24" s="697"/>
      <c r="AB24" s="697"/>
      <c r="AC24" s="697"/>
      <c r="AD24" s="697"/>
      <c r="AE24" s="697"/>
      <c r="AF24" s="697"/>
    </row>
    <row r="25" spans="1:32" ht="19.149999999999999">
      <c r="A25" s="697"/>
      <c r="B25" s="697"/>
      <c r="C25" s="731">
        <v>0</v>
      </c>
      <c r="D25" s="775" t="s">
        <v>75</v>
      </c>
      <c r="E25" s="732">
        <v>0</v>
      </c>
      <c r="F25" s="732">
        <v>0</v>
      </c>
      <c r="G25" s="732">
        <v>0</v>
      </c>
      <c r="H25" s="772">
        <v>0</v>
      </c>
      <c r="I25" s="773">
        <v>0</v>
      </c>
      <c r="J25" s="774" cm="1">
        <f t="array" ref="J25">SUM(IF(ISNUMBER(B25:I25), B25:I25, 0))</f>
        <v>0</v>
      </c>
      <c r="K25" s="707"/>
      <c r="L25" s="758" t="s">
        <v>24</v>
      </c>
      <c r="M25" s="697"/>
      <c r="N25" s="697"/>
      <c r="O25" s="697"/>
      <c r="P25" s="697"/>
      <c r="Q25" s="697"/>
      <c r="R25" s="697"/>
      <c r="S25" s="697"/>
      <c r="T25" s="697"/>
      <c r="U25" s="697"/>
      <c r="V25" s="697"/>
      <c r="W25" s="697"/>
      <c r="X25" s="697"/>
      <c r="Y25" s="697"/>
      <c r="Z25" s="697"/>
      <c r="AA25" s="697"/>
      <c r="AB25" s="697"/>
      <c r="AC25" s="697"/>
      <c r="AD25" s="697"/>
      <c r="AE25" s="697"/>
      <c r="AF25" s="697"/>
    </row>
    <row r="26" spans="1:32" ht="19.899999999999999" thickBot="1">
      <c r="A26" s="697"/>
      <c r="B26" s="697"/>
      <c r="C26" s="731">
        <v>0</v>
      </c>
      <c r="D26" s="772">
        <v>0</v>
      </c>
      <c r="E26" s="772">
        <v>0</v>
      </c>
      <c r="F26" s="772">
        <v>0</v>
      </c>
      <c r="G26" s="772">
        <v>0</v>
      </c>
      <c r="H26" s="772">
        <v>0</v>
      </c>
      <c r="I26" s="773">
        <v>0</v>
      </c>
      <c r="J26" s="776" cm="1">
        <f t="array" ref="J26">SUM(IF(ISNUMBER(B26:I26), B26:I26, 0))</f>
        <v>0</v>
      </c>
      <c r="K26" s="707"/>
      <c r="L26" s="758" t="s">
        <v>26</v>
      </c>
      <c r="M26" s="697"/>
      <c r="N26" s="697"/>
      <c r="O26" s="697"/>
      <c r="P26" s="697"/>
      <c r="Q26" s="697"/>
      <c r="R26" s="697"/>
      <c r="S26" s="697"/>
      <c r="T26" s="697"/>
      <c r="U26" s="697"/>
      <c r="V26" s="697"/>
      <c r="W26" s="697"/>
      <c r="X26" s="697"/>
      <c r="Y26" s="697"/>
      <c r="Z26" s="697"/>
      <c r="AA26" s="697"/>
      <c r="AB26" s="697"/>
      <c r="AC26" s="697"/>
      <c r="AD26" s="697"/>
      <c r="AE26" s="697"/>
      <c r="AF26" s="697"/>
    </row>
    <row r="27" spans="1:32" ht="19.899999999999999" thickBot="1">
      <c r="A27" s="697"/>
      <c r="B27" s="697"/>
      <c r="C27" s="777" t="s">
        <v>140</v>
      </c>
      <c r="D27" s="740" t="s">
        <v>141</v>
      </c>
      <c r="E27" s="740" t="s">
        <v>142</v>
      </c>
      <c r="F27" s="778" t="s">
        <v>143</v>
      </c>
      <c r="G27" s="740" t="s">
        <v>144</v>
      </c>
      <c r="H27" s="740" t="s">
        <v>145</v>
      </c>
      <c r="I27" s="779" t="s">
        <v>146</v>
      </c>
      <c r="J27" s="737">
        <v>70.930000000000007</v>
      </c>
      <c r="K27" s="707"/>
      <c r="L27" s="735" t="s">
        <v>28</v>
      </c>
      <c r="M27" s="697"/>
      <c r="N27" s="697"/>
      <c r="O27" s="697"/>
      <c r="P27" s="697"/>
      <c r="Q27" s="697"/>
      <c r="R27" s="697"/>
      <c r="S27" s="697"/>
      <c r="T27" s="697"/>
      <c r="U27" s="697"/>
      <c r="V27" s="697"/>
      <c r="W27" s="697"/>
      <c r="X27" s="697"/>
      <c r="Y27" s="697"/>
      <c r="Z27" s="697"/>
      <c r="AA27" s="697"/>
      <c r="AB27" s="697"/>
      <c r="AC27" s="697"/>
      <c r="AD27" s="697"/>
      <c r="AE27" s="697"/>
      <c r="AF27" s="697"/>
    </row>
    <row r="28" spans="1:32" ht="19.899999999999999" thickBot="1">
      <c r="A28" s="697"/>
      <c r="B28" s="697"/>
      <c r="C28" s="746">
        <v>19</v>
      </c>
      <c r="D28" s="746">
        <v>20</v>
      </c>
      <c r="E28" s="746">
        <v>21</v>
      </c>
      <c r="F28" s="746">
        <v>22</v>
      </c>
      <c r="G28" s="746">
        <v>23</v>
      </c>
      <c r="H28" s="746">
        <v>24</v>
      </c>
      <c r="I28" s="746">
        <v>25</v>
      </c>
      <c r="J28" s="780"/>
      <c r="K28" s="707"/>
      <c r="L28" s="751"/>
      <c r="M28" s="697"/>
      <c r="N28" s="697"/>
      <c r="O28" s="697"/>
      <c r="P28" s="697"/>
      <c r="Q28" s="697"/>
      <c r="R28" s="697"/>
      <c r="S28" s="697"/>
      <c r="T28" s="697"/>
      <c r="U28" s="697"/>
      <c r="V28" s="697"/>
      <c r="W28" s="697"/>
      <c r="X28" s="697"/>
      <c r="Y28" s="697"/>
      <c r="Z28" s="697"/>
      <c r="AA28" s="697"/>
      <c r="AB28" s="697"/>
      <c r="AC28" s="697"/>
      <c r="AD28" s="697"/>
      <c r="AE28" s="697"/>
      <c r="AF28" s="697"/>
    </row>
    <row r="29" spans="1:32" ht="19.149999999999999">
      <c r="A29" s="697"/>
      <c r="B29" s="697"/>
      <c r="C29" s="714" t="s">
        <v>49</v>
      </c>
      <c r="D29" s="715" t="s">
        <v>40</v>
      </c>
      <c r="E29" s="716" t="s">
        <v>51</v>
      </c>
      <c r="F29" s="715" t="s">
        <v>39</v>
      </c>
      <c r="G29" s="715" t="s">
        <v>40</v>
      </c>
      <c r="H29" s="715" t="s">
        <v>41</v>
      </c>
      <c r="I29" s="781" t="s">
        <v>40</v>
      </c>
      <c r="J29" s="750"/>
      <c r="K29" s="707"/>
      <c r="L29" s="751"/>
      <c r="M29" s="697"/>
      <c r="N29" s="697"/>
      <c r="O29" s="697"/>
      <c r="P29" s="697"/>
      <c r="Q29" s="697"/>
      <c r="R29" s="697"/>
      <c r="S29" s="697"/>
      <c r="T29" s="697"/>
      <c r="U29" s="697"/>
      <c r="V29" s="697"/>
      <c r="W29" s="697"/>
      <c r="X29" s="697"/>
      <c r="Y29" s="697"/>
      <c r="Z29" s="697"/>
      <c r="AA29" s="697"/>
      <c r="AB29" s="697"/>
      <c r="AC29" s="697"/>
      <c r="AD29" s="697"/>
      <c r="AE29" s="697"/>
      <c r="AF29" s="697"/>
    </row>
    <row r="30" spans="1:32" ht="19.899999999999999" thickBot="1">
      <c r="A30" s="697"/>
      <c r="B30" s="697"/>
      <c r="C30" s="769">
        <v>0.02</v>
      </c>
      <c r="D30" s="721">
        <v>0</v>
      </c>
      <c r="E30" s="721">
        <v>0</v>
      </c>
      <c r="F30" s="721">
        <v>0.02</v>
      </c>
      <c r="G30" s="721">
        <v>0.06</v>
      </c>
      <c r="H30" s="721">
        <v>0.11</v>
      </c>
      <c r="I30" s="724">
        <v>0.17</v>
      </c>
      <c r="J30" s="707"/>
      <c r="K30" s="707"/>
      <c r="L30" s="751"/>
      <c r="M30" s="697"/>
      <c r="N30" s="697"/>
      <c r="O30" s="697"/>
      <c r="P30" s="697"/>
      <c r="Q30" s="697"/>
      <c r="R30" s="697"/>
      <c r="S30" s="697"/>
      <c r="T30" s="697"/>
      <c r="U30" s="697"/>
      <c r="V30" s="697"/>
      <c r="W30" s="697"/>
      <c r="X30" s="697"/>
      <c r="Y30" s="697"/>
      <c r="Z30" s="697"/>
      <c r="AA30" s="697"/>
      <c r="AB30" s="697"/>
      <c r="AC30" s="697"/>
      <c r="AD30" s="697"/>
      <c r="AE30" s="697"/>
      <c r="AF30" s="697"/>
    </row>
    <row r="31" spans="1:32" ht="19.149999999999999">
      <c r="A31" s="697"/>
      <c r="B31" s="697"/>
      <c r="C31" s="726" t="s">
        <v>53</v>
      </c>
      <c r="D31" s="727" t="s">
        <v>53</v>
      </c>
      <c r="E31" s="727" t="s">
        <v>108</v>
      </c>
      <c r="F31" s="727" t="s">
        <v>62</v>
      </c>
      <c r="G31" s="727" t="s">
        <v>53</v>
      </c>
      <c r="H31" s="727" t="s">
        <v>54</v>
      </c>
      <c r="I31" s="768" t="s">
        <v>50</v>
      </c>
      <c r="J31" s="770" t="s">
        <v>31</v>
      </c>
      <c r="K31" s="707"/>
      <c r="L31" s="751"/>
      <c r="M31" s="697"/>
      <c r="N31" s="697"/>
      <c r="O31" s="697"/>
      <c r="P31" s="697"/>
      <c r="Q31" s="697"/>
      <c r="R31" s="697"/>
      <c r="S31" s="697"/>
      <c r="T31" s="697"/>
      <c r="U31" s="697"/>
      <c r="V31" s="697"/>
      <c r="W31" s="697"/>
      <c r="X31" s="697"/>
      <c r="Y31" s="697"/>
      <c r="Z31" s="697"/>
      <c r="AA31" s="697"/>
      <c r="AB31" s="697"/>
      <c r="AC31" s="697"/>
      <c r="AD31" s="697"/>
      <c r="AE31" s="697"/>
      <c r="AF31" s="697"/>
    </row>
    <row r="32" spans="1:32" ht="19.149999999999999">
      <c r="A32" s="697"/>
      <c r="B32" s="697"/>
      <c r="C32" s="731">
        <v>5.9</v>
      </c>
      <c r="D32" s="732">
        <v>10.199999999999999</v>
      </c>
      <c r="E32" s="732">
        <v>10.5</v>
      </c>
      <c r="F32" s="732">
        <v>4.7</v>
      </c>
      <c r="G32" s="732">
        <v>9.9</v>
      </c>
      <c r="H32" s="732">
        <v>11</v>
      </c>
      <c r="I32" s="782">
        <v>10.7</v>
      </c>
      <c r="J32" s="774" cm="1">
        <f t="array" ref="J32">SUM(IF(ISNUMBER(B32:I32), B32:I32, 0))</f>
        <v>62.900000000000006</v>
      </c>
      <c r="K32" s="707"/>
      <c r="L32" s="758" t="s">
        <v>22</v>
      </c>
      <c r="M32" s="697"/>
      <c r="N32" s="697"/>
      <c r="O32" s="697"/>
      <c r="P32" s="697"/>
      <c r="Q32" s="697"/>
      <c r="R32" s="697"/>
      <c r="S32" s="697"/>
      <c r="T32" s="697"/>
      <c r="U32" s="697"/>
      <c r="V32" s="697"/>
      <c r="W32" s="697"/>
      <c r="X32" s="697"/>
      <c r="Y32" s="697"/>
      <c r="Z32" s="697"/>
      <c r="AA32" s="697"/>
      <c r="AB32" s="697"/>
      <c r="AC32" s="697"/>
      <c r="AD32" s="697"/>
      <c r="AE32" s="697"/>
      <c r="AF32" s="697"/>
    </row>
    <row r="33" spans="1:32" ht="19.149999999999999">
      <c r="A33" s="697"/>
      <c r="B33" s="697"/>
      <c r="C33" s="731">
        <v>0</v>
      </c>
      <c r="D33" s="732">
        <v>0</v>
      </c>
      <c r="E33" s="732">
        <v>0</v>
      </c>
      <c r="F33" s="732">
        <v>0</v>
      </c>
      <c r="G33" s="703">
        <v>0</v>
      </c>
      <c r="H33" s="732">
        <v>0</v>
      </c>
      <c r="I33" s="782">
        <v>0</v>
      </c>
      <c r="J33" s="774" cm="1">
        <f t="array" ref="J33">SUM(IF(ISNUMBER(B33:I33), B33:I33, 0))</f>
        <v>0</v>
      </c>
      <c r="K33" s="707"/>
      <c r="L33" s="758" t="s">
        <v>24</v>
      </c>
      <c r="M33" s="697"/>
      <c r="N33" s="697"/>
      <c r="O33" s="697"/>
      <c r="P33" s="697"/>
      <c r="Q33" s="697"/>
      <c r="R33" s="697"/>
      <c r="S33" s="697"/>
      <c r="T33" s="697"/>
      <c r="U33" s="697"/>
      <c r="V33" s="697"/>
      <c r="W33" s="697"/>
      <c r="X33" s="697"/>
      <c r="Y33" s="697"/>
      <c r="Z33" s="697"/>
      <c r="AA33" s="697"/>
      <c r="AB33" s="697"/>
      <c r="AC33" s="697"/>
      <c r="AD33" s="697"/>
      <c r="AE33" s="697"/>
      <c r="AF33" s="697"/>
    </row>
    <row r="34" spans="1:32" ht="19.899999999999999" thickBot="1">
      <c r="A34" s="697"/>
      <c r="B34" s="697"/>
      <c r="C34" s="731">
        <v>0</v>
      </c>
      <c r="D34" s="732">
        <v>0</v>
      </c>
      <c r="E34" s="732">
        <v>0</v>
      </c>
      <c r="F34" s="732">
        <v>0</v>
      </c>
      <c r="G34" s="442">
        <v>0</v>
      </c>
      <c r="H34" s="732">
        <v>0</v>
      </c>
      <c r="I34" s="782">
        <v>0</v>
      </c>
      <c r="J34" s="776" cm="1">
        <f t="array" ref="J34">SUM(IF(ISNUMBER(B34:I34), B34:I34, 0))</f>
        <v>0</v>
      </c>
      <c r="K34" s="707"/>
      <c r="L34" s="758" t="s">
        <v>26</v>
      </c>
      <c r="M34" s="697"/>
      <c r="N34" s="697"/>
      <c r="O34" s="697"/>
      <c r="P34" s="697"/>
      <c r="Q34" s="697"/>
      <c r="R34" s="697"/>
      <c r="S34" s="697"/>
      <c r="T34" s="697"/>
      <c r="U34" s="697"/>
      <c r="V34" s="697"/>
      <c r="W34" s="697"/>
      <c r="X34" s="697"/>
      <c r="Y34" s="697"/>
      <c r="Z34" s="697"/>
      <c r="AA34" s="697"/>
      <c r="AB34" s="697"/>
      <c r="AC34" s="697"/>
      <c r="AD34" s="697"/>
      <c r="AE34" s="697"/>
      <c r="AF34" s="697"/>
    </row>
    <row r="35" spans="1:32" ht="19.899999999999999" thickBot="1">
      <c r="A35" s="697"/>
      <c r="B35" s="697"/>
      <c r="C35" s="759" t="s">
        <v>147</v>
      </c>
      <c r="D35" s="740" t="s">
        <v>148</v>
      </c>
      <c r="E35" s="740" t="s">
        <v>149</v>
      </c>
      <c r="F35" s="740" t="s">
        <v>150</v>
      </c>
      <c r="G35" s="740" t="s">
        <v>151</v>
      </c>
      <c r="H35" s="740" t="s">
        <v>152</v>
      </c>
      <c r="I35" s="783" t="s">
        <v>153</v>
      </c>
      <c r="J35" s="737">
        <v>71.03</v>
      </c>
      <c r="K35" s="707"/>
      <c r="L35" s="735" t="s">
        <v>28</v>
      </c>
      <c r="M35" s="697"/>
      <c r="N35" s="697"/>
      <c r="O35" s="697"/>
      <c r="P35" s="697"/>
      <c r="Q35" s="697"/>
      <c r="R35" s="697"/>
      <c r="S35" s="697"/>
      <c r="T35" s="697"/>
      <c r="U35" s="697"/>
      <c r="V35" s="697"/>
      <c r="W35" s="697"/>
      <c r="X35" s="697"/>
      <c r="Y35" s="697"/>
      <c r="Z35" s="697"/>
      <c r="AA35" s="697"/>
      <c r="AB35" s="697"/>
      <c r="AC35" s="697"/>
      <c r="AD35" s="697"/>
      <c r="AE35" s="697"/>
      <c r="AF35" s="697"/>
    </row>
    <row r="36" spans="1:32" ht="19.899999999999999" thickBot="1">
      <c r="A36" s="697"/>
      <c r="B36" s="697"/>
      <c r="C36" s="746">
        <v>26</v>
      </c>
      <c r="D36" s="746">
        <v>27</v>
      </c>
      <c r="E36" s="746">
        <v>28</v>
      </c>
      <c r="F36" s="746">
        <v>29</v>
      </c>
      <c r="G36" s="746">
        <v>30</v>
      </c>
      <c r="H36" s="746">
        <v>31</v>
      </c>
      <c r="I36" s="746"/>
      <c r="J36" s="780"/>
      <c r="K36" s="707"/>
      <c r="L36" s="751"/>
      <c r="M36" s="697"/>
      <c r="N36" s="697"/>
      <c r="O36" s="697"/>
      <c r="P36" s="697"/>
      <c r="Q36" s="697"/>
      <c r="R36" s="697"/>
      <c r="S36" s="697"/>
      <c r="T36" s="697"/>
      <c r="U36" s="697"/>
      <c r="V36" s="697"/>
      <c r="W36" s="697"/>
      <c r="X36" s="697"/>
      <c r="Y36" s="697"/>
      <c r="Z36" s="697"/>
      <c r="AA36" s="697"/>
      <c r="AB36" s="697"/>
      <c r="AC36" s="697"/>
      <c r="AD36" s="697"/>
      <c r="AE36" s="697"/>
      <c r="AF36" s="697"/>
    </row>
    <row r="37" spans="1:32" ht="19.149999999999999">
      <c r="A37" s="697"/>
      <c r="B37" s="697"/>
      <c r="C37" s="784" t="s">
        <v>41</v>
      </c>
      <c r="D37" s="785" t="s">
        <v>51</v>
      </c>
      <c r="E37" s="785" t="s">
        <v>50</v>
      </c>
      <c r="F37" s="785" t="s">
        <v>39</v>
      </c>
      <c r="G37" s="785" t="s">
        <v>38</v>
      </c>
      <c r="H37" s="785"/>
      <c r="I37" s="781"/>
      <c r="J37" s="750"/>
      <c r="K37" s="707"/>
      <c r="L37" s="751"/>
      <c r="M37" s="697"/>
      <c r="N37" s="697"/>
      <c r="O37" s="697"/>
      <c r="P37" s="697"/>
      <c r="Q37" s="697"/>
      <c r="R37" s="697"/>
      <c r="S37" s="697"/>
      <c r="T37" s="697"/>
      <c r="U37" s="697"/>
      <c r="V37" s="697"/>
      <c r="W37" s="697"/>
      <c r="X37" s="697"/>
      <c r="Y37" s="697"/>
      <c r="Z37" s="697"/>
      <c r="AA37" s="697"/>
      <c r="AB37" s="697"/>
      <c r="AC37" s="697"/>
      <c r="AD37" s="697"/>
      <c r="AE37" s="697"/>
      <c r="AF37" s="697"/>
    </row>
    <row r="38" spans="1:32" ht="19.899999999999999" thickBot="1">
      <c r="A38" s="697"/>
      <c r="B38" s="697"/>
      <c r="C38" s="769">
        <v>0.25</v>
      </c>
      <c r="D38" s="721">
        <v>0.34</v>
      </c>
      <c r="E38" s="721">
        <v>0.43</v>
      </c>
      <c r="F38" s="721">
        <v>0.53</v>
      </c>
      <c r="G38" s="721">
        <v>0.64</v>
      </c>
      <c r="H38" s="721">
        <v>0.74</v>
      </c>
      <c r="I38" s="724"/>
      <c r="J38" s="707"/>
      <c r="K38" s="707"/>
      <c r="L38" s="751"/>
      <c r="M38" s="697"/>
      <c r="N38" s="697"/>
      <c r="O38" s="697"/>
      <c r="P38" s="697"/>
      <c r="Q38" s="697"/>
      <c r="R38" s="697"/>
      <c r="S38" s="697"/>
      <c r="T38" s="697"/>
      <c r="U38" s="697"/>
      <c r="V38" s="697"/>
      <c r="W38" s="697"/>
      <c r="X38" s="697"/>
      <c r="Y38" s="697"/>
      <c r="Z38" s="697"/>
      <c r="AA38" s="697"/>
      <c r="AB38" s="697"/>
      <c r="AC38" s="697"/>
      <c r="AD38" s="697"/>
      <c r="AE38" s="697"/>
      <c r="AF38" s="697"/>
    </row>
    <row r="39" spans="1:32" ht="19.149999999999999">
      <c r="A39" s="697"/>
      <c r="B39" s="697"/>
      <c r="C39" s="726" t="s">
        <v>62</v>
      </c>
      <c r="D39" s="727" t="s">
        <v>108</v>
      </c>
      <c r="E39" s="727" t="s">
        <v>108</v>
      </c>
      <c r="F39" s="727" t="s">
        <v>62</v>
      </c>
      <c r="G39" s="727" t="s">
        <v>53</v>
      </c>
      <c r="H39" s="786" t="s">
        <v>54</v>
      </c>
      <c r="I39" s="757"/>
      <c r="J39" s="729" t="s">
        <v>32</v>
      </c>
      <c r="K39" s="707"/>
      <c r="L39" s="751"/>
      <c r="M39" s="697"/>
      <c r="N39" s="697"/>
      <c r="O39" s="697"/>
      <c r="P39" s="697"/>
      <c r="Q39" s="697"/>
      <c r="R39" s="697"/>
      <c r="S39" s="697"/>
      <c r="T39" s="697"/>
      <c r="U39" s="697"/>
      <c r="V39" s="697"/>
      <c r="W39" s="697"/>
      <c r="X39" s="697"/>
      <c r="Y39" s="697"/>
      <c r="Z39" s="697"/>
      <c r="AA39" s="697"/>
      <c r="AB39" s="697"/>
      <c r="AC39" s="697"/>
      <c r="AD39" s="697"/>
      <c r="AE39" s="697"/>
      <c r="AF39" s="697"/>
    </row>
    <row r="40" spans="1:32" ht="19.149999999999999">
      <c r="A40" s="697"/>
      <c r="B40" s="697"/>
      <c r="C40" s="787">
        <v>10.7</v>
      </c>
      <c r="D40" s="772">
        <v>10.1</v>
      </c>
      <c r="E40" s="772">
        <v>10.6</v>
      </c>
      <c r="F40" s="772">
        <v>10.8</v>
      </c>
      <c r="G40" s="772">
        <v>10.6</v>
      </c>
      <c r="H40" s="772">
        <v>10.4</v>
      </c>
      <c r="I40" s="750"/>
      <c r="J40" s="734" cm="1">
        <f t="array" ref="J40">SUM(IF(ISNUMBER(B40:I40), B40:I40, 0))</f>
        <v>63.2</v>
      </c>
      <c r="K40" s="707"/>
      <c r="L40" s="758" t="s">
        <v>22</v>
      </c>
      <c r="M40" s="697"/>
      <c r="N40" s="697"/>
      <c r="O40" s="697"/>
      <c r="P40" s="697"/>
      <c r="Q40" s="697"/>
      <c r="R40" s="697"/>
      <c r="S40" s="697"/>
      <c r="T40" s="697"/>
      <c r="U40" s="697"/>
      <c r="V40" s="697"/>
      <c r="W40" s="697"/>
      <c r="X40" s="697"/>
      <c r="Y40" s="697"/>
      <c r="Z40" s="697"/>
      <c r="AA40" s="697"/>
      <c r="AB40" s="697"/>
      <c r="AC40" s="697"/>
      <c r="AD40" s="697"/>
      <c r="AE40" s="697"/>
      <c r="AF40" s="697"/>
    </row>
    <row r="41" spans="1:32" ht="19.149999999999999">
      <c r="A41" s="697"/>
      <c r="B41" s="697"/>
      <c r="C41" s="731">
        <v>0</v>
      </c>
      <c r="D41" s="732">
        <v>0</v>
      </c>
      <c r="E41" s="732">
        <v>0</v>
      </c>
      <c r="F41" s="732">
        <v>0</v>
      </c>
      <c r="G41" s="732">
        <v>0</v>
      </c>
      <c r="H41" s="732">
        <v>0</v>
      </c>
      <c r="I41" s="703"/>
      <c r="J41" s="734" cm="1">
        <f t="array" ref="J41">SUM(IF(ISNUMBER(B41:I41), B41:I41, 0))</f>
        <v>0</v>
      </c>
      <c r="K41" s="707"/>
      <c r="L41" s="758" t="s">
        <v>24</v>
      </c>
      <c r="M41" s="697"/>
      <c r="N41" s="697"/>
      <c r="O41" s="697"/>
      <c r="P41" s="697"/>
      <c r="Q41" s="697"/>
      <c r="R41" s="697"/>
      <c r="S41" s="697"/>
      <c r="T41" s="697"/>
      <c r="U41" s="697"/>
      <c r="V41" s="697"/>
      <c r="W41" s="697"/>
      <c r="X41" s="697"/>
      <c r="Y41" s="697"/>
      <c r="Z41" s="697"/>
      <c r="AA41" s="697"/>
      <c r="AB41" s="697"/>
      <c r="AC41" s="697"/>
      <c r="AD41" s="697"/>
      <c r="AE41" s="697"/>
      <c r="AF41" s="697"/>
    </row>
    <row r="42" spans="1:32" ht="19.899999999999999" thickBot="1">
      <c r="A42" s="697"/>
      <c r="B42" s="697"/>
      <c r="C42" s="731">
        <v>0</v>
      </c>
      <c r="D42" s="732">
        <v>0</v>
      </c>
      <c r="E42" s="732">
        <v>0</v>
      </c>
      <c r="F42" s="732">
        <v>0</v>
      </c>
      <c r="G42" s="732">
        <v>0</v>
      </c>
      <c r="H42" s="732">
        <v>0</v>
      </c>
      <c r="I42" s="703"/>
      <c r="J42" s="737" cm="1">
        <f t="array" ref="J42">SUM(IF(ISNUMBER(B42:I42), B42:I42, 0))</f>
        <v>0</v>
      </c>
      <c r="K42" s="707"/>
      <c r="L42" s="758" t="s">
        <v>26</v>
      </c>
      <c r="M42" s="697"/>
      <c r="N42" s="697"/>
      <c r="O42" s="697"/>
      <c r="P42" s="697"/>
      <c r="Q42" s="697"/>
      <c r="R42" s="697"/>
      <c r="S42" s="697"/>
      <c r="T42" s="697"/>
      <c r="U42" s="697"/>
      <c r="V42" s="697"/>
      <c r="W42" s="697"/>
      <c r="X42" s="697"/>
      <c r="Y42" s="697"/>
      <c r="Z42" s="697"/>
      <c r="AA42" s="697"/>
      <c r="AB42" s="697"/>
      <c r="AC42" s="697"/>
      <c r="AD42" s="697"/>
      <c r="AE42" s="697"/>
      <c r="AF42" s="697"/>
    </row>
    <row r="43" spans="1:32" ht="19.899999999999999" thickBot="1">
      <c r="A43" s="697"/>
      <c r="B43" s="697"/>
      <c r="C43" s="788" t="s">
        <v>154</v>
      </c>
      <c r="D43" s="743" t="s">
        <v>155</v>
      </c>
      <c r="E43" s="778" t="s">
        <v>156</v>
      </c>
      <c r="F43" s="740" t="s">
        <v>157</v>
      </c>
      <c r="G43" s="740" t="s">
        <v>158</v>
      </c>
      <c r="H43" s="740" t="s">
        <v>159</v>
      </c>
      <c r="I43" s="779" t="s">
        <v>4</v>
      </c>
      <c r="J43" s="737">
        <v>34.5</v>
      </c>
      <c r="K43" s="707"/>
      <c r="L43" s="735" t="s">
        <v>28</v>
      </c>
      <c r="M43" s="697"/>
      <c r="N43" s="697"/>
      <c r="O43" s="697"/>
      <c r="P43" s="697"/>
      <c r="Q43" s="697"/>
      <c r="R43" s="697"/>
      <c r="S43" s="697"/>
      <c r="T43" s="697"/>
      <c r="U43" s="697"/>
      <c r="V43" s="697"/>
      <c r="W43" s="697"/>
      <c r="X43" s="697"/>
      <c r="Y43" s="697"/>
      <c r="Z43" s="697"/>
      <c r="AA43" s="697"/>
      <c r="AB43" s="697"/>
      <c r="AC43" s="697"/>
      <c r="AD43" s="697"/>
      <c r="AE43" s="697"/>
      <c r="AF43" s="697"/>
    </row>
    <row r="44" spans="1:32" ht="19.899999999999999" thickBot="1">
      <c r="A44" s="697"/>
      <c r="B44" s="697"/>
      <c r="C44" s="711"/>
      <c r="D44" s="789"/>
      <c r="E44" s="780"/>
      <c r="F44" s="707"/>
      <c r="G44" s="707"/>
      <c r="H44" s="707"/>
      <c r="I44" s="707"/>
      <c r="J44" s="707"/>
      <c r="K44" s="707"/>
      <c r="L44" s="730"/>
      <c r="M44" s="697"/>
      <c r="N44" s="697"/>
      <c r="O44" s="697"/>
      <c r="P44" s="697"/>
      <c r="Q44" s="697"/>
      <c r="R44" s="697"/>
      <c r="S44" s="697"/>
      <c r="T44" s="697"/>
      <c r="U44" s="697"/>
      <c r="V44" s="697"/>
      <c r="W44" s="697"/>
      <c r="X44" s="697"/>
      <c r="Y44" s="697"/>
      <c r="Z44" s="697"/>
      <c r="AA44" s="697"/>
      <c r="AB44" s="697"/>
      <c r="AC44" s="697"/>
      <c r="AD44" s="697"/>
      <c r="AE44" s="697"/>
      <c r="AF44" s="697"/>
    </row>
    <row r="45" spans="1:32" ht="19.149999999999999">
      <c r="A45" s="697"/>
      <c r="B45" s="697"/>
      <c r="C45" s="726"/>
      <c r="D45" s="768"/>
      <c r="E45" s="750"/>
      <c r="F45" s="707"/>
      <c r="G45" s="707"/>
      <c r="H45" s="707"/>
      <c r="I45" s="707"/>
      <c r="J45" s="707"/>
      <c r="K45" s="707"/>
      <c r="L45" s="697"/>
      <c r="M45" s="697"/>
      <c r="N45" s="697"/>
      <c r="O45" s="697"/>
      <c r="P45" s="697"/>
      <c r="Q45" s="697"/>
      <c r="R45" s="697"/>
      <c r="S45" s="697"/>
      <c r="T45" s="697"/>
      <c r="U45" s="697"/>
      <c r="V45" s="697"/>
      <c r="W45" s="697"/>
      <c r="X45" s="697"/>
      <c r="Y45" s="697"/>
      <c r="Z45" s="697"/>
      <c r="AA45" s="697"/>
      <c r="AB45" s="697"/>
      <c r="AC45" s="697"/>
      <c r="AD45" s="697"/>
      <c r="AE45" s="697"/>
      <c r="AF45" s="697"/>
    </row>
    <row r="46" spans="1:32" ht="19.899999999999999" thickBot="1">
      <c r="A46" s="697"/>
      <c r="B46" s="697"/>
      <c r="C46" s="790"/>
      <c r="D46" s="791"/>
      <c r="E46" s="707"/>
      <c r="F46" s="707"/>
      <c r="G46" s="707"/>
      <c r="H46" s="707"/>
      <c r="I46" s="707"/>
      <c r="J46" s="707"/>
      <c r="K46" s="707"/>
      <c r="L46" s="697"/>
      <c r="M46" s="697"/>
      <c r="N46" s="697"/>
      <c r="O46" s="697"/>
      <c r="P46" s="697"/>
      <c r="Q46" s="697"/>
      <c r="R46" s="697"/>
      <c r="S46" s="697"/>
      <c r="T46" s="697"/>
      <c r="U46" s="697"/>
      <c r="V46" s="697"/>
      <c r="W46" s="697"/>
      <c r="X46" s="697"/>
      <c r="Y46" s="697"/>
      <c r="Z46" s="697"/>
      <c r="AA46" s="697"/>
      <c r="AB46" s="697"/>
      <c r="AC46" s="697"/>
      <c r="AD46" s="697"/>
      <c r="AE46" s="697"/>
      <c r="AF46" s="697"/>
    </row>
    <row r="47" spans="1:32" ht="19.149999999999999">
      <c r="A47" s="697"/>
      <c r="B47" s="697"/>
      <c r="C47" s="726"/>
      <c r="D47" s="768"/>
      <c r="E47" s="707"/>
      <c r="G47" s="707"/>
      <c r="H47" s="707"/>
      <c r="I47" s="707"/>
      <c r="J47" s="729" t="s">
        <v>33</v>
      </c>
      <c r="K47" s="792"/>
      <c r="L47" s="697"/>
      <c r="M47" s="697"/>
      <c r="N47" s="697"/>
      <c r="O47" s="697"/>
      <c r="P47" s="697"/>
      <c r="Q47" s="697"/>
      <c r="R47" s="697"/>
      <c r="S47" s="697"/>
      <c r="T47" s="697"/>
      <c r="U47" s="697"/>
      <c r="V47" s="697"/>
      <c r="W47" s="697"/>
      <c r="X47" s="697"/>
      <c r="Y47" s="697"/>
      <c r="Z47" s="697"/>
      <c r="AA47" s="697"/>
      <c r="AB47" s="697"/>
      <c r="AC47" s="697"/>
      <c r="AD47" s="697"/>
      <c r="AE47" s="697"/>
      <c r="AF47" s="697"/>
    </row>
    <row r="48" spans="1:32" ht="19.149999999999999">
      <c r="A48" s="697"/>
      <c r="B48" s="697"/>
      <c r="C48" s="787"/>
      <c r="D48" s="791"/>
      <c r="E48" s="707"/>
      <c r="G48" s="707"/>
      <c r="H48" s="707"/>
      <c r="I48" s="707"/>
      <c r="J48" s="734" cm="1">
        <f t="array" ref="J48">SUM(IF(ISNUMBER(B48:D48), B48:D48, 0))</f>
        <v>0</v>
      </c>
      <c r="L48" s="758" t="s">
        <v>22</v>
      </c>
      <c r="M48" s="697"/>
      <c r="N48" s="697"/>
      <c r="O48" s="697"/>
      <c r="P48" s="697"/>
      <c r="Q48" s="697"/>
      <c r="R48" s="697"/>
      <c r="S48" s="697"/>
      <c r="T48" s="697"/>
      <c r="U48" s="697"/>
      <c r="V48" s="697"/>
      <c r="W48" s="697"/>
      <c r="X48" s="697"/>
      <c r="Y48" s="697"/>
      <c r="Z48" s="697"/>
      <c r="AA48" s="697"/>
      <c r="AB48" s="697"/>
      <c r="AC48" s="697"/>
      <c r="AD48" s="697"/>
      <c r="AE48" s="697"/>
      <c r="AF48" s="697"/>
    </row>
    <row r="49" spans="1:32" ht="19.149999999999999">
      <c r="A49" s="697"/>
      <c r="B49" s="697"/>
      <c r="C49" s="731"/>
      <c r="D49" s="791"/>
      <c r="E49" s="707"/>
      <c r="G49" s="707"/>
      <c r="H49" s="707"/>
      <c r="I49" s="707"/>
      <c r="J49" s="734" cm="1">
        <f t="array" ref="J49">SUM(IF(ISNUMBER(B49:D49), B49:D49, 0))</f>
        <v>0</v>
      </c>
      <c r="L49" s="758" t="s">
        <v>24</v>
      </c>
      <c r="M49" s="697"/>
      <c r="N49" s="697"/>
      <c r="O49" s="697"/>
      <c r="P49" s="697"/>
      <c r="Q49" s="697"/>
      <c r="R49" s="697"/>
      <c r="S49" s="697"/>
      <c r="T49" s="697"/>
      <c r="U49" s="697"/>
      <c r="V49" s="697"/>
      <c r="W49" s="697"/>
      <c r="X49" s="697"/>
      <c r="Y49" s="697"/>
      <c r="Z49" s="697"/>
      <c r="AA49" s="697"/>
      <c r="AB49" s="697"/>
      <c r="AC49" s="697"/>
      <c r="AD49" s="697"/>
      <c r="AE49" s="697"/>
      <c r="AF49" s="697"/>
    </row>
    <row r="50" spans="1:32" ht="19.899999999999999" thickBot="1">
      <c r="A50" s="697"/>
      <c r="B50" s="697"/>
      <c r="C50" s="731"/>
      <c r="D50" s="791"/>
      <c r="E50" s="707"/>
      <c r="G50" s="707"/>
      <c r="H50" s="707"/>
      <c r="I50" s="707"/>
      <c r="J50" s="737" cm="1">
        <f t="array" ref="J50">SUM(IF(ISNUMBER(B50:D50), B50:D50, 0))</f>
        <v>0</v>
      </c>
      <c r="L50" s="758" t="s">
        <v>26</v>
      </c>
      <c r="M50" s="697"/>
      <c r="N50" s="697"/>
      <c r="O50" s="697"/>
      <c r="P50" s="697"/>
      <c r="Q50" s="697"/>
      <c r="R50" s="697"/>
      <c r="S50" s="697"/>
      <c r="T50" s="697"/>
      <c r="U50" s="697"/>
      <c r="V50" s="697"/>
      <c r="W50" s="697"/>
      <c r="X50" s="697"/>
      <c r="Y50" s="697"/>
      <c r="Z50" s="697"/>
      <c r="AA50" s="697"/>
      <c r="AB50" s="697"/>
      <c r="AC50" s="697"/>
      <c r="AD50" s="697"/>
      <c r="AE50" s="697"/>
      <c r="AF50" s="697"/>
    </row>
    <row r="51" spans="1:32" ht="19.899999999999999" thickBot="1">
      <c r="A51" s="697"/>
      <c r="B51" s="697"/>
      <c r="C51" s="759"/>
      <c r="D51" s="779"/>
      <c r="G51" s="707"/>
      <c r="H51" s="707"/>
      <c r="I51" s="707"/>
      <c r="J51" s="737"/>
      <c r="L51" s="735" t="s">
        <v>28</v>
      </c>
      <c r="M51" s="697"/>
      <c r="N51" s="697"/>
      <c r="O51" s="697"/>
      <c r="P51" s="697"/>
      <c r="Q51" s="697"/>
      <c r="R51" s="697"/>
      <c r="S51" s="697"/>
      <c r="T51" s="697"/>
      <c r="U51" s="697"/>
      <c r="V51" s="697"/>
      <c r="W51" s="697"/>
      <c r="X51" s="697"/>
      <c r="Y51" s="697"/>
      <c r="Z51" s="697"/>
      <c r="AA51" s="697"/>
      <c r="AB51" s="697"/>
      <c r="AC51" s="697"/>
      <c r="AD51" s="697"/>
      <c r="AE51" s="697"/>
      <c r="AF51" s="697"/>
    </row>
    <row r="52" spans="1:32" ht="19.149999999999999">
      <c r="A52" s="697"/>
      <c r="B52" s="697"/>
      <c r="C52" s="707"/>
      <c r="D52" s="707"/>
      <c r="E52" s="707"/>
      <c r="F52" s="707"/>
      <c r="G52" s="707"/>
      <c r="H52" s="707"/>
      <c r="I52" s="707"/>
      <c r="J52" s="707"/>
      <c r="K52" s="707"/>
      <c r="L52" s="697"/>
      <c r="M52" s="697"/>
      <c r="N52" s="697"/>
      <c r="O52" s="697"/>
      <c r="P52" s="697"/>
      <c r="Q52" s="697"/>
      <c r="R52" s="697"/>
      <c r="S52" s="697"/>
      <c r="T52" s="697"/>
      <c r="U52" s="697"/>
      <c r="V52" s="697"/>
      <c r="W52" s="697"/>
      <c r="X52" s="697"/>
      <c r="Y52" s="697"/>
      <c r="Z52" s="697"/>
      <c r="AA52" s="697"/>
      <c r="AB52" s="697"/>
      <c r="AC52" s="697"/>
      <c r="AD52" s="697"/>
      <c r="AE52" s="697"/>
      <c r="AF52" s="697"/>
    </row>
    <row r="53" spans="1:32" ht="17.45">
      <c r="A53" s="697"/>
      <c r="B53" s="697"/>
      <c r="C53" s="697"/>
      <c r="D53" s="697"/>
      <c r="E53" s="697"/>
      <c r="F53" s="697"/>
      <c r="G53" s="697"/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97"/>
      <c r="T53" s="697"/>
      <c r="U53" s="697"/>
      <c r="V53" s="697"/>
      <c r="W53" s="697"/>
      <c r="X53" s="697"/>
      <c r="Y53" s="697"/>
      <c r="Z53" s="697"/>
      <c r="AA53" s="697"/>
      <c r="AB53" s="697"/>
      <c r="AC53" s="697"/>
      <c r="AD53" s="697"/>
      <c r="AE53" s="697"/>
      <c r="AF53" s="697"/>
    </row>
    <row r="54" spans="1:32" ht="17.45">
      <c r="A54" s="697"/>
      <c r="B54" s="697"/>
      <c r="C54" s="697"/>
      <c r="D54" s="697"/>
      <c r="E54" s="697"/>
      <c r="F54" s="697"/>
      <c r="G54" s="697"/>
      <c r="H54" s="697"/>
      <c r="I54" s="697"/>
      <c r="J54" s="697"/>
      <c r="K54" s="697"/>
      <c r="L54" s="697"/>
      <c r="M54" s="697"/>
      <c r="N54" s="697"/>
      <c r="O54" s="697"/>
      <c r="P54" s="697"/>
      <c r="Q54" s="697"/>
      <c r="R54" s="697"/>
      <c r="S54" s="697"/>
      <c r="T54" s="697"/>
      <c r="U54" s="697"/>
      <c r="V54" s="697"/>
      <c r="W54" s="697"/>
      <c r="X54" s="697"/>
      <c r="Y54" s="697"/>
      <c r="Z54" s="697"/>
      <c r="AA54" s="697"/>
      <c r="AB54" s="697"/>
      <c r="AC54" s="697"/>
      <c r="AD54" s="697"/>
      <c r="AE54" s="697"/>
      <c r="AF54" s="697"/>
    </row>
    <row r="55" spans="1:32" ht="17.45">
      <c r="A55" s="697"/>
      <c r="B55" s="697"/>
      <c r="C55" s="697"/>
      <c r="D55" s="697"/>
      <c r="E55" s="697"/>
      <c r="F55" s="697"/>
      <c r="G55" s="697"/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97"/>
      <c r="T55" s="697"/>
      <c r="U55" s="697"/>
      <c r="V55" s="697"/>
      <c r="W55" s="697"/>
      <c r="X55" s="697"/>
      <c r="Y55" s="697"/>
      <c r="Z55" s="697"/>
      <c r="AA55" s="697"/>
      <c r="AB55" s="697"/>
      <c r="AC55" s="697"/>
      <c r="AD55" s="697"/>
      <c r="AE55" s="697"/>
      <c r="AF55" s="697"/>
    </row>
    <row r="56" spans="1:32" ht="17.45">
      <c r="A56" s="697"/>
      <c r="B56" s="697"/>
      <c r="C56" s="697"/>
      <c r="D56" s="697"/>
      <c r="E56" s="697"/>
      <c r="F56" s="697"/>
      <c r="G56" s="697"/>
      <c r="H56" s="697"/>
      <c r="I56" s="697"/>
      <c r="J56" s="697"/>
      <c r="K56" s="697"/>
      <c r="L56" s="697"/>
      <c r="M56" s="697"/>
      <c r="N56" s="697"/>
      <c r="O56" s="697"/>
      <c r="P56" s="697"/>
      <c r="Q56" s="697"/>
      <c r="R56" s="697"/>
      <c r="S56" s="697"/>
      <c r="T56" s="697"/>
      <c r="U56" s="697"/>
      <c r="V56" s="697"/>
      <c r="W56" s="697"/>
      <c r="X56" s="697"/>
      <c r="Y56" s="697"/>
      <c r="Z56" s="697"/>
      <c r="AA56" s="697"/>
      <c r="AB56" s="697"/>
      <c r="AC56" s="697"/>
      <c r="AD56" s="697"/>
      <c r="AE56" s="697"/>
      <c r="AF56" s="697"/>
    </row>
    <row r="57" spans="1:32" ht="17.45">
      <c r="A57" s="697"/>
      <c r="B57" s="697"/>
      <c r="C57" s="697"/>
      <c r="D57" s="697"/>
      <c r="E57" s="697"/>
      <c r="F57" s="697"/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97"/>
      <c r="T57" s="697"/>
      <c r="U57" s="697"/>
      <c r="V57" s="697"/>
      <c r="W57" s="697"/>
      <c r="X57" s="697"/>
      <c r="Y57" s="697"/>
      <c r="Z57" s="697"/>
      <c r="AA57" s="697"/>
      <c r="AB57" s="697"/>
      <c r="AC57" s="697"/>
      <c r="AD57" s="697"/>
      <c r="AE57" s="697"/>
      <c r="AF57" s="697"/>
    </row>
    <row r="58" spans="1:32" ht="17.45">
      <c r="A58" s="697"/>
      <c r="B58" s="697"/>
      <c r="C58" s="697"/>
      <c r="D58" s="697"/>
      <c r="E58" s="697"/>
      <c r="F58" s="697"/>
      <c r="G58" s="697"/>
      <c r="H58" s="697"/>
      <c r="I58" s="697"/>
      <c r="J58" s="697"/>
      <c r="K58" s="697"/>
      <c r="L58" s="697"/>
      <c r="M58" s="697"/>
      <c r="N58" s="697"/>
      <c r="O58" s="697"/>
      <c r="P58" s="697"/>
      <c r="Q58" s="697"/>
      <c r="R58" s="697"/>
      <c r="S58" s="697"/>
      <c r="T58" s="697"/>
      <c r="U58" s="697"/>
      <c r="V58" s="697"/>
      <c r="W58" s="697"/>
      <c r="X58" s="697"/>
      <c r="Y58" s="697"/>
      <c r="Z58" s="697"/>
      <c r="AA58" s="697"/>
      <c r="AB58" s="697"/>
      <c r="AC58" s="697"/>
      <c r="AD58" s="697"/>
      <c r="AE58" s="697"/>
      <c r="AF58" s="697"/>
    </row>
    <row r="59" spans="1:32" ht="17.45">
      <c r="A59" s="697"/>
      <c r="B59" s="697"/>
      <c r="C59" s="697"/>
      <c r="D59" s="697"/>
      <c r="E59" s="697"/>
      <c r="F59" s="697"/>
      <c r="G59" s="697"/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97"/>
      <c r="T59" s="697"/>
      <c r="U59" s="697"/>
      <c r="V59" s="697"/>
      <c r="W59" s="697"/>
      <c r="X59" s="697"/>
      <c r="Y59" s="697"/>
      <c r="Z59" s="697"/>
      <c r="AA59" s="697"/>
      <c r="AB59" s="697"/>
      <c r="AC59" s="697"/>
      <c r="AD59" s="697"/>
      <c r="AE59" s="697"/>
      <c r="AF59" s="697"/>
    </row>
    <row r="60" spans="1:32" ht="17.45">
      <c r="A60" s="697"/>
      <c r="B60" s="697"/>
      <c r="C60" s="697"/>
      <c r="D60" s="697"/>
      <c r="E60" s="697"/>
      <c r="F60" s="697"/>
      <c r="G60" s="697"/>
      <c r="H60" s="697"/>
      <c r="I60" s="697"/>
      <c r="J60" s="697"/>
      <c r="K60" s="697"/>
      <c r="L60" s="697"/>
      <c r="M60" s="697"/>
      <c r="N60" s="697"/>
      <c r="O60" s="697"/>
      <c r="P60" s="697"/>
      <c r="Q60" s="697"/>
      <c r="R60" s="697"/>
      <c r="S60" s="697"/>
      <c r="T60" s="697"/>
      <c r="U60" s="697"/>
      <c r="V60" s="697"/>
      <c r="W60" s="697"/>
      <c r="X60" s="697"/>
      <c r="Y60" s="697"/>
      <c r="Z60" s="697"/>
      <c r="AA60" s="697"/>
      <c r="AB60" s="697"/>
      <c r="AC60" s="697"/>
      <c r="AD60" s="697"/>
      <c r="AE60" s="697"/>
      <c r="AF60" s="697"/>
    </row>
    <row r="61" spans="1:32" ht="17.45">
      <c r="A61" s="697"/>
      <c r="B61" s="697"/>
      <c r="C61" s="697"/>
      <c r="D61" s="697"/>
      <c r="E61" s="697"/>
      <c r="F61" s="697"/>
      <c r="G61" s="697"/>
      <c r="H61" s="697"/>
      <c r="I61" s="697"/>
      <c r="J61" s="697"/>
      <c r="K61" s="697"/>
      <c r="L61" s="697"/>
      <c r="M61" s="697"/>
      <c r="N61" s="697"/>
      <c r="O61" s="697"/>
      <c r="P61" s="697"/>
      <c r="Q61" s="697"/>
      <c r="R61" s="697"/>
      <c r="S61" s="697"/>
      <c r="T61" s="697"/>
      <c r="U61" s="697"/>
      <c r="V61" s="697"/>
      <c r="W61" s="697"/>
      <c r="X61" s="697"/>
      <c r="Y61" s="697"/>
      <c r="Z61" s="697"/>
      <c r="AA61" s="697"/>
      <c r="AB61" s="697"/>
      <c r="AC61" s="697"/>
      <c r="AD61" s="697"/>
      <c r="AE61" s="697"/>
      <c r="AF61" s="697"/>
    </row>
    <row r="62" spans="1:32" ht="17.45">
      <c r="A62" s="697"/>
      <c r="B62" s="697"/>
      <c r="C62" s="697"/>
      <c r="D62" s="697"/>
      <c r="E62" s="697"/>
      <c r="F62" s="697"/>
      <c r="G62" s="697"/>
      <c r="H62" s="697"/>
      <c r="I62" s="697"/>
      <c r="J62" s="697"/>
      <c r="K62" s="697"/>
      <c r="L62" s="697"/>
      <c r="M62" s="697"/>
      <c r="N62" s="697"/>
      <c r="O62" s="697"/>
      <c r="P62" s="697"/>
      <c r="Q62" s="697"/>
      <c r="R62" s="697"/>
      <c r="S62" s="697"/>
      <c r="T62" s="697"/>
      <c r="U62" s="697"/>
      <c r="V62" s="697"/>
      <c r="W62" s="697"/>
      <c r="X62" s="697"/>
      <c r="Y62" s="697"/>
      <c r="Z62" s="697"/>
      <c r="AA62" s="697"/>
      <c r="AB62" s="697"/>
      <c r="AC62" s="697"/>
      <c r="AD62" s="697"/>
      <c r="AE62" s="697"/>
      <c r="AF62" s="697"/>
    </row>
    <row r="63" spans="1:32" ht="17.45">
      <c r="A63" s="697"/>
      <c r="B63" s="697"/>
      <c r="C63" s="697"/>
      <c r="D63" s="697"/>
      <c r="E63" s="697"/>
      <c r="F63" s="697"/>
      <c r="G63" s="697"/>
      <c r="H63" s="697"/>
      <c r="I63" s="697"/>
      <c r="J63" s="697"/>
      <c r="K63" s="697"/>
      <c r="L63" s="697"/>
      <c r="M63" s="697"/>
      <c r="N63" s="697"/>
      <c r="O63" s="697"/>
      <c r="P63" s="697"/>
      <c r="Q63" s="697"/>
      <c r="R63" s="697"/>
      <c r="S63" s="697"/>
      <c r="T63" s="697"/>
      <c r="U63" s="697"/>
      <c r="V63" s="697"/>
      <c r="W63" s="697"/>
      <c r="X63" s="697"/>
      <c r="Y63" s="697"/>
      <c r="Z63" s="697"/>
      <c r="AA63" s="697"/>
      <c r="AB63" s="697"/>
      <c r="AC63" s="697"/>
      <c r="AD63" s="697"/>
      <c r="AE63" s="697"/>
      <c r="AF63" s="697"/>
    </row>
    <row r="64" spans="1:32" ht="17.45">
      <c r="A64" s="697"/>
      <c r="B64" s="697"/>
      <c r="C64" s="697"/>
      <c r="D64" s="697"/>
      <c r="E64" s="697"/>
      <c r="F64" s="697"/>
      <c r="G64" s="697"/>
      <c r="H64" s="697"/>
      <c r="I64" s="697"/>
      <c r="J64" s="697"/>
      <c r="K64" s="697"/>
      <c r="L64" s="697"/>
      <c r="M64" s="697"/>
      <c r="N64" s="697"/>
      <c r="O64" s="697"/>
      <c r="P64" s="697"/>
      <c r="Q64" s="697"/>
      <c r="R64" s="697"/>
      <c r="S64" s="697"/>
      <c r="T64" s="697"/>
      <c r="U64" s="697"/>
      <c r="V64" s="697"/>
      <c r="W64" s="697"/>
      <c r="X64" s="697"/>
      <c r="Y64" s="697"/>
      <c r="Z64" s="697"/>
      <c r="AA64" s="697"/>
      <c r="AB64" s="697"/>
      <c r="AC64" s="697"/>
      <c r="AD64" s="697"/>
      <c r="AE64" s="697"/>
      <c r="AF64" s="697"/>
    </row>
    <row r="65" spans="1:32" ht="17.45">
      <c r="A65" s="697"/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7"/>
      <c r="R65" s="697"/>
      <c r="S65" s="697"/>
      <c r="T65" s="697"/>
      <c r="U65" s="697"/>
      <c r="V65" s="697"/>
      <c r="W65" s="697"/>
      <c r="X65" s="697"/>
      <c r="Y65" s="697"/>
      <c r="Z65" s="697"/>
      <c r="AA65" s="697"/>
      <c r="AB65" s="697"/>
      <c r="AC65" s="697"/>
      <c r="AD65" s="697"/>
      <c r="AE65" s="697"/>
      <c r="AF65" s="697"/>
    </row>
    <row r="66" spans="1:32" ht="17.45">
      <c r="A66" s="697"/>
      <c r="B66" s="697"/>
      <c r="C66" s="697"/>
      <c r="D66" s="697"/>
      <c r="E66" s="697"/>
      <c r="F66" s="697"/>
      <c r="G66" s="697"/>
      <c r="H66" s="697"/>
      <c r="I66" s="697"/>
      <c r="J66" s="697"/>
      <c r="K66" s="697"/>
      <c r="L66" s="697"/>
      <c r="M66" s="697"/>
      <c r="N66" s="697"/>
      <c r="O66" s="697"/>
      <c r="P66" s="697"/>
      <c r="Q66" s="697"/>
      <c r="R66" s="697"/>
      <c r="S66" s="697"/>
      <c r="T66" s="697"/>
      <c r="U66" s="697"/>
      <c r="V66" s="697"/>
      <c r="W66" s="697"/>
      <c r="X66" s="697"/>
      <c r="Y66" s="697"/>
      <c r="Z66" s="697"/>
      <c r="AA66" s="697"/>
      <c r="AB66" s="697"/>
      <c r="AC66" s="697"/>
      <c r="AD66" s="697"/>
      <c r="AE66" s="697"/>
      <c r="AF66" s="697"/>
    </row>
    <row r="67" spans="1:32" ht="17.45">
      <c r="A67" s="697"/>
      <c r="B67" s="697"/>
      <c r="C67" s="697"/>
      <c r="D67" s="697"/>
      <c r="E67" s="697"/>
      <c r="F67" s="697"/>
      <c r="G67" s="697"/>
      <c r="H67" s="697"/>
      <c r="I67" s="697"/>
      <c r="J67" s="697"/>
      <c r="K67" s="697"/>
      <c r="L67" s="697"/>
      <c r="M67" s="697"/>
      <c r="N67" s="697"/>
      <c r="O67" s="697"/>
      <c r="P67" s="697"/>
      <c r="Q67" s="697"/>
      <c r="R67" s="697"/>
      <c r="S67" s="697"/>
      <c r="T67" s="697"/>
      <c r="U67" s="697"/>
      <c r="V67" s="697"/>
      <c r="W67" s="697"/>
      <c r="X67" s="697"/>
      <c r="Y67" s="697"/>
      <c r="Z67" s="697"/>
      <c r="AA67" s="697"/>
      <c r="AB67" s="697"/>
      <c r="AC67" s="697"/>
      <c r="AD67" s="697"/>
      <c r="AE67" s="697"/>
      <c r="AF67" s="697"/>
    </row>
    <row r="68" spans="1:32" ht="17.45">
      <c r="A68" s="697"/>
      <c r="B68" s="697"/>
      <c r="C68" s="697"/>
      <c r="D68" s="697"/>
      <c r="E68" s="697"/>
      <c r="F68" s="697"/>
      <c r="G68" s="697"/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97"/>
      <c r="T68" s="697"/>
      <c r="U68" s="697"/>
      <c r="V68" s="697"/>
      <c r="W68" s="697"/>
      <c r="X68" s="697"/>
      <c r="Y68" s="697"/>
      <c r="Z68" s="697"/>
      <c r="AA68" s="697"/>
      <c r="AB68" s="697"/>
      <c r="AC68" s="697"/>
      <c r="AD68" s="697"/>
      <c r="AE68" s="697"/>
      <c r="AF68" s="697"/>
    </row>
    <row r="69" spans="1:32" ht="17.45">
      <c r="A69" s="697"/>
      <c r="B69" s="697"/>
      <c r="C69" s="697"/>
      <c r="D69" s="697"/>
      <c r="E69" s="697"/>
      <c r="F69" s="697"/>
      <c r="G69" s="697"/>
      <c r="H69" s="697"/>
      <c r="I69" s="697"/>
      <c r="J69" s="697"/>
      <c r="K69" s="697"/>
      <c r="L69" s="697"/>
      <c r="M69" s="697"/>
      <c r="N69" s="697"/>
      <c r="O69" s="697"/>
      <c r="P69" s="697"/>
      <c r="Q69" s="697"/>
      <c r="R69" s="697"/>
      <c r="S69" s="697"/>
      <c r="T69" s="697"/>
      <c r="U69" s="697"/>
      <c r="V69" s="697"/>
      <c r="W69" s="697"/>
      <c r="X69" s="697"/>
      <c r="Y69" s="697"/>
      <c r="Z69" s="697"/>
      <c r="AA69" s="697"/>
      <c r="AB69" s="697"/>
      <c r="AC69" s="697"/>
      <c r="AD69" s="697"/>
      <c r="AE69" s="697"/>
      <c r="AF69" s="697"/>
    </row>
    <row r="70" spans="1:32" ht="17.45">
      <c r="A70" s="697"/>
      <c r="B70" s="697"/>
      <c r="C70" s="697"/>
      <c r="D70" s="697"/>
      <c r="E70" s="697"/>
      <c r="F70" s="697"/>
      <c r="G70" s="697"/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97"/>
      <c r="T70" s="697"/>
      <c r="U70" s="697"/>
      <c r="V70" s="697"/>
      <c r="W70" s="697"/>
      <c r="X70" s="697"/>
      <c r="Y70" s="697"/>
      <c r="Z70" s="697"/>
      <c r="AA70" s="697"/>
      <c r="AB70" s="697"/>
      <c r="AC70" s="697"/>
      <c r="AD70" s="697"/>
      <c r="AE70" s="697"/>
      <c r="AF70" s="697"/>
    </row>
    <row r="71" spans="1:32" ht="17.45">
      <c r="A71" s="697"/>
      <c r="B71" s="697"/>
      <c r="C71" s="697"/>
      <c r="D71" s="697"/>
      <c r="E71" s="697"/>
      <c r="F71" s="697"/>
      <c r="G71" s="697"/>
      <c r="H71" s="697"/>
      <c r="I71" s="697"/>
      <c r="J71" s="697"/>
      <c r="K71" s="697"/>
      <c r="L71" s="697"/>
      <c r="M71" s="697"/>
      <c r="N71" s="697"/>
      <c r="O71" s="697"/>
      <c r="P71" s="697"/>
      <c r="Q71" s="697"/>
      <c r="R71" s="697"/>
      <c r="S71" s="697"/>
      <c r="T71" s="697"/>
      <c r="U71" s="697"/>
      <c r="V71" s="697"/>
      <c r="W71" s="697"/>
      <c r="X71" s="697"/>
      <c r="Y71" s="697"/>
      <c r="Z71" s="697"/>
      <c r="AA71" s="697"/>
      <c r="AB71" s="697"/>
      <c r="AC71" s="697"/>
      <c r="AD71" s="697"/>
      <c r="AE71" s="697"/>
      <c r="AF71" s="697"/>
    </row>
    <row r="72" spans="1:32" ht="17.45">
      <c r="A72" s="697"/>
      <c r="B72" s="697"/>
      <c r="C72" s="697"/>
      <c r="D72" s="697"/>
      <c r="E72" s="697"/>
      <c r="F72" s="697"/>
      <c r="G72" s="697"/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97"/>
      <c r="T72" s="697"/>
      <c r="U72" s="697"/>
      <c r="V72" s="697"/>
      <c r="W72" s="697"/>
      <c r="X72" s="697"/>
      <c r="Y72" s="697"/>
      <c r="Z72" s="697"/>
      <c r="AA72" s="697"/>
      <c r="AB72" s="697"/>
      <c r="AC72" s="697"/>
      <c r="AD72" s="697"/>
      <c r="AE72" s="697"/>
      <c r="AF72" s="697"/>
    </row>
    <row r="73" spans="1:32" ht="17.45">
      <c r="A73" s="697"/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7"/>
      <c r="N73" s="697"/>
      <c r="O73" s="697"/>
      <c r="P73" s="697"/>
      <c r="Q73" s="697"/>
      <c r="R73" s="697"/>
      <c r="S73" s="697"/>
      <c r="T73" s="697"/>
      <c r="U73" s="697"/>
      <c r="V73" s="697"/>
      <c r="W73" s="697"/>
      <c r="X73" s="697"/>
      <c r="Y73" s="697"/>
      <c r="Z73" s="697"/>
      <c r="AA73" s="697"/>
      <c r="AB73" s="697"/>
      <c r="AC73" s="697"/>
      <c r="AD73" s="697"/>
      <c r="AE73" s="697"/>
      <c r="AF73" s="697"/>
    </row>
    <row r="74" spans="1:32" ht="17.45">
      <c r="A74" s="697"/>
      <c r="B74" s="697"/>
      <c r="C74" s="697"/>
      <c r="D74" s="697"/>
      <c r="E74" s="697"/>
      <c r="F74" s="697"/>
      <c r="G74" s="697"/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97"/>
      <c r="T74" s="697"/>
      <c r="U74" s="697"/>
      <c r="V74" s="697"/>
      <c r="W74" s="697"/>
      <c r="X74" s="697"/>
      <c r="Y74" s="697"/>
      <c r="Z74" s="697"/>
      <c r="AA74" s="697"/>
      <c r="AB74" s="697"/>
      <c r="AC74" s="697"/>
      <c r="AD74" s="697"/>
      <c r="AE74" s="697"/>
      <c r="AF74" s="697"/>
    </row>
    <row r="75" spans="1:32" ht="17.45">
      <c r="A75" s="697"/>
      <c r="B75" s="697"/>
      <c r="C75" s="697"/>
      <c r="D75" s="697"/>
      <c r="E75" s="697"/>
      <c r="F75" s="697"/>
      <c r="G75" s="697"/>
      <c r="H75" s="697"/>
      <c r="I75" s="697"/>
      <c r="J75" s="697"/>
      <c r="K75" s="697"/>
      <c r="L75" s="697"/>
      <c r="M75" s="697"/>
      <c r="N75" s="697"/>
      <c r="O75" s="697"/>
      <c r="P75" s="697"/>
      <c r="Q75" s="697"/>
      <c r="R75" s="697"/>
      <c r="S75" s="697"/>
      <c r="T75" s="697"/>
      <c r="U75" s="697"/>
      <c r="V75" s="697"/>
      <c r="W75" s="697"/>
      <c r="X75" s="697"/>
      <c r="Y75" s="697"/>
      <c r="Z75" s="697"/>
      <c r="AA75" s="697"/>
      <c r="AB75" s="697"/>
      <c r="AC75" s="697"/>
      <c r="AD75" s="697"/>
      <c r="AE75" s="697"/>
      <c r="AF75" s="697"/>
    </row>
    <row r="76" spans="1:32" ht="17.45">
      <c r="A76" s="697"/>
      <c r="B76" s="697"/>
      <c r="C76" s="697"/>
      <c r="D76" s="697"/>
      <c r="E76" s="697"/>
      <c r="F76" s="697"/>
      <c r="G76" s="697"/>
      <c r="H76" s="697"/>
      <c r="I76" s="697"/>
      <c r="J76" s="697"/>
      <c r="K76" s="697"/>
      <c r="L76" s="697"/>
      <c r="M76" s="697"/>
      <c r="N76" s="697"/>
      <c r="O76" s="697"/>
      <c r="P76" s="697"/>
      <c r="Q76" s="697"/>
      <c r="R76" s="697"/>
      <c r="S76" s="697"/>
      <c r="T76" s="697"/>
      <c r="U76" s="697"/>
      <c r="V76" s="697"/>
      <c r="W76" s="697"/>
      <c r="X76" s="697"/>
      <c r="Y76" s="697"/>
      <c r="Z76" s="697"/>
      <c r="AA76" s="697"/>
      <c r="AB76" s="697"/>
      <c r="AC76" s="697"/>
      <c r="AD76" s="697"/>
      <c r="AE76" s="697"/>
      <c r="AF76" s="697"/>
    </row>
    <row r="77" spans="1:32" ht="17.45">
      <c r="A77" s="697"/>
      <c r="B77" s="697"/>
      <c r="C77" s="697"/>
      <c r="D77" s="697"/>
      <c r="E77" s="697"/>
      <c r="F77" s="697"/>
      <c r="G77" s="697"/>
      <c r="H77" s="697"/>
      <c r="I77" s="697"/>
      <c r="J77" s="697"/>
      <c r="K77" s="697"/>
      <c r="L77" s="697"/>
      <c r="M77" s="697"/>
      <c r="N77" s="697"/>
      <c r="O77" s="697"/>
      <c r="P77" s="697"/>
      <c r="Q77" s="697"/>
      <c r="R77" s="697"/>
      <c r="S77" s="697"/>
      <c r="T77" s="697"/>
      <c r="U77" s="697"/>
      <c r="V77" s="697"/>
      <c r="W77" s="697"/>
      <c r="X77" s="697"/>
      <c r="Y77" s="697"/>
      <c r="Z77" s="697"/>
      <c r="AA77" s="697"/>
      <c r="AB77" s="697"/>
      <c r="AC77" s="697"/>
      <c r="AD77" s="697"/>
      <c r="AE77" s="697"/>
      <c r="AF77" s="697"/>
    </row>
    <row r="78" spans="1:32" ht="17.45">
      <c r="A78" s="697"/>
      <c r="B78" s="697"/>
      <c r="C78" s="697"/>
      <c r="D78" s="697"/>
      <c r="E78" s="697"/>
      <c r="F78" s="697"/>
      <c r="G78" s="697"/>
      <c r="H78" s="697"/>
      <c r="I78" s="697"/>
      <c r="J78" s="697"/>
      <c r="K78" s="697"/>
      <c r="L78" s="697"/>
      <c r="M78" s="697"/>
      <c r="N78" s="697"/>
      <c r="O78" s="697"/>
      <c r="P78" s="697"/>
      <c r="Q78" s="697"/>
      <c r="R78" s="697"/>
      <c r="S78" s="697"/>
      <c r="T78" s="697"/>
      <c r="U78" s="697"/>
      <c r="V78" s="697"/>
      <c r="W78" s="697"/>
      <c r="X78" s="697"/>
      <c r="Y78" s="697"/>
      <c r="Z78" s="697"/>
      <c r="AA78" s="697"/>
      <c r="AB78" s="697"/>
      <c r="AC78" s="697"/>
      <c r="AD78" s="697"/>
      <c r="AE78" s="697"/>
      <c r="AF78" s="697"/>
    </row>
    <row r="79" spans="1:32" ht="17.45">
      <c r="A79" s="697"/>
      <c r="B79" s="697"/>
      <c r="C79" s="697"/>
      <c r="D79" s="697"/>
      <c r="E79" s="697"/>
      <c r="F79" s="697"/>
      <c r="G79" s="697"/>
      <c r="H79" s="697"/>
      <c r="I79" s="697"/>
      <c r="J79" s="697"/>
      <c r="K79" s="697"/>
      <c r="L79" s="697"/>
      <c r="M79" s="697"/>
      <c r="N79" s="697"/>
      <c r="O79" s="697"/>
      <c r="P79" s="697"/>
      <c r="Q79" s="697"/>
      <c r="R79" s="697"/>
      <c r="S79" s="697"/>
      <c r="T79" s="697"/>
      <c r="U79" s="697"/>
      <c r="V79" s="697"/>
      <c r="W79" s="697"/>
      <c r="X79" s="697"/>
      <c r="Y79" s="697"/>
      <c r="Z79" s="697"/>
      <c r="AA79" s="697"/>
      <c r="AB79" s="697"/>
      <c r="AC79" s="697"/>
      <c r="AD79" s="697"/>
      <c r="AE79" s="697"/>
      <c r="AF79" s="697"/>
    </row>
    <row r="80" spans="1:32" ht="17.45">
      <c r="A80" s="697"/>
      <c r="B80" s="697"/>
      <c r="C80" s="697"/>
      <c r="D80" s="697"/>
      <c r="E80" s="697"/>
      <c r="F80" s="697"/>
      <c r="G80" s="697"/>
      <c r="H80" s="697"/>
      <c r="I80" s="697"/>
      <c r="J80" s="697"/>
      <c r="K80" s="697"/>
      <c r="L80" s="697"/>
      <c r="M80" s="697"/>
      <c r="N80" s="697"/>
      <c r="O80" s="697"/>
      <c r="P80" s="697"/>
      <c r="Q80" s="697"/>
      <c r="R80" s="697"/>
      <c r="S80" s="697"/>
      <c r="T80" s="697"/>
      <c r="U80" s="697"/>
      <c r="V80" s="697"/>
      <c r="W80" s="697"/>
      <c r="X80" s="697"/>
      <c r="Y80" s="697"/>
      <c r="Z80" s="697"/>
      <c r="AA80" s="697"/>
      <c r="AB80" s="697"/>
      <c r="AC80" s="697"/>
      <c r="AD80" s="697"/>
      <c r="AE80" s="697"/>
      <c r="AF80" s="697"/>
    </row>
    <row r="81" spans="1:32" ht="17.45">
      <c r="A81" s="697"/>
      <c r="B81" s="697"/>
      <c r="C81" s="697"/>
      <c r="D81" s="697"/>
      <c r="E81" s="697"/>
      <c r="F81" s="697"/>
      <c r="G81" s="697"/>
      <c r="H81" s="697"/>
      <c r="I81" s="697"/>
      <c r="J81" s="697"/>
      <c r="K81" s="697"/>
      <c r="L81" s="697"/>
      <c r="M81" s="697"/>
      <c r="N81" s="697"/>
      <c r="O81" s="697"/>
      <c r="P81" s="697"/>
      <c r="Q81" s="697"/>
      <c r="R81" s="697"/>
      <c r="S81" s="697"/>
      <c r="T81" s="697"/>
      <c r="U81" s="697"/>
      <c r="V81" s="697"/>
      <c r="W81" s="697"/>
      <c r="X81" s="697"/>
      <c r="Y81" s="697"/>
      <c r="Z81" s="697"/>
      <c r="AA81" s="697"/>
      <c r="AB81" s="697"/>
      <c r="AC81" s="697"/>
      <c r="AD81" s="697"/>
      <c r="AE81" s="697"/>
      <c r="AF81" s="697"/>
    </row>
    <row r="82" spans="1:32" ht="17.45">
      <c r="A82" s="697"/>
      <c r="B82" s="697"/>
      <c r="C82" s="697"/>
      <c r="D82" s="697"/>
      <c r="E82" s="697"/>
      <c r="F82" s="697"/>
      <c r="G82" s="697"/>
      <c r="H82" s="697"/>
      <c r="I82" s="697"/>
      <c r="J82" s="697"/>
      <c r="K82" s="697"/>
      <c r="L82" s="697"/>
      <c r="M82" s="697"/>
      <c r="N82" s="697"/>
      <c r="O82" s="697"/>
      <c r="P82" s="697"/>
      <c r="Q82" s="697"/>
      <c r="R82" s="697"/>
      <c r="S82" s="697"/>
      <c r="T82" s="697"/>
      <c r="U82" s="697"/>
      <c r="V82" s="697"/>
      <c r="W82" s="697"/>
      <c r="X82" s="697"/>
      <c r="Y82" s="697"/>
      <c r="Z82" s="697"/>
      <c r="AA82" s="697"/>
      <c r="AB82" s="697"/>
      <c r="AC82" s="697"/>
      <c r="AD82" s="697"/>
      <c r="AE82" s="697"/>
      <c r="AF82" s="697"/>
    </row>
    <row r="83" spans="1:32" ht="17.45">
      <c r="A83" s="697"/>
      <c r="B83" s="697"/>
      <c r="C83" s="697"/>
      <c r="D83" s="697"/>
      <c r="E83" s="697"/>
      <c r="F83" s="697"/>
      <c r="G83" s="697"/>
      <c r="H83" s="697"/>
      <c r="I83" s="697"/>
      <c r="J83" s="697"/>
      <c r="K83" s="697"/>
      <c r="L83" s="697"/>
      <c r="M83" s="697"/>
      <c r="N83" s="697"/>
      <c r="O83" s="697"/>
      <c r="P83" s="697"/>
      <c r="Q83" s="697"/>
      <c r="R83" s="697"/>
      <c r="S83" s="697"/>
      <c r="T83" s="697"/>
      <c r="U83" s="697"/>
      <c r="V83" s="697"/>
      <c r="W83" s="697"/>
      <c r="X83" s="697"/>
      <c r="Y83" s="697"/>
      <c r="Z83" s="697"/>
      <c r="AA83" s="697"/>
      <c r="AB83" s="697"/>
      <c r="AC83" s="697"/>
      <c r="AD83" s="697"/>
      <c r="AE83" s="697"/>
      <c r="AF83" s="697"/>
    </row>
    <row r="84" spans="1:32" ht="17.45">
      <c r="A84" s="697"/>
      <c r="B84" s="697"/>
      <c r="C84" s="697"/>
      <c r="D84" s="697"/>
      <c r="E84" s="697"/>
      <c r="F84" s="697"/>
      <c r="G84" s="697"/>
      <c r="H84" s="697"/>
      <c r="I84" s="697"/>
      <c r="J84" s="697"/>
      <c r="K84" s="697"/>
      <c r="L84" s="697"/>
      <c r="M84" s="697"/>
      <c r="N84" s="697"/>
      <c r="O84" s="697"/>
      <c r="P84" s="697"/>
      <c r="Q84" s="697"/>
      <c r="R84" s="697"/>
      <c r="S84" s="697"/>
      <c r="T84" s="697"/>
      <c r="U84" s="697"/>
      <c r="V84" s="697"/>
      <c r="W84" s="697"/>
      <c r="X84" s="697"/>
      <c r="Y84" s="697"/>
      <c r="Z84" s="697"/>
      <c r="AA84" s="697"/>
      <c r="AB84" s="697"/>
      <c r="AC84" s="697"/>
      <c r="AD84" s="697"/>
      <c r="AE84" s="697"/>
      <c r="AF84" s="697"/>
    </row>
    <row r="85" spans="1:32" ht="17.45">
      <c r="A85" s="697"/>
      <c r="B85" s="697"/>
      <c r="C85" s="697"/>
      <c r="D85" s="697"/>
      <c r="E85" s="697"/>
      <c r="F85" s="697"/>
      <c r="G85" s="697"/>
      <c r="H85" s="697"/>
      <c r="I85" s="697"/>
      <c r="J85" s="697"/>
      <c r="K85" s="697"/>
      <c r="L85" s="697"/>
      <c r="M85" s="697"/>
      <c r="N85" s="697"/>
      <c r="O85" s="697"/>
      <c r="P85" s="697"/>
      <c r="Q85" s="697"/>
      <c r="R85" s="697"/>
      <c r="S85" s="697"/>
      <c r="T85" s="697"/>
      <c r="U85" s="697"/>
      <c r="V85" s="697"/>
      <c r="W85" s="697"/>
      <c r="X85" s="697"/>
      <c r="Y85" s="697"/>
      <c r="Z85" s="697"/>
      <c r="AA85" s="697"/>
      <c r="AB85" s="697"/>
      <c r="AC85" s="697"/>
      <c r="AD85" s="697"/>
      <c r="AE85" s="697"/>
      <c r="AF85" s="697"/>
    </row>
    <row r="86" spans="1:32" ht="17.45">
      <c r="A86" s="697"/>
      <c r="B86" s="697"/>
      <c r="C86" s="697"/>
      <c r="D86" s="697"/>
      <c r="E86" s="697"/>
      <c r="F86" s="697"/>
      <c r="G86" s="697"/>
      <c r="H86" s="697"/>
      <c r="I86" s="697"/>
      <c r="J86" s="697"/>
      <c r="K86" s="697"/>
      <c r="L86" s="697"/>
      <c r="M86" s="697"/>
      <c r="N86" s="697"/>
      <c r="O86" s="697"/>
      <c r="P86" s="697"/>
      <c r="Q86" s="697"/>
      <c r="R86" s="697"/>
      <c r="S86" s="697"/>
      <c r="T86" s="697"/>
      <c r="U86" s="697"/>
      <c r="V86" s="697"/>
      <c r="W86" s="697"/>
      <c r="X86" s="697"/>
      <c r="Y86" s="697"/>
      <c r="Z86" s="697"/>
      <c r="AA86" s="697"/>
      <c r="AB86" s="697"/>
      <c r="AC86" s="697"/>
      <c r="AD86" s="697"/>
      <c r="AE86" s="697"/>
      <c r="AF86" s="697"/>
    </row>
    <row r="87" spans="1:32" ht="17.45">
      <c r="A87" s="697"/>
      <c r="B87" s="697"/>
      <c r="C87" s="697"/>
      <c r="D87" s="697"/>
      <c r="E87" s="697"/>
      <c r="F87" s="697"/>
      <c r="G87" s="697"/>
      <c r="H87" s="697"/>
      <c r="I87" s="697"/>
      <c r="J87" s="697"/>
      <c r="K87" s="697"/>
      <c r="L87" s="697"/>
      <c r="M87" s="697"/>
      <c r="N87" s="697"/>
      <c r="O87" s="697"/>
      <c r="P87" s="697"/>
      <c r="Q87" s="697"/>
      <c r="R87" s="697"/>
      <c r="S87" s="697"/>
      <c r="T87" s="697"/>
      <c r="U87" s="697"/>
      <c r="V87" s="697"/>
      <c r="W87" s="697"/>
      <c r="X87" s="697"/>
      <c r="Y87" s="697"/>
      <c r="Z87" s="697"/>
      <c r="AA87" s="697"/>
      <c r="AB87" s="697"/>
      <c r="AC87" s="697"/>
      <c r="AD87" s="697"/>
      <c r="AE87" s="697"/>
      <c r="AF87" s="697"/>
    </row>
    <row r="88" spans="1:32" ht="17.45">
      <c r="A88" s="697"/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697"/>
      <c r="Y88" s="697"/>
      <c r="Z88" s="697"/>
      <c r="AA88" s="697"/>
      <c r="AB88" s="697"/>
      <c r="AC88" s="697"/>
      <c r="AD88" s="697"/>
      <c r="AE88" s="697"/>
      <c r="AF88" s="6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FB25-0F16-4D5B-AE01-58688576AE87}">
  <dimension ref="A1:AF88"/>
  <sheetViews>
    <sheetView topLeftCell="A7" zoomScale="25" zoomScaleNormal="25" workbookViewId="0">
      <selection activeCell="G5" sqref="G5"/>
    </sheetView>
  </sheetViews>
  <sheetFormatPr defaultColWidth="8.7109375" defaultRowHeight="14.45"/>
  <cols>
    <col min="1" max="1" width="3" style="418" customWidth="1"/>
    <col min="2" max="2" width="21" style="418" customWidth="1"/>
    <col min="3" max="3" width="28.140625" style="418" bestFit="1" customWidth="1"/>
    <col min="4" max="4" width="23.7109375" style="418" customWidth="1"/>
    <col min="5" max="5" width="28.42578125" style="418" customWidth="1"/>
    <col min="6" max="6" width="23.7109375" style="418" customWidth="1"/>
    <col min="7" max="7" width="28.42578125" style="418" customWidth="1"/>
    <col min="8" max="8" width="23.7109375" style="418" customWidth="1"/>
    <col min="9" max="9" width="28.7109375" style="418" bestFit="1" customWidth="1"/>
    <col min="10" max="10" width="24.42578125" style="418" customWidth="1"/>
    <col min="11" max="11" width="1.7109375" style="418" customWidth="1"/>
    <col min="12" max="12" width="33" style="418" customWidth="1"/>
    <col min="13" max="14" width="23.28515625" style="418" customWidth="1"/>
    <col min="15" max="16384" width="8.7109375" style="418"/>
  </cols>
  <sheetData>
    <row r="1" spans="1:32" ht="23.25" customHeight="1">
      <c r="A1" s="793"/>
      <c r="B1" s="793"/>
      <c r="C1" s="417" t="s">
        <v>0</v>
      </c>
      <c r="D1" s="426">
        <v>177.33</v>
      </c>
      <c r="E1" s="793"/>
      <c r="F1" s="794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3"/>
      <c r="AD1" s="793"/>
      <c r="AE1" s="793"/>
      <c r="AF1" s="793"/>
    </row>
    <row r="2" spans="1:32" ht="23.25" customHeight="1">
      <c r="A2" s="793"/>
      <c r="B2" s="419" t="s">
        <v>160</v>
      </c>
      <c r="C2" s="795" t="s">
        <v>1</v>
      </c>
      <c r="D2" s="796">
        <f>J8+J16+J24+J32+J40+J48</f>
        <v>176.04000000000002</v>
      </c>
      <c r="E2" s="797" t="s">
        <v>2</v>
      </c>
      <c r="F2" s="798">
        <f>J9+J17+J25+J33+J41+J49</f>
        <v>0</v>
      </c>
      <c r="G2" s="797" t="s">
        <v>3</v>
      </c>
      <c r="H2" s="798">
        <f>J10+J18+J26+J34+J42+J50</f>
        <v>0</v>
      </c>
      <c r="I2" s="799"/>
      <c r="J2" s="800" t="s">
        <v>4</v>
      </c>
      <c r="K2" s="801"/>
      <c r="L2" s="800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793"/>
      <c r="AD2" s="793"/>
      <c r="AE2" s="793"/>
      <c r="AF2" s="793"/>
    </row>
    <row r="3" spans="1:32" ht="23.25" customHeight="1">
      <c r="A3" s="793"/>
      <c r="B3" s="802" t="s">
        <v>5</v>
      </c>
      <c r="C3" s="420" t="s">
        <v>6</v>
      </c>
      <c r="D3" s="421" t="s">
        <v>7</v>
      </c>
      <c r="E3" s="422" t="s">
        <v>8</v>
      </c>
      <c r="F3" s="423" t="s">
        <v>9</v>
      </c>
      <c r="G3" s="421" t="s">
        <v>10</v>
      </c>
      <c r="H3" s="421" t="s">
        <v>11</v>
      </c>
      <c r="I3" s="424" t="s">
        <v>12</v>
      </c>
      <c r="J3" s="800" t="s">
        <v>13</v>
      </c>
      <c r="K3" s="803"/>
      <c r="L3" s="800"/>
      <c r="M3" s="793"/>
      <c r="N3" s="793"/>
      <c r="O3" s="793"/>
      <c r="P3" s="793"/>
      <c r="Q3" s="793"/>
      <c r="R3" s="793"/>
      <c r="S3" s="793"/>
      <c r="T3" s="793"/>
      <c r="U3" s="793"/>
      <c r="V3" s="793"/>
      <c r="W3" s="793"/>
      <c r="X3" s="793"/>
      <c r="Y3" s="793"/>
      <c r="Z3" s="793"/>
      <c r="AA3" s="793"/>
      <c r="AB3" s="793"/>
      <c r="AC3" s="793"/>
      <c r="AD3" s="793"/>
      <c r="AE3" s="793"/>
      <c r="AF3" s="793"/>
    </row>
    <row r="4" spans="1:32" ht="23.25" customHeight="1">
      <c r="A4" s="793"/>
      <c r="B4" s="804" t="s">
        <v>14</v>
      </c>
      <c r="C4" s="805" t="s">
        <v>4</v>
      </c>
      <c r="D4" s="805">
        <v>1</v>
      </c>
      <c r="E4" s="805">
        <v>2</v>
      </c>
      <c r="F4" s="805">
        <v>3</v>
      </c>
      <c r="G4" s="805">
        <v>4</v>
      </c>
      <c r="H4" s="806">
        <v>5</v>
      </c>
      <c r="I4" s="807">
        <v>6</v>
      </c>
      <c r="J4" s="800" t="s">
        <v>15</v>
      </c>
      <c r="K4" s="803"/>
      <c r="L4" s="808"/>
      <c r="M4" s="793"/>
      <c r="N4" s="793"/>
      <c r="O4" s="793"/>
      <c r="P4" s="793"/>
      <c r="Q4" s="793"/>
      <c r="R4" s="793"/>
      <c r="S4" s="793"/>
      <c r="T4" s="793"/>
      <c r="U4" s="793"/>
      <c r="V4" s="793"/>
      <c r="W4" s="793"/>
      <c r="X4" s="793"/>
      <c r="Y4" s="793"/>
      <c r="Z4" s="793"/>
      <c r="AA4" s="793"/>
      <c r="AB4" s="793"/>
      <c r="AC4" s="793"/>
      <c r="AD4" s="793"/>
      <c r="AE4" s="793"/>
      <c r="AF4" s="793"/>
    </row>
    <row r="5" spans="1:32" ht="23.25" customHeight="1">
      <c r="A5" s="793"/>
      <c r="B5" s="809" t="s">
        <v>16</v>
      </c>
      <c r="C5" s="810"/>
      <c r="D5" s="811" t="s">
        <v>41</v>
      </c>
      <c r="E5" s="812" t="s">
        <v>53</v>
      </c>
      <c r="F5" s="811" t="s">
        <v>161</v>
      </c>
      <c r="G5" s="813" t="s">
        <v>162</v>
      </c>
      <c r="H5" s="814" t="s">
        <v>163</v>
      </c>
      <c r="I5" s="814" t="s">
        <v>164</v>
      </c>
      <c r="J5" s="800" t="s">
        <v>17</v>
      </c>
      <c r="K5" s="803"/>
      <c r="L5" s="815"/>
      <c r="M5" s="793"/>
      <c r="N5" s="793"/>
      <c r="O5" s="793"/>
      <c r="P5" s="793"/>
      <c r="Q5" s="793"/>
      <c r="R5" s="793"/>
      <c r="S5" s="793"/>
      <c r="T5" s="793"/>
      <c r="U5" s="793"/>
      <c r="V5" s="793"/>
      <c r="W5" s="793"/>
      <c r="X5" s="793"/>
      <c r="Y5" s="793"/>
      <c r="Z5" s="793"/>
      <c r="AA5" s="793"/>
      <c r="AB5" s="793"/>
      <c r="AC5" s="793"/>
      <c r="AD5" s="793"/>
      <c r="AE5" s="793"/>
      <c r="AF5" s="793"/>
    </row>
    <row r="6" spans="1:32" ht="23.25" customHeight="1">
      <c r="A6" s="793"/>
      <c r="B6" s="816" t="s">
        <v>18</v>
      </c>
      <c r="C6" s="817" t="s">
        <v>4</v>
      </c>
      <c r="D6" s="817">
        <v>0.67</v>
      </c>
      <c r="E6" s="818">
        <v>0.76</v>
      </c>
      <c r="F6" s="818">
        <v>0.84</v>
      </c>
      <c r="G6" s="819">
        <v>0.91</v>
      </c>
      <c r="H6" s="820">
        <v>0.96</v>
      </c>
      <c r="I6" s="821">
        <v>0.99</v>
      </c>
      <c r="J6" s="822"/>
      <c r="K6" s="803"/>
      <c r="L6" s="793"/>
      <c r="M6" s="793"/>
      <c r="N6" s="793"/>
      <c r="O6" s="793"/>
      <c r="P6" s="793"/>
      <c r="Q6" s="793"/>
      <c r="R6" s="793"/>
      <c r="S6" s="793"/>
      <c r="T6" s="793"/>
      <c r="U6" s="793"/>
      <c r="V6" s="793"/>
      <c r="W6" s="793"/>
      <c r="X6" s="793"/>
      <c r="Y6" s="793"/>
      <c r="Z6" s="793"/>
      <c r="AA6" s="793"/>
      <c r="AB6" s="793"/>
      <c r="AC6" s="793"/>
      <c r="AD6" s="793"/>
      <c r="AE6" s="793"/>
      <c r="AF6" s="793"/>
    </row>
    <row r="7" spans="1:32" ht="23.25" customHeight="1">
      <c r="A7" s="793"/>
      <c r="B7" s="809" t="s">
        <v>19</v>
      </c>
      <c r="C7" s="823"/>
      <c r="D7" s="824" t="s">
        <v>62</v>
      </c>
      <c r="E7" s="825" t="s">
        <v>62</v>
      </c>
      <c r="F7" s="824" t="s">
        <v>52</v>
      </c>
      <c r="G7" s="826" t="s">
        <v>62</v>
      </c>
      <c r="H7" s="826" t="s">
        <v>54</v>
      </c>
      <c r="I7" s="827" t="s">
        <v>42</v>
      </c>
      <c r="J7" s="828" t="s">
        <v>20</v>
      </c>
      <c r="K7" s="803"/>
      <c r="L7" s="829"/>
      <c r="M7" s="793"/>
      <c r="N7" s="793"/>
      <c r="O7" s="793"/>
      <c r="P7" s="793"/>
      <c r="Q7" s="793"/>
      <c r="R7" s="793"/>
      <c r="S7" s="793"/>
      <c r="T7" s="793"/>
      <c r="U7" s="793"/>
      <c r="V7" s="793"/>
      <c r="W7" s="793"/>
      <c r="X7" s="793"/>
      <c r="Y7" s="793"/>
      <c r="Z7" s="793"/>
      <c r="AA7" s="793"/>
      <c r="AB7" s="793"/>
      <c r="AC7" s="793"/>
      <c r="AD7" s="793"/>
      <c r="AE7" s="793"/>
      <c r="AF7" s="793"/>
    </row>
    <row r="8" spans="1:32" ht="23.25" customHeight="1">
      <c r="A8" s="793"/>
      <c r="B8" s="804" t="s">
        <v>21</v>
      </c>
      <c r="C8" s="830"/>
      <c r="D8" s="831">
        <v>2.9</v>
      </c>
      <c r="E8" s="832">
        <v>3.1</v>
      </c>
      <c r="F8" s="831">
        <v>2.2999999999999998</v>
      </c>
      <c r="G8" s="831">
        <v>5.8</v>
      </c>
      <c r="H8" s="831">
        <v>8.7799999999999994</v>
      </c>
      <c r="I8" s="833" t="s">
        <v>165</v>
      </c>
      <c r="J8" s="834" cm="1">
        <f t="array" ref="J8">SUM(IF(ISNUMBER(C8:I8), C8:I8, 0))</f>
        <v>22.880000000000003</v>
      </c>
      <c r="K8" s="803"/>
      <c r="L8" s="835" t="s">
        <v>22</v>
      </c>
      <c r="M8" s="793"/>
      <c r="N8" s="793"/>
      <c r="O8" s="793"/>
      <c r="P8" s="793"/>
      <c r="Q8" s="793"/>
      <c r="R8" s="793"/>
      <c r="S8" s="793"/>
      <c r="T8" s="793"/>
      <c r="U8" s="793"/>
      <c r="V8" s="793"/>
      <c r="W8" s="793"/>
      <c r="X8" s="793"/>
      <c r="Y8" s="793"/>
      <c r="Z8" s="793"/>
      <c r="AA8" s="793"/>
      <c r="AB8" s="793"/>
      <c r="AC8" s="793"/>
      <c r="AD8" s="793"/>
      <c r="AE8" s="793"/>
      <c r="AF8" s="793"/>
    </row>
    <row r="9" spans="1:32" ht="23.25" customHeight="1">
      <c r="A9" s="793"/>
      <c r="B9" s="804" t="s">
        <v>23</v>
      </c>
      <c r="C9" s="830"/>
      <c r="D9" s="831">
        <v>0</v>
      </c>
      <c r="E9" s="832">
        <v>0</v>
      </c>
      <c r="F9" s="831">
        <v>0</v>
      </c>
      <c r="G9" s="831">
        <v>0</v>
      </c>
      <c r="H9" s="831">
        <v>0</v>
      </c>
      <c r="I9" s="833">
        <v>0</v>
      </c>
      <c r="J9" s="834" cm="1">
        <f t="array" ref="J9">SUM(IF(ISNUMBER(B9:I9), B9:I9, 0))</f>
        <v>0</v>
      </c>
      <c r="K9" s="803"/>
      <c r="L9" s="835" t="s">
        <v>24</v>
      </c>
      <c r="M9" s="793"/>
      <c r="N9" s="793"/>
      <c r="O9" s="793"/>
      <c r="P9" s="793"/>
      <c r="Q9" s="793"/>
      <c r="R9" s="793"/>
      <c r="S9" s="793"/>
      <c r="T9" s="793"/>
      <c r="U9" s="793"/>
      <c r="V9" s="793"/>
      <c r="W9" s="793"/>
      <c r="X9" s="793"/>
      <c r="Y9" s="793"/>
      <c r="Z9" s="793"/>
      <c r="AA9" s="793"/>
      <c r="AB9" s="793"/>
      <c r="AC9" s="793"/>
      <c r="AD9" s="793"/>
      <c r="AE9" s="793"/>
      <c r="AF9" s="793"/>
    </row>
    <row r="10" spans="1:32" ht="23.25" customHeight="1">
      <c r="A10" s="793"/>
      <c r="B10" s="804" t="s">
        <v>25</v>
      </c>
      <c r="C10" s="830"/>
      <c r="D10" s="831">
        <v>0</v>
      </c>
      <c r="E10" s="832">
        <v>0</v>
      </c>
      <c r="F10" s="831">
        <v>0</v>
      </c>
      <c r="G10" s="831">
        <v>0</v>
      </c>
      <c r="H10" s="831">
        <v>0</v>
      </c>
      <c r="I10" s="836">
        <v>0</v>
      </c>
      <c r="J10" s="837" cm="1">
        <f t="array" ref="J10">SUM(IF(ISNUMBER(B10:I10), B10:I10, 0))</f>
        <v>0</v>
      </c>
      <c r="K10" s="803"/>
      <c r="L10" s="835" t="s">
        <v>26</v>
      </c>
      <c r="M10" s="793"/>
      <c r="N10" s="793"/>
      <c r="O10" s="793"/>
      <c r="P10" s="793"/>
      <c r="Q10" s="793"/>
      <c r="R10" s="793"/>
      <c r="S10" s="793"/>
      <c r="T10" s="793"/>
      <c r="U10" s="793"/>
      <c r="V10" s="793"/>
      <c r="W10" s="793"/>
      <c r="X10" s="793"/>
      <c r="Y10" s="793"/>
      <c r="Z10" s="793"/>
      <c r="AA10" s="793"/>
      <c r="AB10" s="793"/>
      <c r="AC10" s="793"/>
      <c r="AD10" s="793"/>
      <c r="AE10" s="793"/>
      <c r="AF10" s="793"/>
    </row>
    <row r="11" spans="1:32" ht="23.25" customHeight="1">
      <c r="A11" s="793"/>
      <c r="B11" s="838" t="s">
        <v>27</v>
      </c>
      <c r="C11" s="839" t="s">
        <v>4</v>
      </c>
      <c r="D11" s="840" t="s">
        <v>166</v>
      </c>
      <c r="E11" s="841" t="s">
        <v>167</v>
      </c>
      <c r="F11" s="842" t="s">
        <v>168</v>
      </c>
      <c r="G11" s="843" t="s">
        <v>169</v>
      </c>
      <c r="H11" s="844" t="s">
        <v>170</v>
      </c>
      <c r="I11" s="845" t="s">
        <v>171</v>
      </c>
      <c r="J11" s="837">
        <v>7.88</v>
      </c>
      <c r="K11" s="803"/>
      <c r="L11" s="835" t="s">
        <v>28</v>
      </c>
      <c r="M11" s="793"/>
      <c r="N11" s="793"/>
      <c r="O11" s="793"/>
      <c r="P11" s="793"/>
      <c r="Q11" s="793"/>
      <c r="R11" s="793"/>
      <c r="S11" s="793"/>
      <c r="T11" s="793"/>
      <c r="U11" s="793"/>
      <c r="V11" s="793"/>
      <c r="W11" s="793"/>
      <c r="X11" s="793"/>
      <c r="Y11" s="793"/>
      <c r="Z11" s="793"/>
      <c r="AA11" s="793"/>
      <c r="AB11" s="793"/>
      <c r="AC11" s="793"/>
      <c r="AD11" s="793"/>
      <c r="AE11" s="793"/>
      <c r="AF11" s="793"/>
    </row>
    <row r="12" spans="1:32" ht="23.25" customHeight="1">
      <c r="A12" s="793"/>
      <c r="B12" s="793" t="s">
        <v>4</v>
      </c>
      <c r="C12" s="846">
        <v>7</v>
      </c>
      <c r="D12" s="846">
        <v>8</v>
      </c>
      <c r="E12" s="846">
        <v>9</v>
      </c>
      <c r="F12" s="847">
        <v>10</v>
      </c>
      <c r="G12" s="848">
        <v>11</v>
      </c>
      <c r="H12" s="849">
        <v>12</v>
      </c>
      <c r="I12" s="807">
        <v>13</v>
      </c>
      <c r="J12" s="850"/>
      <c r="K12" s="803"/>
      <c r="L12" s="851"/>
      <c r="M12" s="793"/>
      <c r="N12" s="793"/>
      <c r="O12" s="793"/>
      <c r="P12" s="793"/>
      <c r="Q12" s="793"/>
      <c r="R12" s="793"/>
      <c r="S12" s="793"/>
      <c r="T12" s="793"/>
      <c r="U12" s="793"/>
      <c r="V12" s="793"/>
      <c r="W12" s="793"/>
      <c r="X12" s="793"/>
      <c r="Y12" s="793"/>
      <c r="Z12" s="793"/>
      <c r="AA12" s="793"/>
      <c r="AB12" s="793"/>
      <c r="AC12" s="793"/>
      <c r="AD12" s="793"/>
      <c r="AE12" s="793"/>
      <c r="AF12" s="793"/>
    </row>
    <row r="13" spans="1:32" ht="23.25" customHeight="1">
      <c r="A13" s="793"/>
      <c r="B13" s="793"/>
      <c r="C13" s="814" t="s">
        <v>163</v>
      </c>
      <c r="D13" s="814" t="s">
        <v>164</v>
      </c>
      <c r="E13" s="852" t="s">
        <v>172</v>
      </c>
      <c r="F13" s="811" t="s">
        <v>173</v>
      </c>
      <c r="G13" s="824" t="s">
        <v>174</v>
      </c>
      <c r="H13" s="853" t="s">
        <v>175</v>
      </c>
      <c r="I13" s="854" t="s">
        <v>50</v>
      </c>
      <c r="J13" s="850"/>
      <c r="K13" s="803"/>
      <c r="L13" s="851"/>
      <c r="M13" s="793"/>
      <c r="N13" s="793"/>
      <c r="O13" s="793"/>
      <c r="P13" s="793"/>
      <c r="Q13" s="793"/>
      <c r="R13" s="793"/>
      <c r="S13" s="793"/>
      <c r="T13" s="793"/>
      <c r="U13" s="793"/>
      <c r="V13" s="793"/>
      <c r="W13" s="793"/>
      <c r="X13" s="793"/>
      <c r="Y13" s="793"/>
      <c r="Z13" s="793"/>
      <c r="AA13" s="793"/>
      <c r="AB13" s="793"/>
      <c r="AC13" s="793"/>
      <c r="AD13" s="793"/>
      <c r="AE13" s="793"/>
      <c r="AF13" s="793"/>
    </row>
    <row r="14" spans="1:32" ht="23.25" customHeight="1">
      <c r="A14" s="793"/>
      <c r="B14" s="793"/>
      <c r="C14" s="855">
        <v>1</v>
      </c>
      <c r="D14" s="820">
        <v>0.98</v>
      </c>
      <c r="E14" s="817">
        <v>0.93</v>
      </c>
      <c r="F14" s="818">
        <v>0.86</v>
      </c>
      <c r="G14" s="818">
        <v>0.77</v>
      </c>
      <c r="H14" s="856">
        <v>0.66</v>
      </c>
      <c r="I14" s="857">
        <v>0.55000000000000004</v>
      </c>
      <c r="J14" s="803"/>
      <c r="K14" s="803"/>
      <c r="L14" s="851"/>
      <c r="M14" s="793"/>
      <c r="N14" s="793"/>
      <c r="O14" s="793"/>
      <c r="P14" s="793"/>
      <c r="Q14" s="793"/>
      <c r="R14" s="793"/>
      <c r="S14" s="793"/>
      <c r="T14" s="793"/>
      <c r="U14" s="793"/>
      <c r="V14" s="793"/>
      <c r="W14" s="793"/>
      <c r="X14" s="793"/>
      <c r="Y14" s="793"/>
      <c r="Z14" s="793"/>
      <c r="AA14" s="793"/>
      <c r="AB14" s="793"/>
      <c r="AC14" s="793"/>
      <c r="AD14" s="793"/>
      <c r="AE14" s="793"/>
      <c r="AF14" s="793"/>
    </row>
    <row r="15" spans="1:32" ht="23.25" customHeight="1">
      <c r="A15" s="793"/>
      <c r="B15" s="793"/>
      <c r="C15" s="858" t="s">
        <v>52</v>
      </c>
      <c r="D15" s="859" t="s">
        <v>91</v>
      </c>
      <c r="E15" s="860" t="s">
        <v>42</v>
      </c>
      <c r="F15" s="824" t="s">
        <v>108</v>
      </c>
      <c r="G15" s="824" t="s">
        <v>42</v>
      </c>
      <c r="H15" s="853" t="s">
        <v>42</v>
      </c>
      <c r="I15" s="861" t="s">
        <v>42</v>
      </c>
      <c r="J15" s="828" t="s">
        <v>29</v>
      </c>
      <c r="K15" s="803"/>
      <c r="L15" s="851"/>
      <c r="M15" s="793"/>
      <c r="N15" s="793"/>
      <c r="O15" s="793"/>
      <c r="P15" s="793"/>
      <c r="Q15" s="793"/>
      <c r="R15" s="793"/>
      <c r="S15" s="793"/>
      <c r="T15" s="793"/>
      <c r="U15" s="793"/>
      <c r="V15" s="793"/>
      <c r="W15" s="793"/>
      <c r="X15" s="793"/>
      <c r="Y15" s="793"/>
      <c r="Z15" s="793"/>
      <c r="AA15" s="793"/>
      <c r="AB15" s="793"/>
      <c r="AC15" s="793"/>
      <c r="AD15" s="793"/>
      <c r="AE15" s="793"/>
      <c r="AF15" s="793"/>
    </row>
    <row r="16" spans="1:32" ht="23.25" customHeight="1">
      <c r="A16" s="793"/>
      <c r="B16" s="793"/>
      <c r="C16" s="830">
        <v>4.53</v>
      </c>
      <c r="D16" s="831">
        <v>8.1199999999999992</v>
      </c>
      <c r="E16" s="831" t="s">
        <v>176</v>
      </c>
      <c r="F16" s="831">
        <v>8.7799999999999994</v>
      </c>
      <c r="G16" s="831">
        <v>6.43</v>
      </c>
      <c r="H16" s="831">
        <v>8.8000000000000007</v>
      </c>
      <c r="I16" s="833" t="s">
        <v>165</v>
      </c>
      <c r="J16" s="834" cm="1">
        <f t="array" ref="J16">SUM(IF(ISNUMBER(B16:I16), B16:I16, 0))</f>
        <v>36.659999999999997</v>
      </c>
      <c r="K16" s="803"/>
      <c r="L16" s="862" t="s">
        <v>22</v>
      </c>
      <c r="M16" s="793"/>
      <c r="N16" s="793"/>
      <c r="O16" s="793"/>
      <c r="P16" s="793"/>
      <c r="Q16" s="793"/>
      <c r="R16" s="793"/>
      <c r="S16" s="793"/>
      <c r="T16" s="793"/>
      <c r="U16" s="793"/>
      <c r="V16" s="793"/>
      <c r="W16" s="793"/>
      <c r="X16" s="793"/>
      <c r="Y16" s="793"/>
      <c r="Z16" s="793"/>
      <c r="AA16" s="793"/>
      <c r="AB16" s="793"/>
      <c r="AC16" s="793"/>
      <c r="AD16" s="793"/>
      <c r="AE16" s="793"/>
      <c r="AF16" s="793"/>
    </row>
    <row r="17" spans="1:32" ht="23.25" customHeight="1">
      <c r="A17" s="793"/>
      <c r="B17" s="793"/>
      <c r="C17" s="830">
        <v>0</v>
      </c>
      <c r="D17" s="831">
        <v>0</v>
      </c>
      <c r="E17" s="831">
        <v>0</v>
      </c>
      <c r="F17" s="831">
        <v>0</v>
      </c>
      <c r="G17" s="831">
        <v>0</v>
      </c>
      <c r="H17" s="831">
        <v>0</v>
      </c>
      <c r="I17" s="833">
        <v>0</v>
      </c>
      <c r="J17" s="834" cm="1">
        <f t="array" ref="J17">SUM(IF(ISNUMBER(B17:I17), B17:I17, 0))</f>
        <v>0</v>
      </c>
      <c r="K17" s="803"/>
      <c r="L17" s="862" t="s">
        <v>24</v>
      </c>
      <c r="M17" s="793"/>
      <c r="N17" s="793"/>
      <c r="O17" s="793"/>
      <c r="P17" s="793"/>
      <c r="Q17" s="793"/>
      <c r="R17" s="793"/>
      <c r="S17" s="793"/>
      <c r="T17" s="793"/>
      <c r="U17" s="793"/>
      <c r="V17" s="793"/>
      <c r="W17" s="793"/>
      <c r="X17" s="793"/>
      <c r="Y17" s="793"/>
      <c r="Z17" s="793"/>
      <c r="AA17" s="793"/>
      <c r="AB17" s="793"/>
      <c r="AC17" s="793"/>
      <c r="AD17" s="793"/>
      <c r="AE17" s="793"/>
      <c r="AF17" s="793"/>
    </row>
    <row r="18" spans="1:32" ht="23.25" customHeight="1">
      <c r="A18" s="793"/>
      <c r="B18" s="793"/>
      <c r="C18" s="830">
        <v>0</v>
      </c>
      <c r="D18" s="831">
        <v>0</v>
      </c>
      <c r="E18" s="831">
        <v>0</v>
      </c>
      <c r="F18" s="831">
        <v>0</v>
      </c>
      <c r="G18" s="831">
        <v>0</v>
      </c>
      <c r="H18" s="831">
        <v>0</v>
      </c>
      <c r="I18" s="833">
        <v>0</v>
      </c>
      <c r="J18" s="837" cm="1">
        <f t="array" ref="J18">SUM(IF(ISNUMBER(B18:I18), B18:I18, 0))</f>
        <v>0</v>
      </c>
      <c r="K18" s="803"/>
      <c r="L18" s="862" t="s">
        <v>26</v>
      </c>
      <c r="M18" s="793"/>
      <c r="N18" s="793"/>
      <c r="O18" s="793"/>
      <c r="P18" s="793"/>
      <c r="Q18" s="793"/>
      <c r="R18" s="793"/>
      <c r="S18" s="793"/>
      <c r="T18" s="793"/>
      <c r="U18" s="793"/>
      <c r="V18" s="793"/>
      <c r="W18" s="793"/>
      <c r="X18" s="793"/>
      <c r="Y18" s="793"/>
      <c r="Z18" s="793"/>
      <c r="AA18" s="793"/>
      <c r="AB18" s="793"/>
      <c r="AC18" s="793"/>
      <c r="AD18" s="793"/>
      <c r="AE18" s="793"/>
      <c r="AF18" s="793"/>
    </row>
    <row r="19" spans="1:32" ht="23.25" customHeight="1">
      <c r="A19" s="793"/>
      <c r="B19" s="793"/>
      <c r="C19" s="863" t="s">
        <v>177</v>
      </c>
      <c r="D19" s="864" t="s">
        <v>178</v>
      </c>
      <c r="E19" s="840" t="s">
        <v>179</v>
      </c>
      <c r="F19" s="843" t="s">
        <v>180</v>
      </c>
      <c r="G19" s="865" t="s">
        <v>181</v>
      </c>
      <c r="H19" s="866" t="s">
        <v>182</v>
      </c>
      <c r="I19" s="845" t="s">
        <v>183</v>
      </c>
      <c r="J19" s="837">
        <v>32.35</v>
      </c>
      <c r="K19" s="803"/>
      <c r="L19" s="835" t="s">
        <v>28</v>
      </c>
      <c r="M19" s="793"/>
      <c r="N19" s="793"/>
      <c r="O19" s="793"/>
      <c r="P19" s="793"/>
      <c r="Q19" s="793"/>
      <c r="R19" s="793"/>
      <c r="S19" s="793"/>
      <c r="T19" s="793"/>
      <c r="U19" s="793"/>
      <c r="V19" s="793"/>
      <c r="W19" s="793"/>
      <c r="X19" s="793"/>
      <c r="Y19" s="793"/>
      <c r="Z19" s="793"/>
      <c r="AA19" s="793"/>
      <c r="AB19" s="793"/>
      <c r="AC19" s="793"/>
      <c r="AD19" s="793"/>
      <c r="AE19" s="793"/>
      <c r="AF19" s="793"/>
    </row>
    <row r="20" spans="1:32" ht="23.25" customHeight="1">
      <c r="A20" s="793"/>
      <c r="B20" s="793"/>
      <c r="C20" s="867">
        <v>14</v>
      </c>
      <c r="D20" s="867">
        <v>15</v>
      </c>
      <c r="E20" s="868">
        <v>16</v>
      </c>
      <c r="F20" s="869">
        <v>17</v>
      </c>
      <c r="G20" s="870">
        <v>18</v>
      </c>
      <c r="H20" s="870">
        <v>19</v>
      </c>
      <c r="I20" s="871">
        <v>20</v>
      </c>
      <c r="J20" s="850"/>
      <c r="K20" s="803"/>
      <c r="L20" s="851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</row>
    <row r="21" spans="1:32" ht="23.25" customHeight="1">
      <c r="A21" s="793"/>
      <c r="B21" s="793"/>
      <c r="C21" s="872" t="s">
        <v>50</v>
      </c>
      <c r="D21" s="873" t="s">
        <v>40</v>
      </c>
      <c r="E21" s="873" t="s">
        <v>173</v>
      </c>
      <c r="F21" s="873" t="s">
        <v>184</v>
      </c>
      <c r="G21" s="873" t="s">
        <v>174</v>
      </c>
      <c r="H21" s="824" t="s">
        <v>185</v>
      </c>
      <c r="I21" s="874" t="s">
        <v>41</v>
      </c>
      <c r="J21" s="850"/>
      <c r="K21" s="803"/>
      <c r="L21" s="851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</row>
    <row r="22" spans="1:32" ht="23.25" customHeight="1">
      <c r="A22" s="793"/>
      <c r="B22" s="793"/>
      <c r="C22" s="875">
        <v>0.44</v>
      </c>
      <c r="D22" s="818">
        <v>0.33</v>
      </c>
      <c r="E22" s="818">
        <v>0.23</v>
      </c>
      <c r="F22" s="818">
        <v>0.15</v>
      </c>
      <c r="G22" s="819">
        <v>0.08</v>
      </c>
      <c r="H22" s="820">
        <v>0.03</v>
      </c>
      <c r="I22" s="821">
        <v>0.01</v>
      </c>
      <c r="J22" s="803"/>
      <c r="K22" s="803"/>
      <c r="L22" s="851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</row>
    <row r="23" spans="1:32" ht="23.25" customHeight="1">
      <c r="A23" s="793"/>
      <c r="B23" s="793"/>
      <c r="C23" s="872" t="s">
        <v>42</v>
      </c>
      <c r="D23" s="873" t="s">
        <v>42</v>
      </c>
      <c r="E23" s="873" t="s">
        <v>108</v>
      </c>
      <c r="F23" s="873" t="s">
        <v>54</v>
      </c>
      <c r="G23" s="873" t="s">
        <v>62</v>
      </c>
      <c r="H23" s="873" t="s">
        <v>54</v>
      </c>
      <c r="I23" s="874" t="s">
        <v>51</v>
      </c>
      <c r="J23" s="876" t="s">
        <v>30</v>
      </c>
      <c r="K23" s="803"/>
      <c r="L23" s="851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</row>
    <row r="24" spans="1:32" ht="23.25" customHeight="1">
      <c r="A24" s="793"/>
      <c r="B24" s="793"/>
      <c r="C24" s="830">
        <v>8.5</v>
      </c>
      <c r="D24" s="831">
        <v>8.3000000000000007</v>
      </c>
      <c r="E24" s="831">
        <v>2.8</v>
      </c>
      <c r="F24" s="831">
        <v>5.5</v>
      </c>
      <c r="G24" s="831">
        <v>9.1</v>
      </c>
      <c r="H24" s="877">
        <v>4.8</v>
      </c>
      <c r="I24" s="878">
        <v>8.9</v>
      </c>
      <c r="J24" s="879" cm="1">
        <f t="array" ref="J24">SUM(IF(ISNUMBER(B24:I24), B24:I24, 0))</f>
        <v>47.9</v>
      </c>
      <c r="K24" s="803"/>
      <c r="L24" s="862" t="s">
        <v>22</v>
      </c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</row>
    <row r="25" spans="1:32" ht="23.25" customHeight="1">
      <c r="A25" s="793"/>
      <c r="B25" s="793"/>
      <c r="C25" s="830">
        <v>0</v>
      </c>
      <c r="D25" s="880" t="s">
        <v>75</v>
      </c>
      <c r="E25" s="831">
        <v>0</v>
      </c>
      <c r="F25" s="831">
        <v>0</v>
      </c>
      <c r="G25" s="831">
        <v>0</v>
      </c>
      <c r="H25" s="877">
        <v>0</v>
      </c>
      <c r="I25" s="878">
        <v>0</v>
      </c>
      <c r="J25" s="879" cm="1">
        <f t="array" ref="J25">SUM(IF(ISNUMBER(B25:I25), B25:I25, 0))</f>
        <v>0</v>
      </c>
      <c r="K25" s="803"/>
      <c r="L25" s="862" t="s">
        <v>24</v>
      </c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</row>
    <row r="26" spans="1:32" ht="23.25" customHeight="1">
      <c r="A26" s="793"/>
      <c r="B26" s="793"/>
      <c r="C26" s="830">
        <v>0</v>
      </c>
      <c r="D26" s="877">
        <v>0</v>
      </c>
      <c r="E26" s="877">
        <v>0</v>
      </c>
      <c r="F26" s="877">
        <v>0</v>
      </c>
      <c r="G26" s="877">
        <v>0</v>
      </c>
      <c r="H26" s="877">
        <v>0</v>
      </c>
      <c r="I26" s="878">
        <v>0</v>
      </c>
      <c r="J26" s="881" cm="1">
        <f t="array" ref="J26">SUM(IF(ISNUMBER(B26:I26), B26:I26, 0))</f>
        <v>0</v>
      </c>
      <c r="K26" s="803"/>
      <c r="L26" s="862" t="s">
        <v>26</v>
      </c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</row>
    <row r="27" spans="1:32" ht="23.25" customHeight="1">
      <c r="A27" s="793"/>
      <c r="B27" s="793"/>
      <c r="C27" s="882" t="s">
        <v>186</v>
      </c>
      <c r="D27" s="840" t="s">
        <v>187</v>
      </c>
      <c r="E27" s="840" t="s">
        <v>188</v>
      </c>
      <c r="F27" s="883" t="s">
        <v>189</v>
      </c>
      <c r="G27" s="840" t="s">
        <v>190</v>
      </c>
      <c r="H27" s="840" t="s">
        <v>191</v>
      </c>
      <c r="I27" s="884" t="s">
        <v>192</v>
      </c>
      <c r="J27" s="837">
        <v>60.88</v>
      </c>
      <c r="K27" s="803"/>
      <c r="L27" s="835" t="s">
        <v>28</v>
      </c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</row>
    <row r="28" spans="1:32" ht="23.25" customHeight="1">
      <c r="A28" s="793"/>
      <c r="B28" s="793"/>
      <c r="C28" s="846">
        <v>21</v>
      </c>
      <c r="D28" s="846">
        <v>22</v>
      </c>
      <c r="E28" s="846">
        <v>23</v>
      </c>
      <c r="F28" s="846">
        <v>24</v>
      </c>
      <c r="G28" s="846">
        <v>25</v>
      </c>
      <c r="H28" s="846">
        <v>26</v>
      </c>
      <c r="I28" s="846">
        <v>27</v>
      </c>
      <c r="J28" s="885"/>
      <c r="K28" s="803"/>
      <c r="L28" s="851"/>
      <c r="M28" s="793"/>
      <c r="N28" s="793"/>
      <c r="O28" s="793"/>
      <c r="P28" s="793"/>
      <c r="Q28" s="793"/>
      <c r="R28" s="793"/>
      <c r="S28" s="793"/>
      <c r="T28" s="793"/>
      <c r="U28" s="793"/>
      <c r="V28" s="793"/>
      <c r="W28" s="793"/>
      <c r="X28" s="793"/>
      <c r="Y28" s="793"/>
      <c r="Z28" s="793"/>
      <c r="AA28" s="793"/>
      <c r="AB28" s="793"/>
      <c r="AC28" s="793"/>
      <c r="AD28" s="793"/>
      <c r="AE28" s="793"/>
      <c r="AF28" s="793"/>
    </row>
    <row r="29" spans="1:32" ht="23.25" customHeight="1">
      <c r="A29" s="793"/>
      <c r="B29" s="793"/>
      <c r="C29" s="810" t="s">
        <v>193</v>
      </c>
      <c r="D29" s="811" t="s">
        <v>184</v>
      </c>
      <c r="E29" s="812" t="s">
        <v>51</v>
      </c>
      <c r="F29" s="886" t="s">
        <v>50</v>
      </c>
      <c r="G29" s="811" t="s">
        <v>185</v>
      </c>
      <c r="H29" s="811" t="s">
        <v>41</v>
      </c>
      <c r="I29" s="887" t="s">
        <v>40</v>
      </c>
      <c r="J29" s="850"/>
      <c r="K29" s="803"/>
      <c r="L29" s="851"/>
      <c r="M29" s="793"/>
      <c r="N29" s="793"/>
      <c r="O29" s="793"/>
      <c r="P29" s="793"/>
      <c r="Q29" s="793"/>
      <c r="R29" s="793"/>
      <c r="S29" s="793"/>
      <c r="T29" s="793"/>
      <c r="U29" s="793"/>
      <c r="V29" s="793"/>
      <c r="W29" s="793"/>
      <c r="X29" s="793"/>
      <c r="Y29" s="793"/>
      <c r="Z29" s="793"/>
      <c r="AA29" s="793"/>
      <c r="AB29" s="793"/>
      <c r="AC29" s="793"/>
      <c r="AD29" s="793"/>
      <c r="AE29" s="793"/>
      <c r="AF29" s="793"/>
    </row>
    <row r="30" spans="1:32" ht="23.25" customHeight="1">
      <c r="A30" s="793"/>
      <c r="B30" s="793"/>
      <c r="C30" s="875">
        <v>0</v>
      </c>
      <c r="D30" s="818">
        <v>0.01</v>
      </c>
      <c r="E30" s="818">
        <v>0.05</v>
      </c>
      <c r="F30" s="818">
        <v>0.09</v>
      </c>
      <c r="G30" s="818">
        <v>0.16</v>
      </c>
      <c r="H30" s="818">
        <v>0.23</v>
      </c>
      <c r="I30" s="821">
        <v>0.32</v>
      </c>
      <c r="J30" s="803"/>
      <c r="K30" s="803"/>
      <c r="L30" s="851"/>
      <c r="M30" s="793"/>
      <c r="N30" s="793"/>
      <c r="O30" s="793"/>
      <c r="P30" s="793"/>
      <c r="Q30" s="793"/>
      <c r="R30" s="793"/>
      <c r="S30" s="793"/>
      <c r="T30" s="793"/>
      <c r="U30" s="793"/>
      <c r="V30" s="793"/>
      <c r="W30" s="793"/>
      <c r="X30" s="793"/>
      <c r="Y30" s="793"/>
      <c r="Z30" s="793"/>
      <c r="AA30" s="793"/>
      <c r="AB30" s="793"/>
      <c r="AC30" s="793"/>
      <c r="AD30" s="793"/>
      <c r="AE30" s="793"/>
      <c r="AF30" s="793"/>
    </row>
    <row r="31" spans="1:32" ht="23.25" customHeight="1">
      <c r="A31" s="793"/>
      <c r="B31" s="793"/>
      <c r="C31" s="823" t="s">
        <v>54</v>
      </c>
      <c r="D31" s="873" t="s">
        <v>62</v>
      </c>
      <c r="E31" s="873" t="s">
        <v>108</v>
      </c>
      <c r="F31" s="824" t="s">
        <v>108</v>
      </c>
      <c r="G31" s="824" t="s">
        <v>52</v>
      </c>
      <c r="H31" s="824" t="s">
        <v>52</v>
      </c>
      <c r="I31" s="874" t="s">
        <v>51</v>
      </c>
      <c r="J31" s="876" t="s">
        <v>31</v>
      </c>
      <c r="K31" s="803"/>
      <c r="L31" s="851"/>
      <c r="M31" s="793"/>
      <c r="N31" s="793"/>
      <c r="O31" s="793"/>
      <c r="P31" s="793"/>
      <c r="Q31" s="793"/>
      <c r="R31" s="793"/>
      <c r="S31" s="793"/>
      <c r="T31" s="793"/>
      <c r="U31" s="793"/>
      <c r="V31" s="793"/>
      <c r="W31" s="793"/>
      <c r="X31" s="793"/>
      <c r="Y31" s="793"/>
      <c r="Z31" s="793"/>
      <c r="AA31" s="793"/>
      <c r="AB31" s="793"/>
      <c r="AC31" s="793"/>
      <c r="AD31" s="793"/>
      <c r="AE31" s="793"/>
      <c r="AF31" s="793"/>
    </row>
    <row r="32" spans="1:32" ht="23.25" customHeight="1">
      <c r="A32" s="793"/>
      <c r="B32" s="793"/>
      <c r="C32" s="830">
        <v>2.2999999999999998</v>
      </c>
      <c r="D32" s="831">
        <v>9.1999999999999993</v>
      </c>
      <c r="E32" s="831">
        <v>9.1</v>
      </c>
      <c r="F32" s="831" t="s">
        <v>119</v>
      </c>
      <c r="G32" s="831">
        <v>8.4</v>
      </c>
      <c r="H32" s="831">
        <v>7.3</v>
      </c>
      <c r="I32" s="888">
        <v>9</v>
      </c>
      <c r="J32" s="879" cm="1">
        <f t="array" ref="J32">SUM(IF(ISNUMBER(B32:I32), B32:I32, 0))</f>
        <v>45.3</v>
      </c>
      <c r="K32" s="803"/>
      <c r="L32" s="862" t="s">
        <v>22</v>
      </c>
      <c r="M32" s="793"/>
      <c r="N32" s="793"/>
      <c r="O32" s="793"/>
      <c r="P32" s="793"/>
      <c r="Q32" s="793"/>
      <c r="R32" s="793"/>
      <c r="S32" s="793"/>
      <c r="T32" s="793"/>
      <c r="U32" s="793"/>
      <c r="V32" s="793"/>
      <c r="W32" s="793"/>
      <c r="X32" s="793"/>
      <c r="Y32" s="793"/>
      <c r="Z32" s="793"/>
      <c r="AA32" s="793"/>
      <c r="AB32" s="793"/>
      <c r="AC32" s="793"/>
      <c r="AD32" s="793"/>
      <c r="AE32" s="793"/>
      <c r="AF32" s="793"/>
    </row>
    <row r="33" spans="1:32" ht="23.25" customHeight="1">
      <c r="A33" s="793"/>
      <c r="B33" s="793"/>
      <c r="C33" s="830">
        <v>0</v>
      </c>
      <c r="D33" s="831">
        <v>0</v>
      </c>
      <c r="E33" s="831">
        <v>0</v>
      </c>
      <c r="F33" s="831">
        <v>0</v>
      </c>
      <c r="G33" s="833">
        <v>0</v>
      </c>
      <c r="H33" s="831">
        <v>0</v>
      </c>
      <c r="I33" s="888">
        <v>0</v>
      </c>
      <c r="J33" s="879" cm="1">
        <f t="array" ref="J33">SUM(IF(ISNUMBER(B33:I33), B33:I33, 0))</f>
        <v>0</v>
      </c>
      <c r="K33" s="803"/>
      <c r="L33" s="862" t="s">
        <v>24</v>
      </c>
      <c r="M33" s="793"/>
      <c r="N33" s="793"/>
      <c r="O33" s="793"/>
      <c r="P33" s="793"/>
      <c r="Q33" s="793"/>
      <c r="R33" s="793"/>
      <c r="S33" s="793"/>
      <c r="T33" s="793"/>
      <c r="U33" s="793"/>
      <c r="V33" s="793"/>
      <c r="W33" s="793"/>
      <c r="X33" s="793"/>
      <c r="Y33" s="793"/>
      <c r="Z33" s="793"/>
      <c r="AA33" s="793"/>
      <c r="AB33" s="793"/>
      <c r="AC33" s="793"/>
      <c r="AD33" s="793"/>
      <c r="AE33" s="793"/>
      <c r="AF33" s="793"/>
    </row>
    <row r="34" spans="1:32" ht="23.25" customHeight="1">
      <c r="A34" s="793"/>
      <c r="B34" s="793"/>
      <c r="C34" s="830">
        <v>0</v>
      </c>
      <c r="D34" s="831">
        <v>0</v>
      </c>
      <c r="E34" s="831">
        <v>0</v>
      </c>
      <c r="F34" s="831">
        <v>0</v>
      </c>
      <c r="G34" s="425">
        <v>0</v>
      </c>
      <c r="H34" s="831">
        <v>0</v>
      </c>
      <c r="I34" s="888">
        <v>0</v>
      </c>
      <c r="J34" s="881" cm="1">
        <f t="array" ref="J34">SUM(IF(ISNUMBER(B34:I34), B34:I34, 0))</f>
        <v>0</v>
      </c>
      <c r="K34" s="803"/>
      <c r="L34" s="862" t="s">
        <v>26</v>
      </c>
      <c r="M34" s="793"/>
      <c r="N34" s="793"/>
      <c r="O34" s="793"/>
      <c r="P34" s="793"/>
      <c r="Q34" s="793"/>
      <c r="R34" s="793"/>
      <c r="S34" s="793"/>
      <c r="T34" s="793"/>
      <c r="U34" s="793"/>
      <c r="V34" s="793"/>
      <c r="W34" s="793"/>
      <c r="X34" s="793"/>
      <c r="Y34" s="793"/>
      <c r="Z34" s="793"/>
      <c r="AA34" s="793"/>
      <c r="AB34" s="793"/>
      <c r="AC34" s="793"/>
      <c r="AD34" s="793"/>
      <c r="AE34" s="793"/>
      <c r="AF34" s="793"/>
    </row>
    <row r="35" spans="1:32" ht="23.25" customHeight="1">
      <c r="A35" s="793"/>
      <c r="B35" s="793"/>
      <c r="C35" s="863" t="s">
        <v>194</v>
      </c>
      <c r="D35" s="840" t="s">
        <v>195</v>
      </c>
      <c r="E35" s="840" t="s">
        <v>196</v>
      </c>
      <c r="F35" s="840" t="s">
        <v>197</v>
      </c>
      <c r="G35" s="840" t="s">
        <v>198</v>
      </c>
      <c r="H35" s="840" t="s">
        <v>199</v>
      </c>
      <c r="I35" s="889" t="s">
        <v>200</v>
      </c>
      <c r="J35" s="837">
        <v>59.82</v>
      </c>
      <c r="K35" s="803"/>
      <c r="L35" s="835" t="s">
        <v>28</v>
      </c>
      <c r="M35" s="793"/>
      <c r="N35" s="793"/>
      <c r="O35" s="793"/>
      <c r="P35" s="793"/>
      <c r="Q35" s="793"/>
      <c r="R35" s="793"/>
      <c r="S35" s="793"/>
      <c r="T35" s="793"/>
      <c r="U35" s="793"/>
      <c r="V35" s="793"/>
      <c r="W35" s="793"/>
      <c r="X35" s="793"/>
      <c r="Y35" s="793"/>
      <c r="Z35" s="793"/>
      <c r="AA35" s="793"/>
      <c r="AB35" s="793"/>
      <c r="AC35" s="793"/>
      <c r="AD35" s="793"/>
      <c r="AE35" s="793"/>
      <c r="AF35" s="793"/>
    </row>
    <row r="36" spans="1:32" ht="23.25" customHeight="1">
      <c r="A36" s="793"/>
      <c r="B36" s="793"/>
      <c r="C36" s="846">
        <v>28</v>
      </c>
      <c r="D36" s="846">
        <v>29</v>
      </c>
      <c r="E36" s="846">
        <v>30</v>
      </c>
      <c r="F36" s="846"/>
      <c r="G36" s="846"/>
      <c r="H36" s="846"/>
      <c r="I36" s="846"/>
      <c r="J36" s="885"/>
      <c r="K36" s="803"/>
      <c r="L36" s="851"/>
      <c r="M36" s="793"/>
      <c r="N36" s="793"/>
      <c r="O36" s="793"/>
      <c r="P36" s="793"/>
      <c r="Q36" s="793"/>
      <c r="R36" s="793"/>
      <c r="S36" s="793"/>
      <c r="T36" s="793"/>
      <c r="U36" s="793"/>
      <c r="V36" s="793"/>
      <c r="W36" s="793"/>
      <c r="X36" s="793"/>
      <c r="Y36" s="793"/>
      <c r="Z36" s="793"/>
      <c r="AA36" s="793"/>
      <c r="AB36" s="793"/>
      <c r="AC36" s="793"/>
      <c r="AD36" s="793"/>
      <c r="AE36" s="793"/>
      <c r="AF36" s="793"/>
    </row>
    <row r="37" spans="1:32" ht="23.25" customHeight="1">
      <c r="A37" s="793"/>
      <c r="B37" s="793"/>
      <c r="C37" s="890" t="s">
        <v>51</v>
      </c>
      <c r="D37" s="891" t="s">
        <v>41</v>
      </c>
      <c r="E37" s="891" t="s">
        <v>40</v>
      </c>
      <c r="F37" s="891"/>
      <c r="G37" s="891"/>
      <c r="H37" s="891"/>
      <c r="I37" s="887"/>
      <c r="J37" s="850"/>
      <c r="K37" s="803"/>
      <c r="L37" s="851"/>
      <c r="M37" s="793"/>
      <c r="N37" s="793"/>
      <c r="O37" s="793"/>
      <c r="P37" s="793"/>
      <c r="Q37" s="793"/>
      <c r="R37" s="793"/>
      <c r="S37" s="793"/>
      <c r="T37" s="793"/>
      <c r="U37" s="793"/>
      <c r="V37" s="793"/>
      <c r="W37" s="793"/>
      <c r="X37" s="793"/>
      <c r="Y37" s="793"/>
      <c r="Z37" s="793"/>
      <c r="AA37" s="793"/>
      <c r="AB37" s="793"/>
      <c r="AC37" s="793"/>
      <c r="AD37" s="793"/>
      <c r="AE37" s="793"/>
      <c r="AF37" s="793"/>
    </row>
    <row r="38" spans="1:32" ht="23.25" customHeight="1">
      <c r="A38" s="793"/>
      <c r="B38" s="793"/>
      <c r="C38" s="875">
        <v>0.41</v>
      </c>
      <c r="D38" s="818">
        <v>0.5</v>
      </c>
      <c r="E38" s="818">
        <v>0.6</v>
      </c>
      <c r="F38" s="818"/>
      <c r="G38" s="818"/>
      <c r="H38" s="818"/>
      <c r="I38" s="821"/>
      <c r="J38" s="803"/>
      <c r="K38" s="803"/>
      <c r="L38" s="851"/>
      <c r="M38" s="793"/>
      <c r="N38" s="793"/>
      <c r="O38" s="793"/>
      <c r="P38" s="793"/>
      <c r="Q38" s="793"/>
      <c r="R38" s="793"/>
      <c r="S38" s="793"/>
      <c r="T38" s="793"/>
      <c r="U38" s="793"/>
      <c r="V38" s="793"/>
      <c r="W38" s="793"/>
      <c r="X38" s="793"/>
      <c r="Y38" s="793"/>
      <c r="Z38" s="793"/>
      <c r="AA38" s="793"/>
      <c r="AB38" s="793"/>
      <c r="AC38" s="793"/>
      <c r="AD38" s="793"/>
      <c r="AE38" s="793"/>
      <c r="AF38" s="793"/>
    </row>
    <row r="39" spans="1:32" ht="23.25" customHeight="1">
      <c r="A39" s="793"/>
      <c r="B39" s="793"/>
      <c r="C39" s="823" t="s">
        <v>108</v>
      </c>
      <c r="D39" s="824" t="s">
        <v>52</v>
      </c>
      <c r="E39" s="824" t="s">
        <v>52</v>
      </c>
      <c r="F39" s="824"/>
      <c r="G39" s="824"/>
      <c r="H39" s="824"/>
      <c r="I39" s="892"/>
      <c r="J39" s="828" t="s">
        <v>32</v>
      </c>
      <c r="K39" s="803"/>
      <c r="L39" s="851"/>
      <c r="M39" s="793"/>
      <c r="N39" s="793"/>
      <c r="O39" s="793"/>
      <c r="P39" s="793"/>
      <c r="Q39" s="793"/>
      <c r="R39" s="793"/>
      <c r="S39" s="793"/>
      <c r="T39" s="793"/>
      <c r="U39" s="793"/>
      <c r="V39" s="793"/>
      <c r="W39" s="793"/>
      <c r="X39" s="793"/>
      <c r="Y39" s="793"/>
      <c r="Z39" s="793"/>
      <c r="AA39" s="793"/>
      <c r="AB39" s="793"/>
      <c r="AC39" s="793"/>
      <c r="AD39" s="793"/>
      <c r="AE39" s="793"/>
      <c r="AF39" s="793"/>
    </row>
    <row r="40" spans="1:32" ht="23.25" customHeight="1">
      <c r="A40" s="793"/>
      <c r="B40" s="793"/>
      <c r="C40" s="893">
        <v>9.5</v>
      </c>
      <c r="D40" s="877">
        <v>3.3</v>
      </c>
      <c r="E40" s="877">
        <v>10.5</v>
      </c>
      <c r="F40" s="877"/>
      <c r="G40" s="877"/>
      <c r="H40" s="877"/>
      <c r="I40" s="894"/>
      <c r="J40" s="834" cm="1">
        <f t="array" ref="J40">SUM(IF(ISNUMBER(B40:I40), B40:I40, 0))</f>
        <v>23.3</v>
      </c>
      <c r="K40" s="803"/>
      <c r="L40" s="862" t="s">
        <v>22</v>
      </c>
      <c r="M40" s="793"/>
      <c r="N40" s="793"/>
      <c r="O40" s="793"/>
      <c r="P40" s="793"/>
      <c r="Q40" s="793"/>
      <c r="R40" s="793"/>
      <c r="S40" s="793"/>
      <c r="T40" s="793"/>
      <c r="U40" s="793"/>
      <c r="V40" s="793"/>
      <c r="W40" s="793"/>
      <c r="X40" s="793"/>
      <c r="Y40" s="793"/>
      <c r="Z40" s="793"/>
      <c r="AA40" s="793"/>
      <c r="AB40" s="793"/>
      <c r="AC40" s="793"/>
      <c r="AD40" s="793"/>
      <c r="AE40" s="793"/>
      <c r="AF40" s="793"/>
    </row>
    <row r="41" spans="1:32" ht="23.25" customHeight="1">
      <c r="A41" s="793"/>
      <c r="B41" s="793"/>
      <c r="C41" s="830">
        <v>0</v>
      </c>
      <c r="D41" s="831">
        <v>0</v>
      </c>
      <c r="E41" s="831">
        <v>0</v>
      </c>
      <c r="F41" s="831"/>
      <c r="G41" s="831"/>
      <c r="H41" s="831"/>
      <c r="I41" s="833"/>
      <c r="J41" s="834" cm="1">
        <f t="array" ref="J41">SUM(IF(ISNUMBER(B41:I41), B41:I41, 0))</f>
        <v>0</v>
      </c>
      <c r="K41" s="803"/>
      <c r="L41" s="862" t="s">
        <v>24</v>
      </c>
      <c r="M41" s="793"/>
      <c r="N41" s="793"/>
      <c r="O41" s="793"/>
      <c r="P41" s="793"/>
      <c r="Q41" s="793"/>
      <c r="R41" s="793"/>
      <c r="S41" s="793"/>
      <c r="T41" s="793"/>
      <c r="U41" s="793"/>
      <c r="V41" s="793"/>
      <c r="W41" s="793"/>
      <c r="X41" s="793"/>
      <c r="Y41" s="793"/>
      <c r="Z41" s="793"/>
      <c r="AA41" s="793"/>
      <c r="AB41" s="793"/>
      <c r="AC41" s="793"/>
      <c r="AD41" s="793"/>
      <c r="AE41" s="793"/>
      <c r="AF41" s="793"/>
    </row>
    <row r="42" spans="1:32" ht="23.25" customHeight="1">
      <c r="A42" s="793"/>
      <c r="B42" s="793"/>
      <c r="C42" s="830">
        <v>0</v>
      </c>
      <c r="D42" s="831">
        <v>0</v>
      </c>
      <c r="E42" s="831">
        <v>0</v>
      </c>
      <c r="F42" s="831"/>
      <c r="G42" s="831"/>
      <c r="H42" s="831"/>
      <c r="I42" s="833"/>
      <c r="J42" s="837" cm="1">
        <f t="array" ref="J42">SUM(IF(ISNUMBER(B42:I42), B42:I42, 0))</f>
        <v>0</v>
      </c>
      <c r="K42" s="803"/>
      <c r="L42" s="862" t="s">
        <v>26</v>
      </c>
      <c r="M42" s="793"/>
      <c r="N42" s="793"/>
      <c r="O42" s="793"/>
      <c r="P42" s="793"/>
      <c r="Q42" s="793"/>
      <c r="R42" s="793"/>
      <c r="S42" s="793"/>
      <c r="T42" s="793"/>
      <c r="U42" s="793"/>
      <c r="V42" s="793"/>
      <c r="W42" s="793"/>
      <c r="X42" s="793"/>
      <c r="Y42" s="793"/>
      <c r="Z42" s="793"/>
      <c r="AA42" s="793"/>
      <c r="AB42" s="793"/>
      <c r="AC42" s="793"/>
      <c r="AD42" s="793"/>
      <c r="AE42" s="793"/>
      <c r="AF42" s="793"/>
    </row>
    <row r="43" spans="1:32" ht="23.25" customHeight="1">
      <c r="A43" s="793"/>
      <c r="B43" s="793"/>
      <c r="C43" s="895" t="s">
        <v>201</v>
      </c>
      <c r="D43" s="843" t="s">
        <v>202</v>
      </c>
      <c r="E43" s="883" t="s">
        <v>203</v>
      </c>
      <c r="F43" s="840" t="s">
        <v>4</v>
      </c>
      <c r="G43" s="840" t="s">
        <v>4</v>
      </c>
      <c r="H43" s="840" t="s">
        <v>4</v>
      </c>
      <c r="I43" s="884" t="s">
        <v>4</v>
      </c>
      <c r="J43" s="837">
        <v>30.05</v>
      </c>
      <c r="K43" s="803"/>
      <c r="L43" s="835" t="s">
        <v>28</v>
      </c>
      <c r="M43" s="793"/>
      <c r="N43" s="793"/>
      <c r="O43" s="793"/>
      <c r="P43" s="793"/>
      <c r="Q43" s="793"/>
      <c r="R43" s="793"/>
      <c r="S43" s="793"/>
      <c r="T43" s="793"/>
      <c r="U43" s="793"/>
      <c r="V43" s="793"/>
      <c r="W43" s="793"/>
      <c r="X43" s="793"/>
      <c r="Y43" s="793"/>
      <c r="Z43" s="793"/>
      <c r="AA43" s="793"/>
      <c r="AB43" s="793"/>
      <c r="AC43" s="793"/>
      <c r="AD43" s="793"/>
      <c r="AE43" s="793"/>
      <c r="AF43" s="793"/>
    </row>
    <row r="44" spans="1:32" ht="23.25" customHeight="1">
      <c r="A44" s="793"/>
      <c r="B44" s="793"/>
      <c r="C44" s="807"/>
      <c r="D44" s="896"/>
      <c r="E44" s="885"/>
      <c r="F44" s="803"/>
      <c r="G44" s="803"/>
      <c r="H44" s="803"/>
      <c r="I44" s="803"/>
      <c r="J44" s="803"/>
      <c r="K44" s="803"/>
      <c r="L44" s="829"/>
      <c r="M44" s="793"/>
      <c r="N44" s="793"/>
      <c r="O44" s="793"/>
      <c r="P44" s="793"/>
      <c r="Q44" s="793"/>
      <c r="R44" s="793"/>
      <c r="S44" s="793"/>
      <c r="T44" s="793"/>
      <c r="U44" s="793"/>
      <c r="V44" s="793"/>
      <c r="W44" s="793"/>
      <c r="X44" s="793"/>
      <c r="Y44" s="793"/>
      <c r="Z44" s="793"/>
      <c r="AA44" s="793"/>
      <c r="AB44" s="793"/>
      <c r="AC44" s="793"/>
      <c r="AD44" s="793"/>
      <c r="AE44" s="793"/>
      <c r="AF44" s="793"/>
    </row>
    <row r="45" spans="1:32" ht="23.25" customHeight="1">
      <c r="A45" s="793"/>
      <c r="B45" s="793"/>
      <c r="C45" s="872"/>
      <c r="D45" s="897"/>
      <c r="E45" s="850"/>
      <c r="F45" s="803"/>
      <c r="G45" s="803"/>
      <c r="H45" s="803"/>
      <c r="I45" s="803"/>
      <c r="J45" s="803"/>
      <c r="K45" s="803"/>
      <c r="L45" s="793"/>
      <c r="M45" s="793"/>
      <c r="N45" s="793"/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  <c r="Z45" s="793"/>
      <c r="AA45" s="793"/>
      <c r="AB45" s="793"/>
      <c r="AC45" s="793"/>
      <c r="AD45" s="793"/>
      <c r="AE45" s="793"/>
      <c r="AF45" s="793"/>
    </row>
    <row r="46" spans="1:32" ht="23.25" customHeight="1">
      <c r="A46" s="793"/>
      <c r="B46" s="793"/>
      <c r="C46" s="898"/>
      <c r="D46" s="899"/>
      <c r="E46" s="803"/>
      <c r="F46" s="803"/>
      <c r="G46" s="803"/>
      <c r="H46" s="803"/>
      <c r="I46" s="803"/>
      <c r="J46" s="803"/>
      <c r="K46" s="803"/>
      <c r="L46" s="793"/>
      <c r="M46" s="793"/>
      <c r="N46" s="793"/>
      <c r="O46" s="793"/>
      <c r="P46" s="793"/>
      <c r="Q46" s="793"/>
      <c r="R46" s="793"/>
      <c r="S46" s="793"/>
      <c r="T46" s="793"/>
      <c r="U46" s="793"/>
      <c r="V46" s="793"/>
      <c r="W46" s="793"/>
      <c r="X46" s="793"/>
      <c r="Y46" s="793"/>
      <c r="Z46" s="793"/>
      <c r="AA46" s="793"/>
      <c r="AB46" s="793"/>
      <c r="AC46" s="793"/>
      <c r="AD46" s="793"/>
      <c r="AE46" s="793"/>
      <c r="AF46" s="793"/>
    </row>
    <row r="47" spans="1:32" ht="23.25" customHeight="1">
      <c r="A47" s="793"/>
      <c r="B47" s="793"/>
      <c r="C47" s="823"/>
      <c r="D47" s="897"/>
      <c r="E47" s="803"/>
      <c r="G47" s="803"/>
      <c r="H47" s="803"/>
      <c r="I47" s="803"/>
      <c r="J47" s="828" t="s">
        <v>33</v>
      </c>
      <c r="K47" s="900"/>
      <c r="L47" s="793"/>
      <c r="M47" s="793"/>
      <c r="N47" s="793"/>
      <c r="O47" s="793"/>
      <c r="P47" s="793"/>
      <c r="Q47" s="793"/>
      <c r="R47" s="793"/>
      <c r="S47" s="793"/>
      <c r="T47" s="793"/>
      <c r="U47" s="793"/>
      <c r="V47" s="793"/>
      <c r="W47" s="793"/>
      <c r="X47" s="793"/>
      <c r="Y47" s="793"/>
      <c r="Z47" s="793"/>
      <c r="AA47" s="793"/>
      <c r="AB47" s="793"/>
      <c r="AC47" s="793"/>
      <c r="AD47" s="793"/>
      <c r="AE47" s="793"/>
      <c r="AF47" s="793"/>
    </row>
    <row r="48" spans="1:32" ht="23.25" customHeight="1">
      <c r="A48" s="793"/>
      <c r="B48" s="793"/>
      <c r="C48" s="893"/>
      <c r="D48" s="899"/>
      <c r="E48" s="803"/>
      <c r="G48" s="803"/>
      <c r="H48" s="803"/>
      <c r="I48" s="803"/>
      <c r="J48" s="834" cm="1">
        <f t="array" ref="J48">SUM(IF(ISNUMBER(B48:D48), B48:D48, 0))</f>
        <v>0</v>
      </c>
      <c r="L48" s="862" t="s">
        <v>22</v>
      </c>
      <c r="M48" s="793"/>
      <c r="N48" s="793"/>
      <c r="O48" s="793"/>
      <c r="P48" s="793"/>
      <c r="Q48" s="793"/>
      <c r="R48" s="793"/>
      <c r="S48" s="793"/>
      <c r="T48" s="793"/>
      <c r="U48" s="793"/>
      <c r="V48" s="793"/>
      <c r="W48" s="793"/>
      <c r="X48" s="793"/>
      <c r="Y48" s="793"/>
      <c r="Z48" s="793"/>
      <c r="AA48" s="793"/>
      <c r="AB48" s="793"/>
      <c r="AC48" s="793"/>
      <c r="AD48" s="793"/>
      <c r="AE48" s="793"/>
      <c r="AF48" s="793"/>
    </row>
    <row r="49" spans="1:32" ht="23.25" customHeight="1">
      <c r="A49" s="793"/>
      <c r="B49" s="793"/>
      <c r="C49" s="830"/>
      <c r="D49" s="899"/>
      <c r="E49" s="803"/>
      <c r="G49" s="803"/>
      <c r="H49" s="803"/>
      <c r="I49" s="803"/>
      <c r="J49" s="834" cm="1">
        <f t="array" ref="J49">SUM(IF(ISNUMBER(B49:D49), B49:D49, 0))</f>
        <v>0</v>
      </c>
      <c r="L49" s="862" t="s">
        <v>24</v>
      </c>
      <c r="M49" s="793"/>
      <c r="N49" s="793"/>
      <c r="O49" s="793"/>
      <c r="P49" s="793"/>
      <c r="Q49" s="793"/>
      <c r="R49" s="793"/>
      <c r="S49" s="793"/>
      <c r="T49" s="793"/>
      <c r="U49" s="793"/>
      <c r="V49" s="793"/>
      <c r="W49" s="793"/>
      <c r="X49" s="793"/>
      <c r="Y49" s="793"/>
      <c r="Z49" s="793"/>
      <c r="AA49" s="793"/>
      <c r="AB49" s="793"/>
      <c r="AC49" s="793"/>
      <c r="AD49" s="793"/>
      <c r="AE49" s="793"/>
      <c r="AF49" s="793"/>
    </row>
    <row r="50" spans="1:32" ht="23.25" customHeight="1">
      <c r="A50" s="793"/>
      <c r="B50" s="793"/>
      <c r="C50" s="830"/>
      <c r="D50" s="899"/>
      <c r="E50" s="803"/>
      <c r="G50" s="803"/>
      <c r="H50" s="803"/>
      <c r="I50" s="803"/>
      <c r="J50" s="837" cm="1">
        <f t="array" ref="J50">SUM(IF(ISNUMBER(B50:D50), B50:D50, 0))</f>
        <v>0</v>
      </c>
      <c r="L50" s="862" t="s">
        <v>26</v>
      </c>
      <c r="M50" s="793"/>
      <c r="N50" s="793"/>
      <c r="O50" s="793"/>
      <c r="P50" s="793"/>
      <c r="Q50" s="793"/>
      <c r="R50" s="793"/>
      <c r="S50" s="793"/>
      <c r="T50" s="793"/>
      <c r="U50" s="793"/>
      <c r="V50" s="793"/>
      <c r="W50" s="793"/>
      <c r="X50" s="793"/>
      <c r="Y50" s="793"/>
      <c r="Z50" s="793"/>
      <c r="AA50" s="793"/>
      <c r="AB50" s="793"/>
      <c r="AC50" s="793"/>
      <c r="AD50" s="793"/>
      <c r="AE50" s="793"/>
      <c r="AF50" s="793"/>
    </row>
    <row r="51" spans="1:32" ht="23.25" customHeight="1">
      <c r="A51" s="793"/>
      <c r="B51" s="793"/>
      <c r="C51" s="863"/>
      <c r="D51" s="884"/>
      <c r="G51" s="803"/>
      <c r="H51" s="803"/>
      <c r="I51" s="803"/>
      <c r="J51" s="837"/>
      <c r="L51" s="835" t="s">
        <v>28</v>
      </c>
      <c r="M51" s="793"/>
      <c r="N51" s="793"/>
      <c r="O51" s="793"/>
      <c r="P51" s="793"/>
      <c r="Q51" s="793"/>
      <c r="R51" s="793"/>
      <c r="S51" s="793"/>
      <c r="T51" s="793"/>
      <c r="U51" s="793"/>
      <c r="V51" s="793"/>
      <c r="W51" s="793"/>
      <c r="X51" s="793"/>
      <c r="Y51" s="793"/>
      <c r="Z51" s="793"/>
      <c r="AA51" s="793"/>
      <c r="AB51" s="793"/>
      <c r="AC51" s="793"/>
      <c r="AD51" s="793"/>
      <c r="AE51" s="793"/>
      <c r="AF51" s="793"/>
    </row>
    <row r="52" spans="1:32" ht="23.25" customHeight="1">
      <c r="A52" s="793"/>
      <c r="B52" s="793"/>
      <c r="C52" s="803"/>
      <c r="D52" s="803"/>
      <c r="E52" s="803"/>
      <c r="F52" s="803"/>
      <c r="G52" s="803"/>
      <c r="H52" s="803"/>
      <c r="I52" s="803"/>
      <c r="J52" s="803"/>
      <c r="K52" s="803"/>
      <c r="L52" s="793"/>
      <c r="M52" s="793"/>
      <c r="N52" s="793"/>
      <c r="O52" s="793"/>
      <c r="P52" s="793"/>
      <c r="Q52" s="793"/>
      <c r="R52" s="793"/>
      <c r="S52" s="793"/>
      <c r="T52" s="793"/>
      <c r="U52" s="793"/>
      <c r="V52" s="793"/>
      <c r="W52" s="793"/>
      <c r="X52" s="793"/>
      <c r="Y52" s="793"/>
      <c r="Z52" s="793"/>
      <c r="AA52" s="793"/>
      <c r="AB52" s="793"/>
      <c r="AC52" s="793"/>
      <c r="AD52" s="793"/>
      <c r="AE52" s="793"/>
      <c r="AF52" s="793"/>
    </row>
    <row r="53" spans="1:32" ht="22.5" customHeight="1">
      <c r="A53" s="793"/>
      <c r="B53" s="793"/>
      <c r="C53" s="793"/>
      <c r="D53" s="793"/>
      <c r="E53" s="793"/>
      <c r="F53" s="793"/>
      <c r="G53" s="793"/>
      <c r="H53" s="793"/>
      <c r="I53" s="793"/>
      <c r="J53" s="793"/>
      <c r="K53" s="793"/>
      <c r="L53" s="793"/>
      <c r="M53" s="793"/>
      <c r="N53" s="793"/>
      <c r="O53" s="793"/>
      <c r="P53" s="793"/>
      <c r="Q53" s="793"/>
      <c r="R53" s="793"/>
      <c r="S53" s="793"/>
      <c r="T53" s="793"/>
      <c r="U53" s="793"/>
      <c r="V53" s="793"/>
      <c r="W53" s="793"/>
      <c r="X53" s="793"/>
      <c r="Y53" s="793"/>
      <c r="Z53" s="793"/>
      <c r="AA53" s="793"/>
      <c r="AB53" s="793"/>
      <c r="AC53" s="793"/>
      <c r="AD53" s="793"/>
      <c r="AE53" s="793"/>
      <c r="AF53" s="793"/>
    </row>
    <row r="54" spans="1:32" ht="17.45">
      <c r="A54" s="793"/>
      <c r="B54" s="793"/>
      <c r="C54" s="793"/>
      <c r="D54" s="793"/>
      <c r="E54" s="793"/>
      <c r="F54" s="793"/>
      <c r="G54" s="793"/>
      <c r="H54" s="793"/>
      <c r="I54" s="793"/>
      <c r="J54" s="793"/>
      <c r="K54" s="793"/>
      <c r="L54" s="793"/>
      <c r="M54" s="793"/>
      <c r="N54" s="793"/>
      <c r="O54" s="793"/>
      <c r="P54" s="793"/>
      <c r="Q54" s="793"/>
      <c r="R54" s="793"/>
      <c r="S54" s="793"/>
      <c r="T54" s="793"/>
      <c r="U54" s="793"/>
      <c r="V54" s="793"/>
      <c r="W54" s="793"/>
      <c r="X54" s="793"/>
      <c r="Y54" s="793"/>
      <c r="Z54" s="793"/>
      <c r="AA54" s="793"/>
      <c r="AB54" s="793"/>
      <c r="AC54" s="793"/>
      <c r="AD54" s="793"/>
      <c r="AE54" s="793"/>
      <c r="AF54" s="793"/>
    </row>
    <row r="55" spans="1:32" ht="17.45">
      <c r="A55" s="793"/>
      <c r="B55" s="793"/>
      <c r="C55" s="793"/>
      <c r="D55" s="793"/>
      <c r="E55" s="793"/>
      <c r="F55" s="793"/>
      <c r="G55" s="793"/>
      <c r="H55" s="793"/>
      <c r="I55" s="793"/>
      <c r="J55" s="793"/>
      <c r="K55" s="793"/>
      <c r="L55" s="793"/>
      <c r="M55" s="793"/>
      <c r="N55" s="793"/>
      <c r="O55" s="793"/>
      <c r="P55" s="793"/>
      <c r="Q55" s="793"/>
      <c r="R55" s="793"/>
      <c r="S55" s="793"/>
      <c r="T55" s="793"/>
      <c r="U55" s="793"/>
      <c r="V55" s="793"/>
      <c r="W55" s="793"/>
      <c r="X55" s="793"/>
      <c r="Y55" s="793"/>
      <c r="Z55" s="793"/>
      <c r="AA55" s="793"/>
      <c r="AB55" s="793"/>
      <c r="AC55" s="793"/>
      <c r="AD55" s="793"/>
      <c r="AE55" s="793"/>
      <c r="AF55" s="793"/>
    </row>
    <row r="56" spans="1:32" ht="17.45">
      <c r="A56" s="793"/>
      <c r="B56" s="793"/>
      <c r="C56" s="793"/>
      <c r="D56" s="793"/>
      <c r="E56" s="793"/>
      <c r="F56" s="793"/>
      <c r="G56" s="793"/>
      <c r="H56" s="793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3"/>
      <c r="AE56" s="793"/>
      <c r="AF56" s="793"/>
    </row>
    <row r="57" spans="1:32" ht="17.45">
      <c r="A57" s="793"/>
      <c r="B57" s="793"/>
      <c r="C57" s="793"/>
      <c r="D57" s="793"/>
      <c r="E57" s="793"/>
      <c r="F57" s="793"/>
      <c r="G57" s="793"/>
      <c r="H57" s="793"/>
      <c r="I57" s="793"/>
      <c r="J57" s="793"/>
      <c r="K57" s="793"/>
      <c r="L57" s="793"/>
      <c r="M57" s="793"/>
      <c r="N57" s="793"/>
      <c r="O57" s="793"/>
      <c r="P57" s="793"/>
      <c r="Q57" s="793"/>
      <c r="R57" s="793"/>
      <c r="S57" s="793"/>
      <c r="T57" s="793"/>
      <c r="U57" s="793"/>
      <c r="V57" s="793"/>
      <c r="W57" s="793"/>
      <c r="X57" s="793"/>
      <c r="Y57" s="793"/>
      <c r="Z57" s="793"/>
      <c r="AA57" s="793"/>
      <c r="AB57" s="793"/>
      <c r="AC57" s="793"/>
      <c r="AD57" s="793"/>
      <c r="AE57" s="793"/>
      <c r="AF57" s="793"/>
    </row>
    <row r="58" spans="1:32" ht="17.45">
      <c r="A58" s="793"/>
      <c r="B58" s="793"/>
      <c r="C58" s="793"/>
      <c r="D58" s="793"/>
      <c r="E58" s="793"/>
      <c r="F58" s="793"/>
      <c r="G58" s="793"/>
      <c r="H58" s="793"/>
      <c r="I58" s="793"/>
      <c r="J58" s="793"/>
      <c r="K58" s="793"/>
      <c r="L58" s="793"/>
      <c r="M58" s="793"/>
      <c r="N58" s="793"/>
      <c r="O58" s="793"/>
      <c r="P58" s="793"/>
      <c r="Q58" s="793"/>
      <c r="R58" s="793"/>
      <c r="S58" s="793"/>
      <c r="T58" s="793"/>
      <c r="U58" s="793"/>
      <c r="V58" s="793"/>
      <c r="W58" s="793"/>
      <c r="X58" s="793"/>
      <c r="Y58" s="793"/>
      <c r="Z58" s="793"/>
      <c r="AA58" s="793"/>
      <c r="AB58" s="793"/>
      <c r="AC58" s="793"/>
      <c r="AD58" s="793"/>
      <c r="AE58" s="793"/>
      <c r="AF58" s="793"/>
    </row>
    <row r="59" spans="1:32" ht="17.45">
      <c r="A59" s="793"/>
      <c r="B59" s="793"/>
      <c r="C59" s="793"/>
      <c r="D59" s="793"/>
      <c r="E59" s="793"/>
      <c r="F59" s="793"/>
      <c r="G59" s="793"/>
      <c r="H59" s="793"/>
      <c r="I59" s="793"/>
      <c r="J59" s="793"/>
      <c r="K59" s="793"/>
      <c r="L59" s="793"/>
      <c r="M59" s="793"/>
      <c r="N59" s="793"/>
      <c r="O59" s="793"/>
      <c r="P59" s="793"/>
      <c r="Q59" s="793"/>
      <c r="R59" s="793"/>
      <c r="S59" s="793"/>
      <c r="T59" s="793"/>
      <c r="U59" s="793"/>
      <c r="V59" s="793"/>
      <c r="W59" s="793"/>
      <c r="X59" s="793"/>
      <c r="Y59" s="793"/>
      <c r="Z59" s="793"/>
      <c r="AA59" s="793"/>
      <c r="AB59" s="793"/>
      <c r="AC59" s="793"/>
      <c r="AD59" s="793"/>
      <c r="AE59" s="793"/>
      <c r="AF59" s="793"/>
    </row>
    <row r="60" spans="1:32" ht="17.45">
      <c r="A60" s="793"/>
      <c r="B60" s="793"/>
      <c r="C60" s="793"/>
      <c r="D60" s="793"/>
      <c r="E60" s="793"/>
      <c r="F60" s="793"/>
      <c r="G60" s="793"/>
      <c r="H60" s="793"/>
      <c r="I60" s="793"/>
      <c r="J60" s="793"/>
      <c r="K60" s="793"/>
      <c r="L60" s="793"/>
      <c r="M60" s="793"/>
      <c r="N60" s="793"/>
      <c r="O60" s="793"/>
      <c r="P60" s="793"/>
      <c r="Q60" s="793"/>
      <c r="R60" s="793"/>
      <c r="S60" s="793"/>
      <c r="T60" s="793"/>
      <c r="U60" s="793"/>
      <c r="V60" s="793"/>
      <c r="W60" s="793"/>
      <c r="X60" s="793"/>
      <c r="Y60" s="793"/>
      <c r="Z60" s="793"/>
      <c r="AA60" s="793"/>
      <c r="AB60" s="793"/>
      <c r="AC60" s="793"/>
      <c r="AD60" s="793"/>
      <c r="AE60" s="793"/>
      <c r="AF60" s="793"/>
    </row>
    <row r="61" spans="1:32" ht="17.45">
      <c r="A61" s="793"/>
      <c r="B61" s="793"/>
      <c r="C61" s="793"/>
      <c r="D61" s="793"/>
      <c r="E61" s="793"/>
      <c r="F61" s="793"/>
      <c r="G61" s="793"/>
      <c r="H61" s="793"/>
      <c r="I61" s="793"/>
      <c r="J61" s="793"/>
      <c r="K61" s="793"/>
      <c r="L61" s="793"/>
      <c r="M61" s="793"/>
      <c r="N61" s="793"/>
      <c r="O61" s="793"/>
      <c r="P61" s="793"/>
      <c r="Q61" s="793"/>
      <c r="R61" s="793"/>
      <c r="S61" s="793"/>
      <c r="T61" s="793"/>
      <c r="U61" s="793"/>
      <c r="V61" s="793"/>
      <c r="W61" s="793"/>
      <c r="X61" s="793"/>
      <c r="Y61" s="793"/>
      <c r="Z61" s="793"/>
      <c r="AA61" s="793"/>
      <c r="AB61" s="793"/>
      <c r="AC61" s="793"/>
      <c r="AD61" s="793"/>
      <c r="AE61" s="793"/>
      <c r="AF61" s="793"/>
    </row>
    <row r="62" spans="1:32" ht="17.45">
      <c r="A62" s="793"/>
      <c r="B62" s="793"/>
      <c r="C62" s="793"/>
      <c r="D62" s="793"/>
      <c r="E62" s="793"/>
      <c r="F62" s="793"/>
      <c r="G62" s="793"/>
      <c r="H62" s="793"/>
      <c r="I62" s="793"/>
      <c r="J62" s="793"/>
      <c r="K62" s="793"/>
      <c r="L62" s="793"/>
      <c r="M62" s="793"/>
      <c r="N62" s="793"/>
      <c r="O62" s="793"/>
      <c r="P62" s="793"/>
      <c r="Q62" s="793"/>
      <c r="R62" s="793"/>
      <c r="S62" s="793"/>
      <c r="T62" s="793"/>
      <c r="U62" s="793"/>
      <c r="V62" s="793"/>
      <c r="W62" s="793"/>
      <c r="X62" s="793"/>
      <c r="Y62" s="793"/>
      <c r="Z62" s="793"/>
      <c r="AA62" s="793"/>
      <c r="AB62" s="793"/>
      <c r="AC62" s="793"/>
      <c r="AD62" s="793"/>
      <c r="AE62" s="793"/>
      <c r="AF62" s="793"/>
    </row>
    <row r="63" spans="1:32" ht="17.45">
      <c r="A63" s="793"/>
      <c r="B63" s="793"/>
      <c r="C63" s="793"/>
      <c r="D63" s="793"/>
      <c r="E63" s="793"/>
      <c r="F63" s="793"/>
      <c r="G63" s="793"/>
      <c r="H63" s="793"/>
      <c r="I63" s="793"/>
      <c r="J63" s="793"/>
      <c r="K63" s="793"/>
      <c r="L63" s="793"/>
      <c r="M63" s="793"/>
      <c r="N63" s="793"/>
      <c r="O63" s="793"/>
      <c r="P63" s="793"/>
      <c r="Q63" s="793"/>
      <c r="R63" s="793"/>
      <c r="S63" s="793"/>
      <c r="T63" s="793"/>
      <c r="U63" s="793"/>
      <c r="V63" s="793"/>
      <c r="W63" s="793"/>
      <c r="X63" s="793"/>
      <c r="Y63" s="793"/>
      <c r="Z63" s="793"/>
      <c r="AA63" s="793"/>
      <c r="AB63" s="793"/>
      <c r="AC63" s="793"/>
      <c r="AD63" s="793"/>
      <c r="AE63" s="793"/>
      <c r="AF63" s="793"/>
    </row>
    <row r="64" spans="1:32" ht="17.45">
      <c r="A64" s="793"/>
      <c r="B64" s="793"/>
      <c r="C64" s="793"/>
      <c r="D64" s="793"/>
      <c r="E64" s="793"/>
      <c r="F64" s="793"/>
      <c r="G64" s="793"/>
      <c r="H64" s="793"/>
      <c r="I64" s="793"/>
      <c r="J64" s="793"/>
      <c r="K64" s="793"/>
      <c r="L64" s="793"/>
      <c r="M64" s="793"/>
      <c r="N64" s="793"/>
      <c r="O64" s="793"/>
      <c r="P64" s="793"/>
      <c r="Q64" s="793"/>
      <c r="R64" s="793"/>
      <c r="S64" s="793"/>
      <c r="T64" s="793"/>
      <c r="U64" s="793"/>
      <c r="V64" s="793"/>
      <c r="W64" s="793"/>
      <c r="X64" s="793"/>
      <c r="Y64" s="793"/>
      <c r="Z64" s="793"/>
      <c r="AA64" s="793"/>
      <c r="AB64" s="793"/>
      <c r="AC64" s="793"/>
      <c r="AD64" s="793"/>
      <c r="AE64" s="793"/>
      <c r="AF64" s="793"/>
    </row>
    <row r="65" spans="1:32" ht="17.45">
      <c r="A65" s="793"/>
      <c r="B65" s="793"/>
      <c r="C65" s="793"/>
      <c r="D65" s="793"/>
      <c r="E65" s="793"/>
      <c r="F65" s="793"/>
      <c r="G65" s="793"/>
      <c r="H65" s="793"/>
      <c r="I65" s="793"/>
      <c r="J65" s="793"/>
      <c r="K65" s="793"/>
      <c r="L65" s="793"/>
      <c r="M65" s="793"/>
      <c r="N65" s="793"/>
      <c r="O65" s="793"/>
      <c r="P65" s="793"/>
      <c r="Q65" s="793"/>
      <c r="R65" s="793"/>
      <c r="S65" s="793"/>
      <c r="T65" s="793"/>
      <c r="U65" s="793"/>
      <c r="V65" s="793"/>
      <c r="W65" s="793"/>
      <c r="X65" s="793"/>
      <c r="Y65" s="793"/>
      <c r="Z65" s="793"/>
      <c r="AA65" s="793"/>
      <c r="AB65" s="793"/>
      <c r="AC65" s="793"/>
      <c r="AD65" s="793"/>
      <c r="AE65" s="793"/>
      <c r="AF65" s="793"/>
    </row>
    <row r="66" spans="1:32" ht="17.45">
      <c r="A66" s="793"/>
      <c r="B66" s="793"/>
      <c r="C66" s="793"/>
      <c r="D66" s="793"/>
      <c r="E66" s="793"/>
      <c r="F66" s="793"/>
      <c r="G66" s="793"/>
      <c r="H66" s="793"/>
      <c r="I66" s="793"/>
      <c r="J66" s="793"/>
      <c r="K66" s="793"/>
      <c r="L66" s="793"/>
      <c r="M66" s="793"/>
      <c r="N66" s="793"/>
      <c r="O66" s="793"/>
      <c r="P66" s="793"/>
      <c r="Q66" s="793"/>
      <c r="R66" s="793"/>
      <c r="S66" s="793"/>
      <c r="T66" s="793"/>
      <c r="U66" s="793"/>
      <c r="V66" s="793"/>
      <c r="W66" s="793"/>
      <c r="X66" s="793"/>
      <c r="Y66" s="793"/>
      <c r="Z66" s="793"/>
      <c r="AA66" s="793"/>
      <c r="AB66" s="793"/>
      <c r="AC66" s="793"/>
      <c r="AD66" s="793"/>
      <c r="AE66" s="793"/>
      <c r="AF66" s="793"/>
    </row>
    <row r="67" spans="1:32" ht="17.45">
      <c r="A67" s="793"/>
      <c r="B67" s="793"/>
      <c r="C67" s="793"/>
      <c r="D67" s="793"/>
      <c r="E67" s="793"/>
      <c r="F67" s="793"/>
      <c r="G67" s="793"/>
      <c r="H67" s="793"/>
      <c r="I67" s="793"/>
      <c r="J67" s="793"/>
      <c r="K67" s="793"/>
      <c r="L67" s="793"/>
      <c r="M67" s="793"/>
      <c r="N67" s="793"/>
      <c r="O67" s="793"/>
      <c r="P67" s="793"/>
      <c r="Q67" s="793"/>
      <c r="R67" s="793"/>
      <c r="S67" s="793"/>
      <c r="T67" s="793"/>
      <c r="U67" s="793"/>
      <c r="V67" s="793"/>
      <c r="W67" s="793"/>
      <c r="X67" s="793"/>
      <c r="Y67" s="793"/>
      <c r="Z67" s="793"/>
      <c r="AA67" s="793"/>
      <c r="AB67" s="793"/>
      <c r="AC67" s="793"/>
      <c r="AD67" s="793"/>
      <c r="AE67" s="793"/>
      <c r="AF67" s="793"/>
    </row>
    <row r="68" spans="1:32" ht="17.45">
      <c r="A68" s="793"/>
      <c r="B68" s="793"/>
      <c r="C68" s="793"/>
      <c r="D68" s="793"/>
      <c r="E68" s="793"/>
      <c r="F68" s="793"/>
      <c r="G68" s="793"/>
      <c r="H68" s="793"/>
      <c r="I68" s="793"/>
      <c r="J68" s="793"/>
      <c r="K68" s="793"/>
      <c r="L68" s="793"/>
      <c r="M68" s="793"/>
      <c r="N68" s="793"/>
      <c r="O68" s="793"/>
      <c r="P68" s="793"/>
      <c r="Q68" s="793"/>
      <c r="R68" s="793"/>
      <c r="S68" s="793"/>
      <c r="T68" s="793"/>
      <c r="U68" s="793"/>
      <c r="V68" s="793"/>
      <c r="W68" s="793"/>
      <c r="X68" s="793"/>
      <c r="Y68" s="793"/>
      <c r="Z68" s="793"/>
      <c r="AA68" s="793"/>
      <c r="AB68" s="793"/>
      <c r="AC68" s="793"/>
      <c r="AD68" s="793"/>
      <c r="AE68" s="793"/>
      <c r="AF68" s="793"/>
    </row>
    <row r="69" spans="1:32" ht="17.45">
      <c r="A69" s="793"/>
      <c r="B69" s="793"/>
      <c r="C69" s="793"/>
      <c r="D69" s="793"/>
      <c r="E69" s="793"/>
      <c r="F69" s="793"/>
      <c r="G69" s="793"/>
      <c r="H69" s="793"/>
      <c r="I69" s="793"/>
      <c r="J69" s="793"/>
      <c r="K69" s="793"/>
      <c r="L69" s="793"/>
      <c r="M69" s="793"/>
      <c r="N69" s="793"/>
      <c r="O69" s="793"/>
      <c r="P69" s="793"/>
      <c r="Q69" s="793"/>
      <c r="R69" s="793"/>
      <c r="S69" s="793"/>
      <c r="T69" s="793"/>
      <c r="U69" s="793"/>
      <c r="V69" s="793"/>
      <c r="W69" s="793"/>
      <c r="X69" s="793"/>
      <c r="Y69" s="793"/>
      <c r="Z69" s="793"/>
      <c r="AA69" s="793"/>
      <c r="AB69" s="793"/>
      <c r="AC69" s="793"/>
      <c r="AD69" s="793"/>
      <c r="AE69" s="793"/>
      <c r="AF69" s="793"/>
    </row>
    <row r="70" spans="1:32" ht="17.45">
      <c r="A70" s="793"/>
      <c r="B70" s="793"/>
      <c r="C70" s="793"/>
      <c r="D70" s="793"/>
      <c r="E70" s="793"/>
      <c r="F70" s="793"/>
      <c r="G70" s="793"/>
      <c r="H70" s="793"/>
      <c r="I70" s="793"/>
      <c r="J70" s="793"/>
      <c r="K70" s="793"/>
      <c r="L70" s="793"/>
      <c r="M70" s="793"/>
      <c r="N70" s="793"/>
      <c r="O70" s="793"/>
      <c r="P70" s="793"/>
      <c r="Q70" s="793"/>
      <c r="R70" s="793"/>
      <c r="S70" s="793"/>
      <c r="T70" s="793"/>
      <c r="U70" s="793"/>
      <c r="V70" s="793"/>
      <c r="W70" s="793"/>
      <c r="X70" s="793"/>
      <c r="Y70" s="793"/>
      <c r="Z70" s="793"/>
      <c r="AA70" s="793"/>
      <c r="AB70" s="793"/>
      <c r="AC70" s="793"/>
      <c r="AD70" s="793"/>
      <c r="AE70" s="793"/>
      <c r="AF70" s="793"/>
    </row>
    <row r="71" spans="1:32" ht="17.45">
      <c r="A71" s="793"/>
      <c r="B71" s="793"/>
      <c r="C71" s="793"/>
      <c r="D71" s="793"/>
      <c r="E71" s="793"/>
      <c r="F71" s="793"/>
      <c r="G71" s="793"/>
      <c r="H71" s="793"/>
      <c r="I71" s="793"/>
      <c r="J71" s="793"/>
      <c r="K71" s="793"/>
      <c r="L71" s="793"/>
      <c r="M71" s="793"/>
      <c r="N71" s="793"/>
      <c r="O71" s="793"/>
      <c r="P71" s="793"/>
      <c r="Q71" s="793"/>
      <c r="R71" s="793"/>
      <c r="S71" s="793"/>
      <c r="T71" s="793"/>
      <c r="U71" s="793"/>
      <c r="V71" s="793"/>
      <c r="W71" s="793"/>
      <c r="X71" s="793"/>
      <c r="Y71" s="793"/>
      <c r="Z71" s="793"/>
      <c r="AA71" s="793"/>
      <c r="AB71" s="793"/>
      <c r="AC71" s="793"/>
      <c r="AD71" s="793"/>
      <c r="AE71" s="793"/>
      <c r="AF71" s="793"/>
    </row>
    <row r="72" spans="1:32" ht="17.45">
      <c r="A72" s="793"/>
      <c r="B72" s="793"/>
      <c r="C72" s="793"/>
      <c r="D72" s="793"/>
      <c r="E72" s="793"/>
      <c r="F72" s="793"/>
      <c r="G72" s="793"/>
      <c r="H72" s="793"/>
      <c r="I72" s="793"/>
      <c r="J72" s="793"/>
      <c r="K72" s="793"/>
      <c r="L72" s="793"/>
      <c r="M72" s="793"/>
      <c r="N72" s="793"/>
      <c r="O72" s="793"/>
      <c r="P72" s="793"/>
      <c r="Q72" s="793"/>
      <c r="R72" s="793"/>
      <c r="S72" s="793"/>
      <c r="T72" s="793"/>
      <c r="U72" s="793"/>
      <c r="V72" s="793"/>
      <c r="W72" s="793"/>
      <c r="X72" s="793"/>
      <c r="Y72" s="793"/>
      <c r="Z72" s="793"/>
      <c r="AA72" s="793"/>
      <c r="AB72" s="793"/>
      <c r="AC72" s="793"/>
      <c r="AD72" s="793"/>
      <c r="AE72" s="793"/>
      <c r="AF72" s="793"/>
    </row>
    <row r="73" spans="1:32" ht="17.45">
      <c r="A73" s="793"/>
      <c r="B73" s="793"/>
      <c r="C73" s="793"/>
      <c r="D73" s="793"/>
      <c r="E73" s="793"/>
      <c r="F73" s="793"/>
      <c r="G73" s="793"/>
      <c r="H73" s="793"/>
      <c r="I73" s="793"/>
      <c r="J73" s="793"/>
      <c r="K73" s="793"/>
      <c r="L73" s="793"/>
      <c r="M73" s="793"/>
      <c r="N73" s="793"/>
      <c r="O73" s="793"/>
      <c r="P73" s="793"/>
      <c r="Q73" s="793"/>
      <c r="R73" s="793"/>
      <c r="S73" s="793"/>
      <c r="T73" s="793"/>
      <c r="U73" s="793"/>
      <c r="V73" s="793"/>
      <c r="W73" s="793"/>
      <c r="X73" s="793"/>
      <c r="Y73" s="793"/>
      <c r="Z73" s="793"/>
      <c r="AA73" s="793"/>
      <c r="AB73" s="793"/>
      <c r="AC73" s="793"/>
      <c r="AD73" s="793"/>
      <c r="AE73" s="793"/>
      <c r="AF73" s="793"/>
    </row>
    <row r="74" spans="1:32" ht="17.45">
      <c r="A74" s="793"/>
      <c r="B74" s="793"/>
      <c r="C74" s="793"/>
      <c r="D74" s="793"/>
      <c r="E74" s="793"/>
      <c r="F74" s="793"/>
      <c r="G74" s="793"/>
      <c r="H74" s="793"/>
      <c r="I74" s="793"/>
      <c r="J74" s="793"/>
      <c r="K74" s="793"/>
      <c r="L74" s="793"/>
      <c r="M74" s="793"/>
      <c r="N74" s="793"/>
      <c r="O74" s="793"/>
      <c r="P74" s="793"/>
      <c r="Q74" s="793"/>
      <c r="R74" s="793"/>
      <c r="S74" s="793"/>
      <c r="T74" s="793"/>
      <c r="U74" s="793"/>
      <c r="V74" s="793"/>
      <c r="W74" s="793"/>
      <c r="X74" s="793"/>
      <c r="Y74" s="793"/>
      <c r="Z74" s="793"/>
      <c r="AA74" s="793"/>
      <c r="AB74" s="793"/>
      <c r="AC74" s="793"/>
      <c r="AD74" s="793"/>
      <c r="AE74" s="793"/>
      <c r="AF74" s="793"/>
    </row>
    <row r="75" spans="1:32" ht="17.45">
      <c r="A75" s="793"/>
      <c r="B75" s="793"/>
      <c r="C75" s="793"/>
      <c r="D75" s="793"/>
      <c r="E75" s="793"/>
      <c r="F75" s="793"/>
      <c r="G75" s="793"/>
      <c r="H75" s="793"/>
      <c r="I75" s="793"/>
      <c r="J75" s="793"/>
      <c r="K75" s="793"/>
      <c r="L75" s="793"/>
      <c r="M75" s="793"/>
      <c r="N75" s="793"/>
      <c r="O75" s="793"/>
      <c r="P75" s="793"/>
      <c r="Q75" s="793"/>
      <c r="R75" s="793"/>
      <c r="S75" s="793"/>
      <c r="T75" s="793"/>
      <c r="U75" s="793"/>
      <c r="V75" s="793"/>
      <c r="W75" s="793"/>
      <c r="X75" s="793"/>
      <c r="Y75" s="793"/>
      <c r="Z75" s="793"/>
      <c r="AA75" s="793"/>
      <c r="AB75" s="793"/>
      <c r="AC75" s="793"/>
      <c r="AD75" s="793"/>
      <c r="AE75" s="793"/>
      <c r="AF75" s="793"/>
    </row>
    <row r="76" spans="1:32" ht="17.45">
      <c r="A76" s="793"/>
      <c r="B76" s="793"/>
      <c r="C76" s="793"/>
      <c r="D76" s="793"/>
      <c r="E76" s="793"/>
      <c r="F76" s="793"/>
      <c r="G76" s="793"/>
      <c r="H76" s="793"/>
      <c r="I76" s="793"/>
      <c r="J76" s="793"/>
      <c r="K76" s="793"/>
      <c r="L76" s="793"/>
      <c r="M76" s="793"/>
      <c r="N76" s="793"/>
      <c r="O76" s="793"/>
      <c r="P76" s="793"/>
      <c r="Q76" s="793"/>
      <c r="R76" s="793"/>
      <c r="S76" s="793"/>
      <c r="T76" s="793"/>
      <c r="U76" s="793"/>
      <c r="V76" s="793"/>
      <c r="W76" s="793"/>
      <c r="X76" s="793"/>
      <c r="Y76" s="793"/>
      <c r="Z76" s="793"/>
      <c r="AA76" s="793"/>
      <c r="AB76" s="793"/>
      <c r="AC76" s="793"/>
      <c r="AD76" s="793"/>
      <c r="AE76" s="793"/>
      <c r="AF76" s="793"/>
    </row>
    <row r="77" spans="1:32" ht="17.45">
      <c r="A77" s="793"/>
      <c r="B77" s="793"/>
      <c r="C77" s="793"/>
      <c r="D77" s="793"/>
      <c r="E77" s="793"/>
      <c r="F77" s="793"/>
      <c r="G77" s="793"/>
      <c r="H77" s="793"/>
      <c r="I77" s="793"/>
      <c r="J77" s="793"/>
      <c r="K77" s="793"/>
      <c r="L77" s="793"/>
      <c r="M77" s="793"/>
      <c r="N77" s="793"/>
      <c r="O77" s="793"/>
      <c r="P77" s="793"/>
      <c r="Q77" s="793"/>
      <c r="R77" s="793"/>
      <c r="S77" s="793"/>
      <c r="T77" s="793"/>
      <c r="U77" s="793"/>
      <c r="V77" s="793"/>
      <c r="W77" s="793"/>
      <c r="X77" s="793"/>
      <c r="Y77" s="793"/>
      <c r="Z77" s="793"/>
      <c r="AA77" s="793"/>
      <c r="AB77" s="793"/>
      <c r="AC77" s="793"/>
      <c r="AD77" s="793"/>
      <c r="AE77" s="793"/>
      <c r="AF77" s="793"/>
    </row>
    <row r="78" spans="1:32" ht="17.45">
      <c r="A78" s="793"/>
      <c r="B78" s="793"/>
      <c r="C78" s="793"/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93"/>
      <c r="AB78" s="793"/>
      <c r="AC78" s="793"/>
      <c r="AD78" s="793"/>
      <c r="AE78" s="793"/>
      <c r="AF78" s="793"/>
    </row>
    <row r="79" spans="1:32" ht="17.45">
      <c r="A79" s="793"/>
      <c r="B79" s="793"/>
      <c r="C79" s="793"/>
      <c r="D79" s="793"/>
      <c r="E79" s="793"/>
      <c r="F79" s="793"/>
      <c r="G79" s="793"/>
      <c r="H79" s="793"/>
      <c r="I79" s="793"/>
      <c r="J79" s="793"/>
      <c r="K79" s="793"/>
      <c r="L79" s="793"/>
      <c r="M79" s="793"/>
      <c r="N79" s="793"/>
      <c r="O79" s="793"/>
      <c r="P79" s="793"/>
      <c r="Q79" s="793"/>
      <c r="R79" s="793"/>
      <c r="S79" s="793"/>
      <c r="T79" s="793"/>
      <c r="U79" s="793"/>
      <c r="V79" s="793"/>
      <c r="W79" s="793"/>
      <c r="X79" s="793"/>
      <c r="Y79" s="793"/>
      <c r="Z79" s="793"/>
      <c r="AA79" s="793"/>
      <c r="AB79" s="793"/>
      <c r="AC79" s="793"/>
      <c r="AD79" s="793"/>
      <c r="AE79" s="793"/>
      <c r="AF79" s="793"/>
    </row>
    <row r="80" spans="1:32" ht="17.45">
      <c r="A80" s="793"/>
      <c r="B80" s="793"/>
      <c r="C80" s="793"/>
      <c r="D80" s="793"/>
      <c r="E80" s="793"/>
      <c r="F80" s="793"/>
      <c r="G80" s="793"/>
      <c r="H80" s="793"/>
      <c r="I80" s="793"/>
      <c r="J80" s="793"/>
      <c r="K80" s="793"/>
      <c r="L80" s="793"/>
      <c r="M80" s="793"/>
      <c r="N80" s="793"/>
      <c r="O80" s="793"/>
      <c r="P80" s="793"/>
      <c r="Q80" s="793"/>
      <c r="R80" s="793"/>
      <c r="S80" s="793"/>
      <c r="T80" s="793"/>
      <c r="U80" s="793"/>
      <c r="V80" s="793"/>
      <c r="W80" s="793"/>
      <c r="X80" s="793"/>
      <c r="Y80" s="793"/>
      <c r="Z80" s="793"/>
      <c r="AA80" s="793"/>
      <c r="AB80" s="793"/>
      <c r="AC80" s="793"/>
      <c r="AD80" s="793"/>
      <c r="AE80" s="793"/>
      <c r="AF80" s="793"/>
    </row>
    <row r="81" spans="1:32" ht="17.45">
      <c r="A81" s="793"/>
      <c r="B81" s="793"/>
      <c r="C81" s="793"/>
      <c r="D81" s="793"/>
      <c r="E81" s="793"/>
      <c r="F81" s="793"/>
      <c r="G81" s="793"/>
      <c r="H81" s="793"/>
      <c r="I81" s="793"/>
      <c r="J81" s="793"/>
      <c r="K81" s="793"/>
      <c r="L81" s="793"/>
      <c r="M81" s="793"/>
      <c r="N81" s="793"/>
      <c r="O81" s="793"/>
      <c r="P81" s="793"/>
      <c r="Q81" s="793"/>
      <c r="R81" s="793"/>
      <c r="S81" s="793"/>
      <c r="T81" s="793"/>
      <c r="U81" s="793"/>
      <c r="V81" s="793"/>
      <c r="W81" s="793"/>
      <c r="X81" s="793"/>
      <c r="Y81" s="793"/>
      <c r="Z81" s="793"/>
      <c r="AA81" s="793"/>
      <c r="AB81" s="793"/>
      <c r="AC81" s="793"/>
      <c r="AD81" s="793"/>
      <c r="AE81" s="793"/>
      <c r="AF81" s="793"/>
    </row>
    <row r="82" spans="1:32" ht="17.45">
      <c r="A82" s="793"/>
      <c r="B82" s="793"/>
      <c r="C82" s="793"/>
      <c r="D82" s="793"/>
      <c r="E82" s="793"/>
      <c r="F82" s="793"/>
      <c r="G82" s="793"/>
      <c r="H82" s="793"/>
      <c r="I82" s="793"/>
      <c r="J82" s="793"/>
      <c r="K82" s="793"/>
      <c r="L82" s="793"/>
      <c r="M82" s="793"/>
      <c r="N82" s="793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793"/>
      <c r="Z82" s="793"/>
      <c r="AA82" s="793"/>
      <c r="AB82" s="793"/>
      <c r="AC82" s="793"/>
      <c r="AD82" s="793"/>
      <c r="AE82" s="793"/>
      <c r="AF82" s="793"/>
    </row>
    <row r="83" spans="1:32" ht="17.45">
      <c r="A83" s="793"/>
      <c r="B83" s="793"/>
      <c r="C83" s="793"/>
      <c r="D83" s="793"/>
      <c r="E83" s="793"/>
      <c r="F83" s="793"/>
      <c r="G83" s="793"/>
      <c r="H83" s="793"/>
      <c r="I83" s="793"/>
      <c r="J83" s="793"/>
      <c r="K83" s="793"/>
      <c r="L83" s="793"/>
      <c r="M83" s="793"/>
      <c r="N83" s="793"/>
      <c r="O83" s="793"/>
      <c r="P83" s="793"/>
      <c r="Q83" s="793"/>
      <c r="R83" s="793"/>
      <c r="S83" s="793"/>
      <c r="T83" s="793"/>
      <c r="U83" s="793"/>
      <c r="V83" s="793"/>
      <c r="W83" s="793"/>
      <c r="X83" s="793"/>
      <c r="Y83" s="793"/>
      <c r="Z83" s="793"/>
      <c r="AA83" s="793"/>
      <c r="AB83" s="793"/>
      <c r="AC83" s="793"/>
      <c r="AD83" s="793"/>
      <c r="AE83" s="793"/>
      <c r="AF83" s="793"/>
    </row>
    <row r="84" spans="1:32" ht="17.45">
      <c r="A84" s="793"/>
      <c r="B84" s="793"/>
      <c r="C84" s="793"/>
      <c r="D84" s="793"/>
      <c r="E84" s="793"/>
      <c r="F84" s="793"/>
      <c r="G84" s="793"/>
      <c r="H84" s="793"/>
      <c r="I84" s="793"/>
      <c r="J84" s="793"/>
      <c r="K84" s="793"/>
      <c r="L84" s="793"/>
      <c r="M84" s="793"/>
      <c r="N84" s="793"/>
      <c r="O84" s="793"/>
      <c r="P84" s="793"/>
      <c r="Q84" s="793"/>
      <c r="R84" s="793"/>
      <c r="S84" s="793"/>
      <c r="T84" s="793"/>
      <c r="U84" s="793"/>
      <c r="V84" s="793"/>
      <c r="W84" s="793"/>
      <c r="X84" s="793"/>
      <c r="Y84" s="793"/>
      <c r="Z84" s="793"/>
      <c r="AA84" s="793"/>
      <c r="AB84" s="793"/>
      <c r="AC84" s="793"/>
      <c r="AD84" s="793"/>
      <c r="AE84" s="793"/>
      <c r="AF84" s="793"/>
    </row>
    <row r="85" spans="1:32" ht="17.45">
      <c r="A85" s="793"/>
      <c r="B85" s="793"/>
      <c r="C85" s="793"/>
      <c r="D85" s="793"/>
      <c r="E85" s="793"/>
      <c r="F85" s="793"/>
      <c r="G85" s="793"/>
      <c r="H85" s="793"/>
      <c r="I85" s="793"/>
      <c r="J85" s="793"/>
      <c r="K85" s="793"/>
      <c r="L85" s="793"/>
      <c r="M85" s="793"/>
      <c r="N85" s="793"/>
      <c r="O85" s="793"/>
      <c r="P85" s="793"/>
      <c r="Q85" s="793"/>
      <c r="R85" s="793"/>
      <c r="S85" s="793"/>
      <c r="T85" s="793"/>
      <c r="U85" s="793"/>
      <c r="V85" s="793"/>
      <c r="W85" s="793"/>
      <c r="X85" s="793"/>
      <c r="Y85" s="793"/>
      <c r="Z85" s="793"/>
      <c r="AA85" s="793"/>
      <c r="AB85" s="793"/>
      <c r="AC85" s="793"/>
      <c r="AD85" s="793"/>
      <c r="AE85" s="793"/>
      <c r="AF85" s="793"/>
    </row>
    <row r="86" spans="1:32" ht="17.45">
      <c r="A86" s="793"/>
      <c r="B86" s="793"/>
      <c r="C86" s="793"/>
      <c r="D86" s="793"/>
      <c r="E86" s="793"/>
      <c r="F86" s="793"/>
      <c r="G86" s="793"/>
      <c r="H86" s="793"/>
      <c r="I86" s="793"/>
      <c r="J86" s="793"/>
      <c r="K86" s="793"/>
      <c r="L86" s="793"/>
      <c r="M86" s="793"/>
      <c r="N86" s="793"/>
      <c r="O86" s="793"/>
      <c r="P86" s="793"/>
      <c r="Q86" s="793"/>
      <c r="R86" s="793"/>
      <c r="S86" s="793"/>
      <c r="T86" s="793"/>
      <c r="U86" s="793"/>
      <c r="V86" s="793"/>
      <c r="W86" s="793"/>
      <c r="X86" s="793"/>
      <c r="Y86" s="793"/>
      <c r="Z86" s="793"/>
      <c r="AA86" s="793"/>
      <c r="AB86" s="793"/>
      <c r="AC86" s="793"/>
      <c r="AD86" s="793"/>
      <c r="AE86" s="793"/>
      <c r="AF86" s="793"/>
    </row>
    <row r="87" spans="1:32" ht="17.45">
      <c r="A87" s="793"/>
      <c r="B87" s="793"/>
      <c r="C87" s="793"/>
      <c r="D87" s="793"/>
      <c r="E87" s="793"/>
      <c r="F87" s="793"/>
      <c r="G87" s="793"/>
      <c r="H87" s="793"/>
      <c r="I87" s="793"/>
      <c r="J87" s="793"/>
      <c r="K87" s="793"/>
      <c r="L87" s="793"/>
      <c r="M87" s="793"/>
      <c r="N87" s="793"/>
      <c r="O87" s="793"/>
      <c r="P87" s="793"/>
      <c r="Q87" s="793"/>
      <c r="R87" s="793"/>
      <c r="S87" s="793"/>
      <c r="T87" s="793"/>
      <c r="U87" s="793"/>
      <c r="V87" s="793"/>
      <c r="W87" s="793"/>
      <c r="X87" s="793"/>
      <c r="Y87" s="793"/>
      <c r="Z87" s="793"/>
      <c r="AA87" s="793"/>
      <c r="AB87" s="793"/>
      <c r="AC87" s="793"/>
      <c r="AD87" s="793"/>
      <c r="AE87" s="793"/>
      <c r="AF87" s="793"/>
    </row>
    <row r="88" spans="1:32" ht="17.45">
      <c r="A88" s="793"/>
      <c r="B88" s="793"/>
      <c r="C88" s="793"/>
      <c r="D88" s="793"/>
      <c r="E88" s="793"/>
      <c r="F88" s="793"/>
      <c r="G88" s="793"/>
      <c r="H88" s="793"/>
      <c r="I88" s="793"/>
      <c r="J88" s="793"/>
      <c r="K88" s="793"/>
      <c r="L88" s="793"/>
      <c r="M88" s="793"/>
      <c r="N88" s="793"/>
      <c r="O88" s="793"/>
      <c r="P88" s="793"/>
      <c r="Q88" s="793"/>
      <c r="R88" s="793"/>
      <c r="S88" s="793"/>
      <c r="T88" s="793"/>
      <c r="U88" s="793"/>
      <c r="V88" s="793"/>
      <c r="W88" s="793"/>
      <c r="X88" s="793"/>
      <c r="Y88" s="793"/>
      <c r="Z88" s="793"/>
      <c r="AA88" s="793"/>
      <c r="AB88" s="793"/>
      <c r="AC88" s="793"/>
      <c r="AD88" s="793"/>
      <c r="AE88" s="793"/>
      <c r="AF88" s="79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850E-D193-46A0-91EF-4ABDCA77AB73}">
  <dimension ref="A1:AF88"/>
  <sheetViews>
    <sheetView topLeftCell="B24" zoomScale="25" zoomScaleNormal="25" workbookViewId="0">
      <selection activeCell="H21" sqref="H21"/>
    </sheetView>
  </sheetViews>
  <sheetFormatPr defaultColWidth="8.7109375" defaultRowHeight="14.45"/>
  <cols>
    <col min="1" max="1" width="3" style="402" customWidth="1"/>
    <col min="2" max="2" width="21" style="402" customWidth="1"/>
    <col min="3" max="5" width="23.7109375" style="402" customWidth="1"/>
    <col min="6" max="6" width="24.42578125" style="402" customWidth="1"/>
    <col min="7" max="9" width="23.7109375" style="402" customWidth="1"/>
    <col min="10" max="10" width="24.42578125" style="402" customWidth="1"/>
    <col min="11" max="11" width="1.7109375" style="402" customWidth="1"/>
    <col min="12" max="12" width="33" style="402" customWidth="1"/>
    <col min="13" max="14" width="23.28515625" style="402" customWidth="1"/>
    <col min="15" max="16384" width="8.7109375" style="402"/>
  </cols>
  <sheetData>
    <row r="1" spans="1:32" ht="23.25" customHeight="1">
      <c r="A1" s="901"/>
      <c r="B1" s="901"/>
      <c r="C1" s="401" t="s">
        <v>0</v>
      </c>
      <c r="D1" s="902">
        <v>174.88</v>
      </c>
      <c r="E1" s="901"/>
      <c r="F1" s="903"/>
      <c r="G1" s="901"/>
      <c r="H1" s="901"/>
      <c r="I1" s="901"/>
      <c r="J1" s="901"/>
      <c r="K1" s="901"/>
      <c r="L1" s="901"/>
      <c r="M1" s="901"/>
      <c r="N1" s="901"/>
      <c r="O1" s="901"/>
      <c r="P1" s="901"/>
      <c r="Q1" s="901"/>
      <c r="R1" s="901"/>
      <c r="S1" s="901"/>
      <c r="T1" s="901"/>
      <c r="U1" s="901"/>
      <c r="V1" s="901"/>
      <c r="W1" s="901"/>
      <c r="X1" s="901"/>
      <c r="Y1" s="901"/>
      <c r="Z1" s="901"/>
      <c r="AA1" s="901"/>
      <c r="AB1" s="901"/>
      <c r="AC1" s="901"/>
      <c r="AD1" s="901"/>
      <c r="AE1" s="901"/>
      <c r="AF1" s="901"/>
    </row>
    <row r="2" spans="1:32" ht="23.25" customHeight="1">
      <c r="A2" s="901"/>
      <c r="B2" s="403" t="s">
        <v>204</v>
      </c>
      <c r="C2" s="904" t="s">
        <v>1</v>
      </c>
      <c r="D2" s="905">
        <f>J8+J16+J24+J32+J40+J48</f>
        <v>137.82</v>
      </c>
      <c r="E2" s="906" t="s">
        <v>2</v>
      </c>
      <c r="F2" s="907">
        <f>J9+J17+J25+J33+J41+J49</f>
        <v>0</v>
      </c>
      <c r="G2" s="906" t="s">
        <v>3</v>
      </c>
      <c r="H2" s="907">
        <f>J10+J18+J26+J34+J42+J50</f>
        <v>0</v>
      </c>
      <c r="I2" s="908"/>
      <c r="J2" s="909" t="s">
        <v>4</v>
      </c>
      <c r="K2" s="910"/>
      <c r="L2" s="909"/>
      <c r="M2" s="901"/>
      <c r="N2" s="901"/>
      <c r="O2" s="901"/>
      <c r="P2" s="901"/>
      <c r="Q2" s="901"/>
      <c r="R2" s="901"/>
      <c r="S2" s="901"/>
      <c r="T2" s="901"/>
      <c r="U2" s="901"/>
      <c r="V2" s="901"/>
      <c r="W2" s="901"/>
      <c r="X2" s="901"/>
      <c r="Y2" s="901"/>
      <c r="Z2" s="901"/>
      <c r="AA2" s="901"/>
      <c r="AB2" s="901"/>
      <c r="AC2" s="901"/>
      <c r="AD2" s="901"/>
      <c r="AE2" s="901"/>
      <c r="AF2" s="901"/>
    </row>
    <row r="3" spans="1:32" ht="23.25" customHeight="1">
      <c r="A3" s="901"/>
      <c r="B3" s="911" t="s">
        <v>5</v>
      </c>
      <c r="C3" s="404" t="s">
        <v>6</v>
      </c>
      <c r="D3" s="405" t="s">
        <v>7</v>
      </c>
      <c r="E3" s="406" t="s">
        <v>8</v>
      </c>
      <c r="F3" s="407" t="s">
        <v>9</v>
      </c>
      <c r="G3" s="405" t="s">
        <v>10</v>
      </c>
      <c r="H3" s="405" t="s">
        <v>11</v>
      </c>
      <c r="I3" s="408" t="s">
        <v>12</v>
      </c>
      <c r="J3" s="909" t="s">
        <v>13</v>
      </c>
      <c r="K3" s="912"/>
      <c r="L3" s="909"/>
      <c r="M3" s="901"/>
      <c r="N3" s="901"/>
      <c r="O3" s="901"/>
      <c r="P3" s="901"/>
      <c r="Q3" s="901"/>
      <c r="R3" s="901"/>
      <c r="S3" s="901"/>
      <c r="T3" s="901"/>
      <c r="U3" s="901"/>
      <c r="V3" s="901"/>
      <c r="W3" s="901"/>
      <c r="X3" s="901"/>
      <c r="Y3" s="901"/>
      <c r="Z3" s="901"/>
      <c r="AA3" s="901"/>
      <c r="AB3" s="901"/>
      <c r="AC3" s="901"/>
      <c r="AD3" s="901"/>
      <c r="AE3" s="901"/>
      <c r="AF3" s="901"/>
    </row>
    <row r="4" spans="1:32" ht="23.25" customHeight="1">
      <c r="A4" s="901"/>
      <c r="B4" s="913" t="s">
        <v>14</v>
      </c>
      <c r="C4" s="914" t="s">
        <v>4</v>
      </c>
      <c r="D4" s="914" t="s">
        <v>4</v>
      </c>
      <c r="E4" s="914" t="s">
        <v>4</v>
      </c>
      <c r="F4" s="914" t="s">
        <v>4</v>
      </c>
      <c r="G4" s="914" t="s">
        <v>4</v>
      </c>
      <c r="H4" s="915">
        <v>1</v>
      </c>
      <c r="I4" s="916">
        <v>2</v>
      </c>
      <c r="J4" s="909" t="s">
        <v>15</v>
      </c>
      <c r="K4" s="912"/>
      <c r="L4" s="917"/>
      <c r="M4" s="901"/>
      <c r="N4" s="901"/>
      <c r="O4" s="901"/>
      <c r="P4" s="901"/>
      <c r="Q4" s="901"/>
      <c r="R4" s="901"/>
      <c r="S4" s="901"/>
      <c r="T4" s="901"/>
      <c r="U4" s="901"/>
      <c r="V4" s="901"/>
      <c r="W4" s="901"/>
      <c r="X4" s="901"/>
      <c r="Y4" s="901"/>
      <c r="Z4" s="901"/>
      <c r="AA4" s="901"/>
      <c r="AB4" s="901"/>
      <c r="AC4" s="901"/>
      <c r="AD4" s="901"/>
      <c r="AE4" s="901"/>
      <c r="AF4" s="901"/>
    </row>
    <row r="5" spans="1:32" ht="23.25" customHeight="1">
      <c r="A5" s="901"/>
      <c r="B5" s="918" t="s">
        <v>16</v>
      </c>
      <c r="C5" s="919"/>
      <c r="D5" s="920"/>
      <c r="E5" s="921"/>
      <c r="F5" s="920"/>
      <c r="G5" s="920"/>
      <c r="H5" s="920" t="s">
        <v>53</v>
      </c>
      <c r="I5" s="922" t="s">
        <v>53</v>
      </c>
      <c r="J5" s="909" t="s">
        <v>17</v>
      </c>
      <c r="K5" s="912"/>
      <c r="L5" s="923"/>
      <c r="M5" s="901"/>
      <c r="N5" s="901"/>
      <c r="O5" s="901"/>
      <c r="P5" s="901"/>
      <c r="Q5" s="901"/>
      <c r="R5" s="901"/>
      <c r="S5" s="901"/>
      <c r="T5" s="901"/>
      <c r="U5" s="901"/>
      <c r="V5" s="901"/>
      <c r="W5" s="901"/>
      <c r="X5" s="901"/>
      <c r="Y5" s="901"/>
      <c r="Z5" s="901"/>
      <c r="AA5" s="901"/>
      <c r="AB5" s="901"/>
      <c r="AC5" s="901"/>
      <c r="AD5" s="901"/>
      <c r="AE5" s="901"/>
      <c r="AF5" s="901"/>
    </row>
    <row r="6" spans="1:32" ht="23.25" customHeight="1">
      <c r="A6" s="901"/>
      <c r="B6" s="924" t="s">
        <v>18</v>
      </c>
      <c r="C6" s="925" t="s">
        <v>4</v>
      </c>
      <c r="D6" s="925" t="s">
        <v>4</v>
      </c>
      <c r="E6" s="926" t="s">
        <v>4</v>
      </c>
      <c r="F6" s="926" t="s">
        <v>4</v>
      </c>
      <c r="G6" s="927" t="s">
        <v>4</v>
      </c>
      <c r="H6" s="928">
        <v>0.55000000000000004</v>
      </c>
      <c r="I6" s="929">
        <v>0.64</v>
      </c>
      <c r="J6" s="930"/>
      <c r="K6" s="912"/>
      <c r="L6" s="901"/>
      <c r="M6" s="901"/>
      <c r="N6" s="901"/>
      <c r="O6" s="901"/>
      <c r="P6" s="901"/>
      <c r="Q6" s="901"/>
      <c r="R6" s="901"/>
      <c r="S6" s="901"/>
      <c r="T6" s="901"/>
      <c r="U6" s="901"/>
      <c r="V6" s="901"/>
      <c r="W6" s="901"/>
      <c r="X6" s="901"/>
      <c r="Y6" s="901"/>
      <c r="Z6" s="901"/>
      <c r="AA6" s="901"/>
      <c r="AB6" s="901"/>
      <c r="AC6" s="901"/>
      <c r="AD6" s="901"/>
      <c r="AE6" s="901"/>
      <c r="AF6" s="901"/>
    </row>
    <row r="7" spans="1:32" ht="23.25" customHeight="1">
      <c r="A7" s="901"/>
      <c r="B7" s="918" t="s">
        <v>19</v>
      </c>
      <c r="C7" s="931"/>
      <c r="D7" s="932"/>
      <c r="E7" s="933"/>
      <c r="F7" s="932"/>
      <c r="G7" s="932"/>
      <c r="H7" s="932" t="s">
        <v>52</v>
      </c>
      <c r="I7" s="934" t="s">
        <v>42</v>
      </c>
      <c r="J7" s="935" t="s">
        <v>20</v>
      </c>
      <c r="K7" s="912"/>
      <c r="L7" s="936"/>
      <c r="M7" s="901"/>
      <c r="N7" s="901"/>
      <c r="O7" s="901"/>
      <c r="P7" s="901"/>
      <c r="Q7" s="901"/>
      <c r="R7" s="901"/>
      <c r="S7" s="901"/>
      <c r="T7" s="901"/>
      <c r="U7" s="901"/>
      <c r="V7" s="901"/>
      <c r="W7" s="901"/>
      <c r="X7" s="901"/>
      <c r="Y7" s="901"/>
      <c r="Z7" s="901"/>
      <c r="AA7" s="901"/>
      <c r="AB7" s="901"/>
      <c r="AC7" s="901"/>
      <c r="AD7" s="901"/>
      <c r="AE7" s="901"/>
      <c r="AF7" s="901"/>
    </row>
    <row r="8" spans="1:32" ht="23.25" customHeight="1">
      <c r="A8" s="901"/>
      <c r="B8" s="913" t="s">
        <v>21</v>
      </c>
      <c r="C8" s="937"/>
      <c r="D8" s="938"/>
      <c r="E8" s="939"/>
      <c r="F8" s="938"/>
      <c r="G8" s="938"/>
      <c r="H8" s="938">
        <v>4.7</v>
      </c>
      <c r="I8" s="908">
        <v>3.7</v>
      </c>
      <c r="J8" s="940" cm="1">
        <f t="array" ref="J8">SUM(IF(ISNUMBER(C8:I8), C8:I8, 0))</f>
        <v>8.4</v>
      </c>
      <c r="K8" s="912"/>
      <c r="L8" s="941" t="s">
        <v>22</v>
      </c>
      <c r="M8" s="901"/>
      <c r="N8" s="901"/>
      <c r="O8" s="901"/>
      <c r="P8" s="901"/>
      <c r="Q8" s="901"/>
      <c r="R8" s="901"/>
      <c r="S8" s="901"/>
      <c r="T8" s="901"/>
      <c r="U8" s="901"/>
      <c r="V8" s="901"/>
      <c r="W8" s="901"/>
      <c r="X8" s="901"/>
      <c r="Y8" s="901"/>
      <c r="Z8" s="901"/>
      <c r="AA8" s="901"/>
      <c r="AB8" s="901"/>
      <c r="AC8" s="901"/>
      <c r="AD8" s="901"/>
      <c r="AE8" s="901"/>
      <c r="AF8" s="901"/>
    </row>
    <row r="9" spans="1:32" ht="23.25" customHeight="1">
      <c r="A9" s="901"/>
      <c r="B9" s="913" t="s">
        <v>23</v>
      </c>
      <c r="C9" s="937"/>
      <c r="D9" s="938"/>
      <c r="E9" s="939"/>
      <c r="F9" s="938"/>
      <c r="G9" s="938"/>
      <c r="H9" s="938">
        <v>0</v>
      </c>
      <c r="I9" s="908">
        <v>0</v>
      </c>
      <c r="J9" s="940" cm="1">
        <f t="array" ref="J9">SUM(IF(ISNUMBER(B9:I9), B9:I9, 0))</f>
        <v>0</v>
      </c>
      <c r="K9" s="912"/>
      <c r="L9" s="941" t="s">
        <v>24</v>
      </c>
      <c r="M9" s="901"/>
      <c r="N9" s="901"/>
      <c r="O9" s="901"/>
      <c r="P9" s="901"/>
      <c r="Q9" s="901"/>
      <c r="R9" s="901"/>
      <c r="S9" s="901"/>
      <c r="T9" s="901"/>
      <c r="U9" s="901"/>
      <c r="V9" s="901"/>
      <c r="W9" s="901"/>
      <c r="X9" s="901"/>
      <c r="Y9" s="901"/>
      <c r="Z9" s="901"/>
      <c r="AA9" s="901"/>
      <c r="AB9" s="901"/>
      <c r="AC9" s="901"/>
      <c r="AD9" s="901"/>
      <c r="AE9" s="901"/>
      <c r="AF9" s="901"/>
    </row>
    <row r="10" spans="1:32" ht="23.25" customHeight="1">
      <c r="A10" s="901"/>
      <c r="B10" s="913" t="s">
        <v>25</v>
      </c>
      <c r="C10" s="937"/>
      <c r="D10" s="938"/>
      <c r="E10" s="939"/>
      <c r="F10" s="938"/>
      <c r="G10" s="938"/>
      <c r="H10" s="938">
        <v>0</v>
      </c>
      <c r="I10" s="908">
        <v>0</v>
      </c>
      <c r="J10" s="942" cm="1">
        <f t="array" ref="J10">SUM(IF(ISNUMBER(B10:I10), B10:I10, 0))</f>
        <v>0</v>
      </c>
      <c r="K10" s="912"/>
      <c r="L10" s="941" t="s">
        <v>26</v>
      </c>
      <c r="M10" s="901"/>
      <c r="N10" s="901"/>
      <c r="O10" s="901"/>
      <c r="P10" s="901"/>
      <c r="Q10" s="901"/>
      <c r="R10" s="901"/>
      <c r="S10" s="901"/>
      <c r="T10" s="901"/>
      <c r="U10" s="901"/>
      <c r="V10" s="901"/>
      <c r="W10" s="901"/>
      <c r="X10" s="901"/>
      <c r="Y10" s="901"/>
      <c r="Z10" s="901"/>
      <c r="AA10" s="901"/>
      <c r="AB10" s="901"/>
      <c r="AC10" s="901"/>
      <c r="AD10" s="901"/>
      <c r="AE10" s="901"/>
      <c r="AF10" s="901"/>
    </row>
    <row r="11" spans="1:32" ht="23.25" customHeight="1">
      <c r="A11" s="901"/>
      <c r="B11" s="943" t="s">
        <v>27</v>
      </c>
      <c r="C11" s="944" t="s">
        <v>4</v>
      </c>
      <c r="D11" s="945" t="s">
        <v>4</v>
      </c>
      <c r="E11" s="946" t="s">
        <v>4</v>
      </c>
      <c r="F11" s="947" t="s">
        <v>4</v>
      </c>
      <c r="G11" s="948" t="s">
        <v>4</v>
      </c>
      <c r="H11" s="949" t="s">
        <v>205</v>
      </c>
      <c r="I11" s="950" t="s">
        <v>206</v>
      </c>
      <c r="J11" s="942">
        <v>7.38</v>
      </c>
      <c r="K11" s="912"/>
      <c r="L11" s="941" t="s">
        <v>28</v>
      </c>
      <c r="M11" s="901"/>
      <c r="N11" s="901"/>
      <c r="O11" s="901"/>
      <c r="P11" s="901"/>
      <c r="Q11" s="901"/>
      <c r="R11" s="901"/>
      <c r="S11" s="901"/>
      <c r="T11" s="901"/>
      <c r="U11" s="901"/>
      <c r="V11" s="901"/>
      <c r="W11" s="901"/>
      <c r="X11" s="901"/>
      <c r="Y11" s="901"/>
      <c r="Z11" s="901"/>
      <c r="AA11" s="901"/>
      <c r="AB11" s="901"/>
      <c r="AC11" s="901"/>
      <c r="AD11" s="901"/>
      <c r="AE11" s="901"/>
      <c r="AF11" s="901"/>
    </row>
    <row r="12" spans="1:32" ht="23.25" customHeight="1">
      <c r="A12" s="901"/>
      <c r="B12" s="901" t="s">
        <v>4</v>
      </c>
      <c r="C12" s="951">
        <v>3</v>
      </c>
      <c r="D12" s="951">
        <v>4</v>
      </c>
      <c r="E12" s="951">
        <v>5</v>
      </c>
      <c r="F12" s="952">
        <v>6</v>
      </c>
      <c r="G12" s="953">
        <v>7</v>
      </c>
      <c r="H12" s="954">
        <v>8</v>
      </c>
      <c r="I12" s="916">
        <v>9</v>
      </c>
      <c r="J12" s="902"/>
      <c r="K12" s="912"/>
      <c r="L12" s="955"/>
      <c r="M12" s="901"/>
      <c r="N12" s="901"/>
      <c r="O12" s="901"/>
      <c r="P12" s="901"/>
      <c r="Q12" s="901"/>
      <c r="R12" s="901"/>
      <c r="S12" s="901"/>
      <c r="T12" s="901"/>
      <c r="U12" s="901"/>
      <c r="V12" s="901"/>
      <c r="W12" s="901"/>
      <c r="X12" s="901"/>
      <c r="Y12" s="901"/>
      <c r="Z12" s="901"/>
      <c r="AA12" s="901"/>
      <c r="AB12" s="901"/>
      <c r="AC12" s="901"/>
      <c r="AD12" s="901"/>
      <c r="AE12" s="901"/>
      <c r="AF12" s="901"/>
    </row>
    <row r="13" spans="1:32" ht="23.25" customHeight="1">
      <c r="A13" s="901"/>
      <c r="B13" s="901"/>
      <c r="C13" s="919" t="s">
        <v>50</v>
      </c>
      <c r="D13" s="920" t="s">
        <v>41</v>
      </c>
      <c r="E13" s="921" t="s">
        <v>207</v>
      </c>
      <c r="F13" s="956" t="s">
        <v>208</v>
      </c>
      <c r="G13" s="409"/>
      <c r="H13" s="957" t="s">
        <v>209</v>
      </c>
      <c r="I13" s="958" t="s">
        <v>210</v>
      </c>
      <c r="J13" s="902"/>
      <c r="K13" s="912"/>
      <c r="L13" s="955"/>
      <c r="M13" s="901"/>
      <c r="N13" s="901"/>
      <c r="O13" s="901"/>
      <c r="P13" s="901"/>
      <c r="Q13" s="901"/>
      <c r="R13" s="901"/>
      <c r="S13" s="901"/>
      <c r="T13" s="901"/>
      <c r="U13" s="901"/>
      <c r="V13" s="901"/>
      <c r="W13" s="901"/>
      <c r="X13" s="901"/>
      <c r="Y13" s="901"/>
      <c r="Z13" s="901"/>
      <c r="AA13" s="901"/>
      <c r="AB13" s="901"/>
      <c r="AC13" s="901"/>
      <c r="AD13" s="901"/>
      <c r="AE13" s="901"/>
      <c r="AF13" s="901"/>
    </row>
    <row r="14" spans="1:32" ht="23.25" customHeight="1">
      <c r="A14" s="901"/>
      <c r="B14" s="901"/>
      <c r="C14" s="959">
        <v>0.73</v>
      </c>
      <c r="D14" s="928">
        <v>0.81</v>
      </c>
      <c r="E14" s="925">
        <v>0.88</v>
      </c>
      <c r="F14" s="926">
        <v>0.94</v>
      </c>
      <c r="G14" s="926">
        <v>0.98</v>
      </c>
      <c r="H14" s="960">
        <v>1</v>
      </c>
      <c r="I14" s="961">
        <v>0.99</v>
      </c>
      <c r="J14" s="912"/>
      <c r="K14" s="912"/>
      <c r="L14" s="955"/>
      <c r="M14" s="901"/>
      <c r="N14" s="901"/>
      <c r="O14" s="901"/>
      <c r="P14" s="901"/>
      <c r="Q14" s="901"/>
      <c r="R14" s="901"/>
      <c r="S14" s="901"/>
      <c r="T14" s="901"/>
      <c r="U14" s="901"/>
      <c r="V14" s="901"/>
      <c r="W14" s="901"/>
      <c r="X14" s="901"/>
      <c r="Y14" s="901"/>
      <c r="Z14" s="901"/>
      <c r="AA14" s="901"/>
      <c r="AB14" s="901"/>
      <c r="AC14" s="901"/>
      <c r="AD14" s="901"/>
      <c r="AE14" s="901"/>
      <c r="AF14" s="901"/>
    </row>
    <row r="15" spans="1:32" ht="23.25" customHeight="1">
      <c r="A15" s="901"/>
      <c r="B15" s="901"/>
      <c r="C15" s="931" t="s">
        <v>42</v>
      </c>
      <c r="D15" s="962" t="s">
        <v>52</v>
      </c>
      <c r="E15" s="932" t="s">
        <v>52</v>
      </c>
      <c r="F15" s="409"/>
      <c r="G15" s="409" t="s">
        <v>211</v>
      </c>
      <c r="H15" s="410"/>
      <c r="I15" s="411"/>
      <c r="J15" s="935" t="s">
        <v>29</v>
      </c>
      <c r="K15" s="912"/>
      <c r="L15" s="955"/>
      <c r="M15" s="901"/>
      <c r="N15" s="901"/>
      <c r="O15" s="901"/>
      <c r="P15" s="901"/>
      <c r="Q15" s="901"/>
      <c r="R15" s="901"/>
      <c r="S15" s="901"/>
      <c r="T15" s="901"/>
      <c r="U15" s="901"/>
      <c r="V15" s="901"/>
      <c r="W15" s="901"/>
      <c r="X15" s="901"/>
      <c r="Y15" s="901"/>
      <c r="Z15" s="901"/>
      <c r="AA15" s="901"/>
      <c r="AB15" s="901"/>
      <c r="AC15" s="901"/>
      <c r="AD15" s="901"/>
      <c r="AE15" s="901"/>
      <c r="AF15" s="901"/>
    </row>
    <row r="16" spans="1:32" ht="23.25" customHeight="1">
      <c r="A16" s="901"/>
      <c r="B16" s="901"/>
      <c r="C16" s="937" t="s">
        <v>212</v>
      </c>
      <c r="D16" s="938">
        <v>1.63</v>
      </c>
      <c r="E16" s="938">
        <v>0.72</v>
      </c>
      <c r="F16" s="938"/>
      <c r="G16" s="938">
        <v>6.72</v>
      </c>
      <c r="H16" s="938"/>
      <c r="I16" s="908">
        <v>6.6</v>
      </c>
      <c r="J16" s="940" cm="1">
        <f t="array" ref="J16">SUM(IF(ISNUMBER(B16:I16), B16:I16, 0))</f>
        <v>15.67</v>
      </c>
      <c r="K16" s="912"/>
      <c r="L16" s="963" t="s">
        <v>22</v>
      </c>
      <c r="M16" s="901"/>
      <c r="N16" s="901"/>
      <c r="O16" s="901"/>
      <c r="P16" s="901"/>
      <c r="Q16" s="901"/>
      <c r="R16" s="901"/>
      <c r="S16" s="901"/>
      <c r="T16" s="901"/>
      <c r="U16" s="901"/>
      <c r="V16" s="901"/>
      <c r="W16" s="901"/>
      <c r="X16" s="901"/>
      <c r="Y16" s="901"/>
      <c r="Z16" s="901"/>
      <c r="AA16" s="901"/>
      <c r="AB16" s="901"/>
      <c r="AC16" s="901"/>
      <c r="AD16" s="901"/>
      <c r="AE16" s="901"/>
      <c r="AF16" s="901"/>
    </row>
    <row r="17" spans="1:32" ht="23.25" customHeight="1">
      <c r="A17" s="901"/>
      <c r="B17" s="901"/>
      <c r="C17" s="937">
        <v>0</v>
      </c>
      <c r="D17" s="938">
        <v>0</v>
      </c>
      <c r="E17" s="938">
        <v>0</v>
      </c>
      <c r="F17" s="938"/>
      <c r="G17" s="938">
        <v>0</v>
      </c>
      <c r="H17" s="938"/>
      <c r="I17" s="908">
        <v>0</v>
      </c>
      <c r="J17" s="940" cm="1">
        <f t="array" ref="J17">SUM(IF(ISNUMBER(B17:I17), B17:I17, 0))</f>
        <v>0</v>
      </c>
      <c r="K17" s="912"/>
      <c r="L17" s="963" t="s">
        <v>24</v>
      </c>
      <c r="M17" s="901"/>
      <c r="N17" s="901"/>
      <c r="O17" s="901"/>
      <c r="P17" s="901"/>
      <c r="Q17" s="901"/>
      <c r="R17" s="901"/>
      <c r="S17" s="901"/>
      <c r="T17" s="901"/>
      <c r="U17" s="901"/>
      <c r="V17" s="901"/>
      <c r="W17" s="901"/>
      <c r="X17" s="901"/>
      <c r="Y17" s="901"/>
      <c r="Z17" s="901"/>
      <c r="AA17" s="901"/>
      <c r="AB17" s="901"/>
      <c r="AC17" s="901"/>
      <c r="AD17" s="901"/>
      <c r="AE17" s="901"/>
      <c r="AF17" s="901"/>
    </row>
    <row r="18" spans="1:32" ht="23.25" customHeight="1">
      <c r="A18" s="901"/>
      <c r="B18" s="901"/>
      <c r="C18" s="937">
        <v>0</v>
      </c>
      <c r="D18" s="938">
        <v>0</v>
      </c>
      <c r="E18" s="938">
        <v>0</v>
      </c>
      <c r="F18" s="938"/>
      <c r="G18" s="938">
        <v>0</v>
      </c>
      <c r="H18" s="938"/>
      <c r="I18" s="908">
        <v>0</v>
      </c>
      <c r="J18" s="942" cm="1">
        <f t="array" ref="J18">SUM(IF(ISNUMBER(B18:I18), B18:I18, 0))</f>
        <v>0</v>
      </c>
      <c r="K18" s="912"/>
      <c r="L18" s="963" t="s">
        <v>26</v>
      </c>
      <c r="M18" s="901"/>
      <c r="N18" s="901"/>
      <c r="O18" s="901"/>
      <c r="P18" s="901"/>
      <c r="Q18" s="901"/>
      <c r="R18" s="901"/>
      <c r="S18" s="901"/>
      <c r="T18" s="901"/>
      <c r="U18" s="901"/>
      <c r="V18" s="901"/>
      <c r="W18" s="901"/>
      <c r="X18" s="901"/>
      <c r="Y18" s="901"/>
      <c r="Z18" s="901"/>
      <c r="AA18" s="901"/>
      <c r="AB18" s="901"/>
      <c r="AC18" s="901"/>
      <c r="AD18" s="901"/>
      <c r="AE18" s="901"/>
      <c r="AF18" s="901"/>
    </row>
    <row r="19" spans="1:32" ht="23.25" customHeight="1">
      <c r="A19" s="901"/>
      <c r="B19" s="901"/>
      <c r="C19" s="964" t="s">
        <v>213</v>
      </c>
      <c r="D19" s="965" t="s">
        <v>214</v>
      </c>
      <c r="E19" s="945" t="s">
        <v>215</v>
      </c>
      <c r="F19" s="948" t="s">
        <v>216</v>
      </c>
      <c r="G19" s="966" t="s">
        <v>217</v>
      </c>
      <c r="H19" s="967" t="s">
        <v>218</v>
      </c>
      <c r="I19" s="950" t="s">
        <v>219</v>
      </c>
      <c r="J19" s="942">
        <v>17.82</v>
      </c>
      <c r="K19" s="912"/>
      <c r="L19" s="941" t="s">
        <v>28</v>
      </c>
      <c r="M19" s="901"/>
      <c r="N19" s="901"/>
      <c r="O19" s="901"/>
      <c r="P19" s="901"/>
      <c r="Q19" s="901"/>
      <c r="R19" s="901"/>
      <c r="S19" s="901"/>
      <c r="T19" s="901"/>
      <c r="U19" s="901"/>
      <c r="V19" s="901"/>
      <c r="W19" s="901"/>
      <c r="X19" s="901"/>
      <c r="Y19" s="901"/>
      <c r="Z19" s="901"/>
      <c r="AA19" s="901"/>
      <c r="AB19" s="901"/>
      <c r="AC19" s="901"/>
      <c r="AD19" s="901"/>
      <c r="AE19" s="901"/>
      <c r="AF19" s="901"/>
    </row>
    <row r="20" spans="1:32" ht="23.25" customHeight="1">
      <c r="A20" s="901"/>
      <c r="B20" s="901"/>
      <c r="C20" s="968">
        <v>10</v>
      </c>
      <c r="D20" s="968">
        <v>11</v>
      </c>
      <c r="E20" s="969">
        <v>12</v>
      </c>
      <c r="F20" s="970">
        <v>13</v>
      </c>
      <c r="G20" s="971">
        <v>14</v>
      </c>
      <c r="H20" s="971">
        <v>15</v>
      </c>
      <c r="I20" s="972">
        <v>16</v>
      </c>
      <c r="J20" s="902"/>
      <c r="K20" s="912"/>
      <c r="L20" s="955"/>
      <c r="M20" s="901"/>
      <c r="N20" s="901"/>
      <c r="O20" s="901"/>
      <c r="P20" s="901"/>
      <c r="Q20" s="901"/>
      <c r="R20" s="901"/>
      <c r="S20" s="901"/>
      <c r="T20" s="901"/>
      <c r="U20" s="901"/>
      <c r="V20" s="901"/>
      <c r="W20" s="901"/>
      <c r="X20" s="901"/>
      <c r="Y20" s="901"/>
      <c r="Z20" s="901"/>
      <c r="AA20" s="901"/>
      <c r="AB20" s="901"/>
      <c r="AC20" s="901"/>
      <c r="AD20" s="901"/>
      <c r="AE20" s="901"/>
      <c r="AF20" s="901"/>
    </row>
    <row r="21" spans="1:32" ht="23.25" customHeight="1">
      <c r="A21" s="901"/>
      <c r="B21" s="901"/>
      <c r="C21" s="973" t="s">
        <v>220</v>
      </c>
      <c r="D21" s="412" t="s">
        <v>221</v>
      </c>
      <c r="E21" s="962" t="s">
        <v>210</v>
      </c>
      <c r="F21" s="962" t="s">
        <v>222</v>
      </c>
      <c r="G21" s="962" t="s">
        <v>42</v>
      </c>
      <c r="H21" s="932" t="s">
        <v>223</v>
      </c>
      <c r="I21" s="974" t="s">
        <v>42</v>
      </c>
      <c r="J21" s="902"/>
      <c r="K21" s="912"/>
      <c r="L21" s="955"/>
      <c r="M21" s="901"/>
      <c r="N21" s="901"/>
      <c r="O21" s="901"/>
      <c r="P21" s="901"/>
      <c r="Q21" s="901"/>
      <c r="R21" s="901"/>
      <c r="S21" s="901"/>
      <c r="T21" s="901"/>
      <c r="U21" s="901"/>
      <c r="V21" s="901"/>
      <c r="W21" s="901"/>
      <c r="X21" s="901"/>
      <c r="Y21" s="901"/>
      <c r="Z21" s="901"/>
      <c r="AA21" s="901"/>
      <c r="AB21" s="901"/>
      <c r="AC21" s="901"/>
      <c r="AD21" s="901"/>
      <c r="AE21" s="901"/>
      <c r="AF21" s="901"/>
    </row>
    <row r="22" spans="1:32" ht="23.25" customHeight="1">
      <c r="A22" s="901"/>
      <c r="B22" s="901"/>
      <c r="C22" s="975">
        <v>0.97</v>
      </c>
      <c r="D22" s="926">
        <v>0.91</v>
      </c>
      <c r="E22" s="926">
        <v>0.84</v>
      </c>
      <c r="F22" s="926">
        <v>0.75</v>
      </c>
      <c r="G22" s="927">
        <v>0.64</v>
      </c>
      <c r="H22" s="928">
        <v>0.53</v>
      </c>
      <c r="I22" s="929">
        <v>0.41</v>
      </c>
      <c r="J22" s="912"/>
      <c r="K22" s="912"/>
      <c r="L22" s="955"/>
      <c r="M22" s="901"/>
      <c r="N22" s="901"/>
      <c r="O22" s="901"/>
      <c r="P22" s="901"/>
      <c r="Q22" s="901"/>
      <c r="R22" s="901"/>
      <c r="S22" s="901"/>
      <c r="T22" s="901"/>
      <c r="U22" s="901"/>
      <c r="V22" s="901"/>
      <c r="W22" s="901"/>
      <c r="X22" s="901"/>
      <c r="Y22" s="901"/>
      <c r="Z22" s="901"/>
      <c r="AA22" s="901"/>
      <c r="AB22" s="901"/>
      <c r="AC22" s="901"/>
      <c r="AD22" s="901"/>
      <c r="AE22" s="901"/>
      <c r="AF22" s="901"/>
    </row>
    <row r="23" spans="1:32" ht="23.25" customHeight="1">
      <c r="A23" s="901"/>
      <c r="B23" s="901"/>
      <c r="C23" s="976"/>
      <c r="D23" s="977" t="s">
        <v>62</v>
      </c>
      <c r="E23" s="962" t="s">
        <v>42</v>
      </c>
      <c r="F23" s="962" t="s">
        <v>42</v>
      </c>
      <c r="G23" s="962" t="s">
        <v>108</v>
      </c>
      <c r="H23" s="962" t="s">
        <v>54</v>
      </c>
      <c r="I23" s="974" t="s">
        <v>108</v>
      </c>
      <c r="J23" s="978" t="s">
        <v>30</v>
      </c>
      <c r="K23" s="912"/>
      <c r="L23" s="955"/>
      <c r="M23" s="901"/>
      <c r="N23" s="901"/>
      <c r="O23" s="901"/>
      <c r="P23" s="901"/>
      <c r="Q23" s="901"/>
      <c r="R23" s="901"/>
      <c r="S23" s="901"/>
      <c r="T23" s="901"/>
      <c r="U23" s="901"/>
      <c r="V23" s="901"/>
      <c r="W23" s="901"/>
      <c r="X23" s="901"/>
      <c r="Y23" s="901"/>
      <c r="Z23" s="901"/>
      <c r="AA23" s="901"/>
      <c r="AB23" s="901"/>
      <c r="AC23" s="901"/>
      <c r="AD23" s="901"/>
      <c r="AE23" s="901"/>
      <c r="AF23" s="901"/>
    </row>
    <row r="24" spans="1:32" ht="23.25" customHeight="1">
      <c r="A24" s="901"/>
      <c r="B24" s="901"/>
      <c r="C24" s="937">
        <v>4.67</v>
      </c>
      <c r="D24" s="938">
        <v>6.9</v>
      </c>
      <c r="E24" s="938">
        <v>10.48</v>
      </c>
      <c r="F24" s="938">
        <v>3.2</v>
      </c>
      <c r="G24" s="938">
        <v>4.0999999999999996</v>
      </c>
      <c r="H24" s="938">
        <v>7.7</v>
      </c>
      <c r="I24" s="979">
        <v>4.8499999999999996</v>
      </c>
      <c r="J24" s="980" cm="1">
        <f t="array" ref="J24">SUM(IF(ISNUMBER(B24:I24), B24:I24, 0))</f>
        <v>41.900000000000006</v>
      </c>
      <c r="K24" s="912"/>
      <c r="L24" s="963" t="s">
        <v>22</v>
      </c>
      <c r="M24" s="901"/>
      <c r="N24" s="901"/>
      <c r="O24" s="901"/>
      <c r="P24" s="901"/>
      <c r="Q24" s="901"/>
      <c r="R24" s="901"/>
      <c r="S24" s="901"/>
      <c r="T24" s="901"/>
      <c r="U24" s="901"/>
      <c r="V24" s="901"/>
      <c r="W24" s="901"/>
      <c r="X24" s="901"/>
      <c r="Y24" s="901"/>
      <c r="Z24" s="901"/>
      <c r="AA24" s="901"/>
      <c r="AB24" s="901"/>
      <c r="AC24" s="901"/>
      <c r="AD24" s="901"/>
      <c r="AE24" s="901"/>
      <c r="AF24" s="901"/>
    </row>
    <row r="25" spans="1:32" ht="23.25" customHeight="1">
      <c r="A25" s="901"/>
      <c r="B25" s="901"/>
      <c r="C25" s="937">
        <v>0</v>
      </c>
      <c r="D25" s="938">
        <v>0</v>
      </c>
      <c r="E25" s="938">
        <v>0</v>
      </c>
      <c r="F25" s="938">
        <v>0</v>
      </c>
      <c r="G25" s="938">
        <v>0</v>
      </c>
      <c r="H25" s="938">
        <v>0</v>
      </c>
      <c r="I25" s="979">
        <v>0</v>
      </c>
      <c r="J25" s="980" cm="1">
        <f t="array" ref="J25">SUM(IF(ISNUMBER(B25:I25), B25:I25, 0))</f>
        <v>0</v>
      </c>
      <c r="K25" s="912"/>
      <c r="L25" s="963" t="s">
        <v>24</v>
      </c>
      <c r="M25" s="901"/>
      <c r="N25" s="901"/>
      <c r="O25" s="901"/>
      <c r="P25" s="901"/>
      <c r="Q25" s="901"/>
      <c r="R25" s="901"/>
      <c r="S25" s="901"/>
      <c r="T25" s="901"/>
      <c r="U25" s="901"/>
      <c r="V25" s="901"/>
      <c r="W25" s="901"/>
      <c r="X25" s="901"/>
      <c r="Y25" s="901"/>
      <c r="Z25" s="901"/>
      <c r="AA25" s="901"/>
      <c r="AB25" s="901"/>
      <c r="AC25" s="901"/>
      <c r="AD25" s="901"/>
      <c r="AE25" s="901"/>
      <c r="AF25" s="901"/>
    </row>
    <row r="26" spans="1:32" ht="23.25" customHeight="1">
      <c r="A26" s="901"/>
      <c r="B26" s="901"/>
      <c r="C26" s="937">
        <v>0</v>
      </c>
      <c r="D26" s="938">
        <v>0</v>
      </c>
      <c r="E26" s="938">
        <v>0</v>
      </c>
      <c r="F26" s="938">
        <v>0</v>
      </c>
      <c r="G26" s="938">
        <v>0</v>
      </c>
      <c r="H26" s="938">
        <v>0</v>
      </c>
      <c r="I26" s="979">
        <v>0</v>
      </c>
      <c r="J26" s="981" cm="1">
        <f t="array" ref="J26">SUM(IF(ISNUMBER(B26:I26), B26:I26, 0))</f>
        <v>0</v>
      </c>
      <c r="K26" s="912"/>
      <c r="L26" s="963" t="s">
        <v>26</v>
      </c>
      <c r="M26" s="901"/>
      <c r="N26" s="901"/>
      <c r="O26" s="901"/>
      <c r="P26" s="901"/>
      <c r="Q26" s="901"/>
      <c r="R26" s="901"/>
      <c r="S26" s="901"/>
      <c r="T26" s="901"/>
      <c r="U26" s="901"/>
      <c r="V26" s="901"/>
      <c r="W26" s="901"/>
      <c r="X26" s="901"/>
      <c r="Y26" s="901"/>
      <c r="Z26" s="901"/>
      <c r="AA26" s="901"/>
      <c r="AB26" s="901"/>
      <c r="AC26" s="901"/>
      <c r="AD26" s="901"/>
      <c r="AE26" s="901"/>
      <c r="AF26" s="901"/>
    </row>
    <row r="27" spans="1:32" ht="23.25" customHeight="1">
      <c r="A27" s="901"/>
      <c r="B27" s="901"/>
      <c r="C27" s="982" t="s">
        <v>224</v>
      </c>
      <c r="D27" s="945" t="s">
        <v>225</v>
      </c>
      <c r="E27" s="945" t="s">
        <v>226</v>
      </c>
      <c r="F27" s="983" t="s">
        <v>227</v>
      </c>
      <c r="G27" s="945" t="s">
        <v>228</v>
      </c>
      <c r="H27" s="945" t="s">
        <v>229</v>
      </c>
      <c r="I27" s="984" t="s">
        <v>230</v>
      </c>
      <c r="J27" s="942">
        <v>46.17</v>
      </c>
      <c r="K27" s="912"/>
      <c r="L27" s="941" t="s">
        <v>28</v>
      </c>
      <c r="M27" s="901"/>
      <c r="N27" s="901"/>
      <c r="O27" s="901"/>
      <c r="P27" s="901"/>
      <c r="Q27" s="901"/>
      <c r="R27" s="901"/>
      <c r="S27" s="901"/>
      <c r="T27" s="901"/>
      <c r="U27" s="901"/>
      <c r="V27" s="901"/>
      <c r="W27" s="901"/>
      <c r="X27" s="901"/>
      <c r="Y27" s="901"/>
      <c r="Z27" s="901"/>
      <c r="AA27" s="901"/>
      <c r="AB27" s="901"/>
      <c r="AC27" s="901"/>
      <c r="AD27" s="901"/>
      <c r="AE27" s="901"/>
      <c r="AF27" s="901"/>
    </row>
    <row r="28" spans="1:32" ht="23.25" customHeight="1">
      <c r="A28" s="901"/>
      <c r="B28" s="901"/>
      <c r="C28" s="951">
        <v>17</v>
      </c>
      <c r="D28" s="951">
        <v>18</v>
      </c>
      <c r="E28" s="951">
        <v>19</v>
      </c>
      <c r="F28" s="951">
        <v>20</v>
      </c>
      <c r="G28" s="951">
        <v>21</v>
      </c>
      <c r="H28" s="951">
        <v>22</v>
      </c>
      <c r="I28" s="951">
        <v>23</v>
      </c>
      <c r="J28" s="985"/>
      <c r="K28" s="912"/>
      <c r="L28" s="955"/>
      <c r="M28" s="901"/>
      <c r="N28" s="901"/>
      <c r="O28" s="901"/>
      <c r="P28" s="901"/>
      <c r="Q28" s="901"/>
      <c r="R28" s="901"/>
      <c r="S28" s="901"/>
      <c r="T28" s="901"/>
      <c r="U28" s="901"/>
      <c r="V28" s="901"/>
      <c r="W28" s="901"/>
      <c r="X28" s="901"/>
      <c r="Y28" s="901"/>
      <c r="Z28" s="901"/>
      <c r="AA28" s="901"/>
      <c r="AB28" s="901"/>
      <c r="AC28" s="901"/>
      <c r="AD28" s="901"/>
      <c r="AE28" s="901"/>
      <c r="AF28" s="901"/>
    </row>
    <row r="29" spans="1:32" ht="23.25" customHeight="1">
      <c r="A29" s="901"/>
      <c r="B29" s="901"/>
      <c r="C29" s="919" t="s">
        <v>62</v>
      </c>
      <c r="D29" s="920" t="s">
        <v>50</v>
      </c>
      <c r="E29" s="921" t="s">
        <v>50</v>
      </c>
      <c r="F29" s="986" t="s">
        <v>231</v>
      </c>
      <c r="G29" s="920" t="s">
        <v>232</v>
      </c>
      <c r="H29" s="920" t="s">
        <v>233</v>
      </c>
      <c r="I29" s="922" t="s">
        <v>53</v>
      </c>
      <c r="J29" s="902"/>
      <c r="K29" s="912"/>
      <c r="L29" s="955"/>
      <c r="M29" s="901"/>
      <c r="N29" s="901"/>
      <c r="O29" s="901"/>
      <c r="P29" s="901"/>
      <c r="Q29" s="901"/>
      <c r="R29" s="901"/>
      <c r="S29" s="901"/>
      <c r="T29" s="901"/>
      <c r="U29" s="901"/>
      <c r="V29" s="901"/>
      <c r="W29" s="901"/>
      <c r="X29" s="901"/>
      <c r="Y29" s="901"/>
      <c r="Z29" s="901"/>
      <c r="AA29" s="901"/>
      <c r="AB29" s="901"/>
      <c r="AC29" s="901"/>
      <c r="AD29" s="901"/>
      <c r="AE29" s="901"/>
      <c r="AF29" s="901"/>
    </row>
    <row r="30" spans="1:32" ht="23.25" customHeight="1">
      <c r="A30" s="901"/>
      <c r="B30" s="901"/>
      <c r="C30" s="975">
        <v>0.3</v>
      </c>
      <c r="D30" s="926">
        <v>0.2</v>
      </c>
      <c r="E30" s="926">
        <v>0.12</v>
      </c>
      <c r="F30" s="926">
        <v>0.06</v>
      </c>
      <c r="G30" s="926">
        <v>0.02</v>
      </c>
      <c r="H30" s="926">
        <v>0</v>
      </c>
      <c r="I30" s="929">
        <v>0.01</v>
      </c>
      <c r="J30" s="912"/>
      <c r="K30" s="912"/>
      <c r="L30" s="955"/>
      <c r="M30" s="901"/>
      <c r="N30" s="901"/>
      <c r="O30" s="901"/>
      <c r="P30" s="901"/>
      <c r="Q30" s="901"/>
      <c r="R30" s="901"/>
      <c r="S30" s="901"/>
      <c r="T30" s="901"/>
      <c r="U30" s="901"/>
      <c r="V30" s="901"/>
      <c r="W30" s="901"/>
      <c r="X30" s="901"/>
      <c r="Y30" s="901"/>
      <c r="Z30" s="901"/>
      <c r="AA30" s="901"/>
      <c r="AB30" s="901"/>
      <c r="AC30" s="901"/>
      <c r="AD30" s="901"/>
      <c r="AE30" s="901"/>
      <c r="AF30" s="901"/>
    </row>
    <row r="31" spans="1:32" ht="23.25" customHeight="1">
      <c r="A31" s="901"/>
      <c r="B31" s="901"/>
      <c r="C31" s="931" t="s">
        <v>108</v>
      </c>
      <c r="D31" s="962" t="s">
        <v>62</v>
      </c>
      <c r="E31" s="962" t="s">
        <v>62</v>
      </c>
      <c r="F31" s="932" t="s">
        <v>62</v>
      </c>
      <c r="G31" s="932" t="s">
        <v>62</v>
      </c>
      <c r="H31" s="932" t="s">
        <v>54</v>
      </c>
      <c r="I31" s="974" t="s">
        <v>42</v>
      </c>
      <c r="J31" s="978" t="s">
        <v>31</v>
      </c>
      <c r="K31" s="912"/>
      <c r="L31" s="955"/>
      <c r="M31" s="901"/>
      <c r="N31" s="901"/>
      <c r="O31" s="901"/>
      <c r="P31" s="901"/>
      <c r="Q31" s="901"/>
      <c r="R31" s="901"/>
      <c r="S31" s="901"/>
      <c r="T31" s="901"/>
      <c r="U31" s="901"/>
      <c r="V31" s="901"/>
      <c r="W31" s="901"/>
      <c r="X31" s="901"/>
      <c r="Y31" s="901"/>
      <c r="Z31" s="901"/>
      <c r="AA31" s="901"/>
      <c r="AB31" s="901"/>
      <c r="AC31" s="901"/>
      <c r="AD31" s="901"/>
      <c r="AE31" s="901"/>
      <c r="AF31" s="901"/>
    </row>
    <row r="32" spans="1:32" ht="23.25" customHeight="1">
      <c r="A32" s="901"/>
      <c r="B32" s="901"/>
      <c r="C32" s="937">
        <v>7.7</v>
      </c>
      <c r="D32" s="938">
        <v>3.7</v>
      </c>
      <c r="E32" s="938">
        <v>8.1</v>
      </c>
      <c r="F32" s="938">
        <v>8.1999999999999993</v>
      </c>
      <c r="G32" s="938">
        <v>4.3</v>
      </c>
      <c r="H32" s="938">
        <v>2.35</v>
      </c>
      <c r="I32" s="979">
        <v>0</v>
      </c>
      <c r="J32" s="980" cm="1">
        <f t="array" ref="J32">SUM(IF(ISNUMBER(B32:I32), B32:I32, 0))</f>
        <v>34.35</v>
      </c>
      <c r="K32" s="912"/>
      <c r="L32" s="963" t="s">
        <v>22</v>
      </c>
      <c r="M32" s="901"/>
      <c r="N32" s="901"/>
      <c r="O32" s="901"/>
      <c r="P32" s="901"/>
      <c r="Q32" s="901"/>
      <c r="R32" s="901"/>
      <c r="S32" s="901"/>
      <c r="T32" s="901"/>
      <c r="U32" s="901"/>
      <c r="V32" s="901"/>
      <c r="W32" s="901"/>
      <c r="X32" s="901"/>
      <c r="Y32" s="901"/>
      <c r="Z32" s="901"/>
      <c r="AA32" s="901"/>
      <c r="AB32" s="901"/>
      <c r="AC32" s="901"/>
      <c r="AD32" s="901"/>
      <c r="AE32" s="901"/>
      <c r="AF32" s="901"/>
    </row>
    <row r="33" spans="1:32" ht="23.25" customHeight="1">
      <c r="A33" s="901"/>
      <c r="B33" s="901"/>
      <c r="C33" s="937">
        <v>0</v>
      </c>
      <c r="D33" s="938">
        <v>0</v>
      </c>
      <c r="E33" s="938">
        <v>0</v>
      </c>
      <c r="F33" s="938">
        <v>0</v>
      </c>
      <c r="G33" s="908">
        <v>0</v>
      </c>
      <c r="H33" s="938">
        <v>0</v>
      </c>
      <c r="I33" s="979">
        <v>0</v>
      </c>
      <c r="J33" s="980" cm="1">
        <f t="array" ref="J33">SUM(IF(ISNUMBER(B33:I33), B33:I33, 0))</f>
        <v>0</v>
      </c>
      <c r="K33" s="912"/>
      <c r="L33" s="963" t="s">
        <v>24</v>
      </c>
      <c r="M33" s="901"/>
      <c r="N33" s="901"/>
      <c r="O33" s="901"/>
      <c r="P33" s="901"/>
      <c r="Q33" s="901"/>
      <c r="R33" s="901"/>
      <c r="S33" s="901"/>
      <c r="T33" s="901"/>
      <c r="U33" s="901"/>
      <c r="V33" s="901"/>
      <c r="W33" s="901"/>
      <c r="X33" s="901"/>
      <c r="Y33" s="901"/>
      <c r="Z33" s="901"/>
      <c r="AA33" s="901"/>
      <c r="AB33" s="901"/>
      <c r="AC33" s="901"/>
      <c r="AD33" s="901"/>
      <c r="AE33" s="901"/>
      <c r="AF33" s="901"/>
    </row>
    <row r="34" spans="1:32" ht="23.25" customHeight="1">
      <c r="A34" s="901"/>
      <c r="B34" s="901"/>
      <c r="C34" s="937">
        <v>0</v>
      </c>
      <c r="D34" s="938">
        <v>0</v>
      </c>
      <c r="E34" s="938">
        <v>0</v>
      </c>
      <c r="F34" s="938">
        <v>0</v>
      </c>
      <c r="G34" s="938">
        <v>0</v>
      </c>
      <c r="H34" s="938">
        <v>0</v>
      </c>
      <c r="I34" s="979">
        <v>0</v>
      </c>
      <c r="J34" s="981" cm="1">
        <f t="array" ref="J34">SUM(IF(ISNUMBER(B34:I34), B34:I34, 0))</f>
        <v>0</v>
      </c>
      <c r="K34" s="912"/>
      <c r="L34" s="963" t="s">
        <v>26</v>
      </c>
      <c r="M34" s="901"/>
      <c r="N34" s="901"/>
      <c r="O34" s="901"/>
      <c r="P34" s="901"/>
      <c r="Q34" s="901"/>
      <c r="R34" s="901"/>
      <c r="S34" s="901"/>
      <c r="T34" s="901"/>
      <c r="U34" s="901"/>
      <c r="V34" s="901"/>
      <c r="W34" s="901"/>
      <c r="X34" s="901"/>
      <c r="Y34" s="901"/>
      <c r="Z34" s="901"/>
      <c r="AA34" s="901"/>
      <c r="AB34" s="901"/>
      <c r="AC34" s="901"/>
      <c r="AD34" s="901"/>
      <c r="AE34" s="901"/>
      <c r="AF34" s="901"/>
    </row>
    <row r="35" spans="1:32" ht="23.25" customHeight="1">
      <c r="A35" s="901"/>
      <c r="B35" s="901"/>
      <c r="C35" s="964" t="s">
        <v>234</v>
      </c>
      <c r="D35" s="945" t="s">
        <v>235</v>
      </c>
      <c r="E35" s="945" t="s">
        <v>236</v>
      </c>
      <c r="F35" s="945" t="s">
        <v>237</v>
      </c>
      <c r="G35" s="945" t="s">
        <v>238</v>
      </c>
      <c r="H35" s="945" t="s">
        <v>239</v>
      </c>
      <c r="I35" s="987" t="s">
        <v>240</v>
      </c>
      <c r="J35" s="942">
        <v>51.37</v>
      </c>
      <c r="K35" s="912"/>
      <c r="L35" s="941" t="s">
        <v>28</v>
      </c>
      <c r="M35" s="901"/>
      <c r="N35" s="901"/>
      <c r="O35" s="901"/>
      <c r="P35" s="901"/>
      <c r="Q35" s="901"/>
      <c r="R35" s="901"/>
      <c r="S35" s="901"/>
      <c r="T35" s="901"/>
      <c r="U35" s="901"/>
      <c r="V35" s="901"/>
      <c r="W35" s="901"/>
      <c r="X35" s="901"/>
      <c r="Y35" s="901"/>
      <c r="Z35" s="901"/>
      <c r="AA35" s="901"/>
      <c r="AB35" s="901"/>
      <c r="AC35" s="901"/>
      <c r="AD35" s="901"/>
      <c r="AE35" s="901"/>
      <c r="AF35" s="901"/>
    </row>
    <row r="36" spans="1:32" ht="23.25" customHeight="1">
      <c r="A36" s="901"/>
      <c r="B36" s="901"/>
      <c r="C36" s="951">
        <v>24</v>
      </c>
      <c r="D36" s="951">
        <v>25</v>
      </c>
      <c r="E36" s="951">
        <v>26</v>
      </c>
      <c r="F36" s="951">
        <v>27</v>
      </c>
      <c r="G36" s="951">
        <v>28</v>
      </c>
      <c r="H36" s="951">
        <v>29</v>
      </c>
      <c r="I36" s="951">
        <v>30</v>
      </c>
      <c r="J36" s="985"/>
      <c r="K36" s="912"/>
      <c r="L36" s="955"/>
      <c r="M36" s="901"/>
      <c r="N36" s="901"/>
      <c r="O36" s="901"/>
      <c r="P36" s="901"/>
      <c r="Q36" s="901"/>
      <c r="R36" s="901"/>
      <c r="S36" s="901"/>
      <c r="T36" s="901"/>
      <c r="U36" s="901"/>
      <c r="V36" s="901"/>
      <c r="W36" s="901"/>
      <c r="X36" s="901"/>
      <c r="Y36" s="901"/>
      <c r="Z36" s="901"/>
      <c r="AA36" s="901"/>
      <c r="AB36" s="901"/>
      <c r="AC36" s="901"/>
      <c r="AD36" s="901"/>
      <c r="AE36" s="901"/>
      <c r="AF36" s="901"/>
    </row>
    <row r="37" spans="1:32" ht="23.25" customHeight="1">
      <c r="A37" s="901"/>
      <c r="B37" s="901"/>
      <c r="C37" s="988" t="s">
        <v>50</v>
      </c>
      <c r="D37" s="989" t="s">
        <v>232</v>
      </c>
      <c r="E37" s="989" t="s">
        <v>40</v>
      </c>
      <c r="F37" s="989" t="s">
        <v>40</v>
      </c>
      <c r="G37" s="989" t="s">
        <v>241</v>
      </c>
      <c r="H37" s="989" t="s">
        <v>41</v>
      </c>
      <c r="I37" s="922" t="s">
        <v>53</v>
      </c>
      <c r="J37" s="902"/>
      <c r="K37" s="912"/>
      <c r="L37" s="955"/>
      <c r="M37" s="901"/>
      <c r="N37" s="901"/>
      <c r="O37" s="901"/>
      <c r="P37" s="901"/>
      <c r="Q37" s="901"/>
      <c r="R37" s="901"/>
      <c r="S37" s="901"/>
      <c r="T37" s="901"/>
      <c r="U37" s="901"/>
      <c r="V37" s="901"/>
      <c r="W37" s="901"/>
      <c r="X37" s="901"/>
      <c r="Y37" s="901"/>
      <c r="Z37" s="901"/>
      <c r="AA37" s="901"/>
      <c r="AB37" s="901"/>
      <c r="AC37" s="901"/>
      <c r="AD37" s="901"/>
      <c r="AE37" s="901"/>
      <c r="AF37" s="901"/>
    </row>
    <row r="38" spans="1:32" ht="23.25" customHeight="1">
      <c r="A38" s="901"/>
      <c r="B38" s="901"/>
      <c r="C38" s="975">
        <v>0.03</v>
      </c>
      <c r="D38" s="926">
        <v>0.08</v>
      </c>
      <c r="E38" s="926">
        <v>0.14000000000000001</v>
      </c>
      <c r="F38" s="926">
        <v>0.21</v>
      </c>
      <c r="G38" s="926">
        <v>0.28999999999999998</v>
      </c>
      <c r="H38" s="926">
        <v>0.38</v>
      </c>
      <c r="I38" s="929">
        <v>0.48</v>
      </c>
      <c r="J38" s="912"/>
      <c r="K38" s="912"/>
      <c r="L38" s="955"/>
      <c r="M38" s="901"/>
      <c r="N38" s="901"/>
      <c r="O38" s="901"/>
      <c r="P38" s="901"/>
      <c r="Q38" s="901"/>
      <c r="R38" s="901"/>
      <c r="S38" s="901"/>
      <c r="T38" s="901"/>
      <c r="U38" s="901"/>
      <c r="V38" s="901"/>
      <c r="W38" s="901"/>
      <c r="X38" s="901"/>
      <c r="Y38" s="901"/>
      <c r="Z38" s="901"/>
      <c r="AA38" s="901"/>
      <c r="AB38" s="901"/>
      <c r="AC38" s="901"/>
      <c r="AD38" s="901"/>
      <c r="AE38" s="901"/>
      <c r="AF38" s="901"/>
    </row>
    <row r="39" spans="1:32" ht="23.25" customHeight="1">
      <c r="A39" s="901"/>
      <c r="B39" s="901"/>
      <c r="C39" s="931" t="s">
        <v>42</v>
      </c>
      <c r="D39" s="932" t="s">
        <v>52</v>
      </c>
      <c r="E39" s="932" t="s">
        <v>54</v>
      </c>
      <c r="F39" s="932" t="s">
        <v>52</v>
      </c>
      <c r="G39" s="932" t="s">
        <v>62</v>
      </c>
      <c r="H39" s="932" t="s">
        <v>52</v>
      </c>
      <c r="I39" s="934" t="s">
        <v>52</v>
      </c>
      <c r="J39" s="935" t="s">
        <v>32</v>
      </c>
      <c r="K39" s="912"/>
      <c r="L39" s="955"/>
      <c r="M39" s="901"/>
      <c r="N39" s="901"/>
      <c r="O39" s="901"/>
      <c r="P39" s="901"/>
      <c r="Q39" s="901"/>
      <c r="R39" s="901"/>
      <c r="S39" s="901"/>
      <c r="T39" s="901"/>
      <c r="U39" s="901"/>
      <c r="V39" s="901"/>
      <c r="W39" s="901"/>
      <c r="X39" s="901"/>
      <c r="Y39" s="901"/>
      <c r="Z39" s="901"/>
      <c r="AA39" s="901"/>
      <c r="AB39" s="901"/>
      <c r="AC39" s="901"/>
      <c r="AD39" s="901"/>
      <c r="AE39" s="901"/>
      <c r="AF39" s="901"/>
    </row>
    <row r="40" spans="1:32" ht="23.25" customHeight="1">
      <c r="A40" s="901"/>
      <c r="B40" s="901"/>
      <c r="C40" s="937">
        <v>8.1</v>
      </c>
      <c r="D40" s="938" t="s">
        <v>242</v>
      </c>
      <c r="E40" s="938">
        <v>0.4</v>
      </c>
      <c r="F40" s="938">
        <v>7.3</v>
      </c>
      <c r="G40" s="938">
        <v>5.9</v>
      </c>
      <c r="H40" s="938">
        <v>4.3</v>
      </c>
      <c r="I40" s="908">
        <v>5.9</v>
      </c>
      <c r="J40" s="940" cm="1">
        <f t="array" ref="J40">SUM(IF(ISNUMBER(B40:I40), B40:I40, 0))</f>
        <v>31.900000000000006</v>
      </c>
      <c r="K40" s="912"/>
      <c r="L40" s="963" t="s">
        <v>22</v>
      </c>
      <c r="M40" s="901"/>
      <c r="N40" s="901"/>
      <c r="O40" s="901"/>
      <c r="P40" s="901"/>
      <c r="Q40" s="901"/>
      <c r="R40" s="901"/>
      <c r="S40" s="901"/>
      <c r="T40" s="901"/>
      <c r="U40" s="901"/>
      <c r="V40" s="901"/>
      <c r="W40" s="901"/>
      <c r="X40" s="901"/>
      <c r="Y40" s="901"/>
      <c r="Z40" s="901"/>
      <c r="AA40" s="901"/>
      <c r="AB40" s="901"/>
      <c r="AC40" s="901"/>
      <c r="AD40" s="901"/>
      <c r="AE40" s="901"/>
      <c r="AF40" s="901"/>
    </row>
    <row r="41" spans="1:32" ht="23.25" customHeight="1">
      <c r="A41" s="901"/>
      <c r="B41" s="901"/>
      <c r="C41" s="937">
        <v>0</v>
      </c>
      <c r="D41" s="938">
        <v>0</v>
      </c>
      <c r="E41" s="938">
        <v>0</v>
      </c>
      <c r="F41" s="938">
        <v>0</v>
      </c>
      <c r="G41" s="938">
        <v>0</v>
      </c>
      <c r="H41" s="938">
        <v>0</v>
      </c>
      <c r="I41" s="908">
        <v>0</v>
      </c>
      <c r="J41" s="940" cm="1">
        <f t="array" ref="J41">SUM(IF(ISNUMBER(B41:I41), B41:I41, 0))</f>
        <v>0</v>
      </c>
      <c r="K41" s="912"/>
      <c r="L41" s="963" t="s">
        <v>24</v>
      </c>
      <c r="M41" s="901"/>
      <c r="N41" s="901"/>
      <c r="O41" s="901"/>
      <c r="P41" s="901"/>
      <c r="Q41" s="901"/>
      <c r="R41" s="901"/>
      <c r="S41" s="901"/>
      <c r="T41" s="901"/>
      <c r="U41" s="901"/>
      <c r="V41" s="901"/>
      <c r="W41" s="901"/>
      <c r="X41" s="901"/>
      <c r="Y41" s="901"/>
      <c r="Z41" s="901"/>
      <c r="AA41" s="901"/>
      <c r="AB41" s="901"/>
      <c r="AC41" s="901"/>
      <c r="AD41" s="901"/>
      <c r="AE41" s="901"/>
      <c r="AF41" s="901"/>
    </row>
    <row r="42" spans="1:32" ht="23.25" customHeight="1">
      <c r="A42" s="901"/>
      <c r="B42" s="901"/>
      <c r="C42" s="937">
        <v>0</v>
      </c>
      <c r="D42" s="938">
        <v>0</v>
      </c>
      <c r="E42" s="938">
        <v>0</v>
      </c>
      <c r="F42" s="938">
        <v>0</v>
      </c>
      <c r="G42" s="938">
        <v>0</v>
      </c>
      <c r="H42" s="938">
        <v>0</v>
      </c>
      <c r="I42" s="908">
        <v>0</v>
      </c>
      <c r="J42" s="942" cm="1">
        <f t="array" ref="J42">SUM(IF(ISNUMBER(B42:I42), B42:I42, 0))</f>
        <v>0</v>
      </c>
      <c r="K42" s="912"/>
      <c r="L42" s="963" t="s">
        <v>26</v>
      </c>
      <c r="M42" s="901"/>
      <c r="N42" s="901"/>
      <c r="O42" s="901"/>
      <c r="P42" s="901"/>
      <c r="Q42" s="901"/>
      <c r="R42" s="901"/>
      <c r="S42" s="901"/>
      <c r="T42" s="901"/>
      <c r="U42" s="901"/>
      <c r="V42" s="901"/>
      <c r="W42" s="901"/>
      <c r="X42" s="901"/>
      <c r="Y42" s="901"/>
      <c r="Z42" s="901"/>
      <c r="AA42" s="901"/>
      <c r="AB42" s="901"/>
      <c r="AC42" s="901"/>
      <c r="AD42" s="901"/>
      <c r="AE42" s="901"/>
      <c r="AF42" s="901"/>
    </row>
    <row r="43" spans="1:32" ht="23.25" customHeight="1">
      <c r="A43" s="901"/>
      <c r="B43" s="901"/>
      <c r="C43" s="990" t="s">
        <v>243</v>
      </c>
      <c r="D43" s="948" t="s">
        <v>244</v>
      </c>
      <c r="E43" s="983" t="s">
        <v>245</v>
      </c>
      <c r="F43" s="945" t="s">
        <v>246</v>
      </c>
      <c r="G43" s="945" t="s">
        <v>247</v>
      </c>
      <c r="H43" s="945" t="s">
        <v>248</v>
      </c>
      <c r="I43" s="984" t="s">
        <v>249</v>
      </c>
      <c r="J43" s="942">
        <v>47.45</v>
      </c>
      <c r="K43" s="912"/>
      <c r="L43" s="941" t="s">
        <v>28</v>
      </c>
      <c r="M43" s="901"/>
      <c r="N43" s="901"/>
      <c r="O43" s="901"/>
      <c r="P43" s="901"/>
      <c r="Q43" s="901"/>
      <c r="R43" s="901"/>
      <c r="S43" s="901"/>
      <c r="T43" s="901"/>
      <c r="U43" s="901"/>
      <c r="V43" s="901"/>
      <c r="W43" s="901"/>
      <c r="X43" s="901"/>
      <c r="Y43" s="901"/>
      <c r="Z43" s="901"/>
      <c r="AA43" s="901"/>
      <c r="AB43" s="901"/>
      <c r="AC43" s="901"/>
      <c r="AD43" s="901"/>
      <c r="AE43" s="901"/>
      <c r="AF43" s="901"/>
    </row>
    <row r="44" spans="1:32" ht="23.25" customHeight="1">
      <c r="A44" s="901"/>
      <c r="B44" s="901"/>
      <c r="C44" s="916">
        <v>31</v>
      </c>
      <c r="D44" s="991"/>
      <c r="E44" s="985"/>
      <c r="F44" s="912"/>
      <c r="G44" s="912"/>
      <c r="H44" s="912"/>
      <c r="I44" s="912"/>
      <c r="J44" s="912"/>
      <c r="K44" s="912"/>
      <c r="L44" s="936"/>
      <c r="M44" s="901"/>
      <c r="N44" s="901"/>
      <c r="O44" s="901"/>
      <c r="P44" s="901"/>
      <c r="Q44" s="901"/>
      <c r="R44" s="901"/>
      <c r="S44" s="901"/>
      <c r="T44" s="901"/>
      <c r="U44" s="901"/>
      <c r="V44" s="901"/>
      <c r="W44" s="901"/>
      <c r="X44" s="901"/>
      <c r="Y44" s="901"/>
      <c r="Z44" s="901"/>
      <c r="AA44" s="901"/>
      <c r="AB44" s="901"/>
      <c r="AC44" s="901"/>
      <c r="AD44" s="901"/>
      <c r="AE44" s="901"/>
      <c r="AF44" s="901"/>
    </row>
    <row r="45" spans="1:32" ht="23.25" customHeight="1">
      <c r="A45" s="901"/>
      <c r="B45" s="901"/>
      <c r="C45" s="992" t="s">
        <v>41</v>
      </c>
      <c r="D45" s="993"/>
      <c r="E45" s="902"/>
      <c r="F45" s="912"/>
      <c r="G45" s="912"/>
      <c r="H45" s="912"/>
      <c r="I45" s="912"/>
      <c r="J45" s="912"/>
      <c r="K45" s="912"/>
      <c r="L45" s="901"/>
      <c r="M45" s="901"/>
      <c r="N45" s="901"/>
      <c r="O45" s="901"/>
      <c r="P45" s="901"/>
      <c r="Q45" s="901"/>
      <c r="R45" s="901"/>
      <c r="S45" s="901"/>
      <c r="T45" s="901"/>
      <c r="U45" s="901"/>
      <c r="V45" s="901"/>
      <c r="W45" s="901"/>
      <c r="X45" s="901"/>
      <c r="Y45" s="901"/>
      <c r="Z45" s="901"/>
      <c r="AA45" s="901"/>
      <c r="AB45" s="901"/>
      <c r="AC45" s="901"/>
      <c r="AD45" s="901"/>
      <c r="AE45" s="901"/>
      <c r="AF45" s="901"/>
    </row>
    <row r="46" spans="1:32" ht="23.25" customHeight="1">
      <c r="A46" s="901"/>
      <c r="B46" s="901"/>
      <c r="C46" s="975">
        <v>0.56999999999999995</v>
      </c>
      <c r="D46" s="994"/>
      <c r="E46" s="912"/>
      <c r="F46" s="912"/>
      <c r="G46" s="912"/>
      <c r="H46" s="912"/>
      <c r="I46" s="912"/>
      <c r="J46" s="912"/>
      <c r="K46" s="912"/>
      <c r="L46" s="901"/>
      <c r="M46" s="901"/>
      <c r="N46" s="901"/>
      <c r="O46" s="901"/>
      <c r="P46" s="901"/>
      <c r="Q46" s="901"/>
      <c r="R46" s="901"/>
      <c r="S46" s="901"/>
      <c r="T46" s="901"/>
      <c r="U46" s="901"/>
      <c r="V46" s="901"/>
      <c r="W46" s="901"/>
      <c r="X46" s="901"/>
      <c r="Y46" s="901"/>
      <c r="Z46" s="901"/>
      <c r="AA46" s="901"/>
      <c r="AB46" s="901"/>
      <c r="AC46" s="901"/>
      <c r="AD46" s="901"/>
      <c r="AE46" s="901"/>
      <c r="AF46" s="901"/>
    </row>
    <row r="47" spans="1:32" ht="23.25" customHeight="1">
      <c r="A47" s="901"/>
      <c r="B47" s="901"/>
      <c r="C47" s="931" t="s">
        <v>42</v>
      </c>
      <c r="D47" s="993"/>
      <c r="E47" s="912"/>
      <c r="G47" s="912"/>
      <c r="H47" s="912"/>
      <c r="I47" s="912"/>
      <c r="J47" s="935" t="s">
        <v>33</v>
      </c>
      <c r="K47" s="995"/>
      <c r="L47" s="901"/>
      <c r="M47" s="901"/>
      <c r="N47" s="901"/>
      <c r="O47" s="901"/>
      <c r="P47" s="901"/>
      <c r="Q47" s="901"/>
      <c r="R47" s="901"/>
      <c r="S47" s="901"/>
      <c r="T47" s="901"/>
      <c r="U47" s="901"/>
      <c r="V47" s="901"/>
      <c r="W47" s="901"/>
      <c r="X47" s="901"/>
      <c r="Y47" s="901"/>
      <c r="Z47" s="901"/>
      <c r="AA47" s="901"/>
      <c r="AB47" s="901"/>
      <c r="AC47" s="901"/>
      <c r="AD47" s="901"/>
      <c r="AE47" s="901"/>
      <c r="AF47" s="901"/>
    </row>
    <row r="48" spans="1:32" ht="23.25" customHeight="1">
      <c r="A48" s="901"/>
      <c r="B48" s="901"/>
      <c r="C48" s="937">
        <v>5.6</v>
      </c>
      <c r="D48" s="994"/>
      <c r="E48" s="912"/>
      <c r="G48" s="912"/>
      <c r="H48" s="912"/>
      <c r="I48" s="912"/>
      <c r="J48" s="940" cm="1">
        <f t="array" ref="J48">SUM(IF(ISNUMBER(B48:D48), B48:D48, 0))</f>
        <v>5.6</v>
      </c>
      <c r="L48" s="963" t="s">
        <v>22</v>
      </c>
      <c r="M48" s="901"/>
      <c r="N48" s="901"/>
      <c r="O48" s="901"/>
      <c r="P48" s="901"/>
      <c r="Q48" s="901"/>
      <c r="R48" s="901"/>
      <c r="S48" s="901"/>
      <c r="T48" s="901"/>
      <c r="U48" s="901"/>
      <c r="V48" s="901"/>
      <c r="W48" s="901"/>
      <c r="X48" s="901"/>
      <c r="Y48" s="901"/>
      <c r="Z48" s="901"/>
      <c r="AA48" s="901"/>
      <c r="AB48" s="901"/>
      <c r="AC48" s="901"/>
      <c r="AD48" s="901"/>
      <c r="AE48" s="901"/>
      <c r="AF48" s="901"/>
    </row>
    <row r="49" spans="1:32" ht="23.25" customHeight="1">
      <c r="A49" s="901"/>
      <c r="B49" s="901"/>
      <c r="C49" s="937">
        <v>0</v>
      </c>
      <c r="D49" s="994"/>
      <c r="E49" s="912"/>
      <c r="G49" s="912"/>
      <c r="H49" s="912"/>
      <c r="I49" s="912"/>
      <c r="J49" s="940" cm="1">
        <f t="array" ref="J49">SUM(IF(ISNUMBER(B49:D49), B49:D49, 0))</f>
        <v>0</v>
      </c>
      <c r="L49" s="963" t="s">
        <v>24</v>
      </c>
      <c r="M49" s="901"/>
      <c r="N49" s="901"/>
      <c r="O49" s="901"/>
      <c r="P49" s="901"/>
      <c r="Q49" s="901"/>
      <c r="R49" s="901"/>
      <c r="S49" s="901"/>
      <c r="T49" s="901"/>
      <c r="U49" s="901"/>
      <c r="V49" s="901"/>
      <c r="W49" s="901"/>
      <c r="X49" s="901"/>
      <c r="Y49" s="901"/>
      <c r="Z49" s="901"/>
      <c r="AA49" s="901"/>
      <c r="AB49" s="901"/>
      <c r="AC49" s="901"/>
      <c r="AD49" s="901"/>
      <c r="AE49" s="901"/>
      <c r="AF49" s="901"/>
    </row>
    <row r="50" spans="1:32" ht="23.25" customHeight="1">
      <c r="A50" s="901"/>
      <c r="B50" s="901"/>
      <c r="C50" s="937">
        <v>0</v>
      </c>
      <c r="D50" s="994"/>
      <c r="E50" s="912"/>
      <c r="G50" s="912"/>
      <c r="H50" s="912"/>
      <c r="I50" s="912"/>
      <c r="J50" s="942" cm="1">
        <f t="array" ref="J50">SUM(IF(ISNUMBER(B50:D50), B50:D50, 0))</f>
        <v>0</v>
      </c>
      <c r="L50" s="963" t="s">
        <v>26</v>
      </c>
      <c r="M50" s="901"/>
      <c r="N50" s="901"/>
      <c r="O50" s="901"/>
      <c r="P50" s="901"/>
      <c r="Q50" s="901"/>
      <c r="R50" s="901"/>
      <c r="S50" s="901"/>
      <c r="T50" s="901"/>
      <c r="U50" s="901"/>
      <c r="V50" s="901"/>
      <c r="W50" s="901"/>
      <c r="X50" s="901"/>
      <c r="Y50" s="901"/>
      <c r="Z50" s="901"/>
      <c r="AA50" s="901"/>
      <c r="AB50" s="901"/>
      <c r="AC50" s="901"/>
      <c r="AD50" s="901"/>
      <c r="AE50" s="901"/>
      <c r="AF50" s="901"/>
    </row>
    <row r="51" spans="1:32" ht="23.25" customHeight="1">
      <c r="A51" s="901"/>
      <c r="B51" s="901"/>
      <c r="C51" s="964"/>
      <c r="D51" s="984"/>
      <c r="G51" s="912"/>
      <c r="H51" s="912"/>
      <c r="I51" s="912"/>
      <c r="J51" s="942">
        <v>4.7</v>
      </c>
      <c r="L51" s="941" t="s">
        <v>28</v>
      </c>
      <c r="M51" s="901"/>
      <c r="N51" s="901"/>
      <c r="O51" s="901"/>
      <c r="P51" s="901"/>
      <c r="Q51" s="901"/>
      <c r="R51" s="901"/>
      <c r="S51" s="901"/>
      <c r="T51" s="901"/>
      <c r="U51" s="901"/>
      <c r="V51" s="901"/>
      <c r="W51" s="901"/>
      <c r="X51" s="901"/>
      <c r="Y51" s="901"/>
      <c r="Z51" s="901"/>
      <c r="AA51" s="901"/>
      <c r="AB51" s="901"/>
      <c r="AC51" s="901"/>
      <c r="AD51" s="901"/>
      <c r="AE51" s="901"/>
      <c r="AF51" s="901"/>
    </row>
    <row r="52" spans="1:32" ht="23.25" customHeight="1">
      <c r="A52" s="901"/>
      <c r="B52" s="901"/>
      <c r="C52" s="912"/>
      <c r="D52" s="912"/>
      <c r="E52" s="912"/>
      <c r="F52" s="912"/>
      <c r="G52" s="912"/>
      <c r="H52" s="912"/>
      <c r="I52" s="912"/>
      <c r="J52" s="912"/>
      <c r="K52" s="912"/>
      <c r="L52" s="901"/>
      <c r="M52" s="901"/>
      <c r="N52" s="901"/>
      <c r="O52" s="901"/>
      <c r="P52" s="901"/>
      <c r="Q52" s="901"/>
      <c r="R52" s="901"/>
      <c r="S52" s="901"/>
      <c r="T52" s="901"/>
      <c r="U52" s="901"/>
      <c r="V52" s="901"/>
      <c r="W52" s="901"/>
      <c r="X52" s="901"/>
      <c r="Y52" s="901"/>
      <c r="Z52" s="901"/>
      <c r="AA52" s="901"/>
      <c r="AB52" s="901"/>
      <c r="AC52" s="901"/>
      <c r="AD52" s="901"/>
      <c r="AE52" s="901"/>
      <c r="AF52" s="901"/>
    </row>
    <row r="53" spans="1:32" ht="22.5" customHeight="1">
      <c r="A53" s="901"/>
      <c r="B53" s="901"/>
      <c r="C53" s="901"/>
      <c r="D53" s="901"/>
      <c r="E53" s="901"/>
      <c r="F53" s="901"/>
      <c r="G53" s="901"/>
      <c r="H53" s="901"/>
      <c r="I53" s="901"/>
      <c r="J53" s="901"/>
      <c r="K53" s="901"/>
      <c r="L53" s="901"/>
      <c r="M53" s="901"/>
      <c r="N53" s="901"/>
      <c r="O53" s="901"/>
      <c r="P53" s="901"/>
      <c r="Q53" s="901"/>
      <c r="R53" s="901"/>
      <c r="S53" s="901"/>
      <c r="T53" s="901"/>
      <c r="U53" s="901"/>
      <c r="V53" s="901"/>
      <c r="W53" s="901"/>
      <c r="X53" s="901"/>
      <c r="Y53" s="901"/>
      <c r="Z53" s="901"/>
      <c r="AA53" s="901"/>
      <c r="AB53" s="901"/>
      <c r="AC53" s="901"/>
      <c r="AD53" s="901"/>
      <c r="AE53" s="901"/>
      <c r="AF53" s="901"/>
    </row>
    <row r="54" spans="1:32" ht="17.45">
      <c r="A54" s="901"/>
      <c r="B54" s="901"/>
      <c r="C54" s="901"/>
      <c r="D54" s="901"/>
      <c r="E54" s="901"/>
      <c r="F54" s="901"/>
      <c r="G54" s="901"/>
      <c r="H54" s="901"/>
      <c r="I54" s="901"/>
      <c r="J54" s="901"/>
      <c r="K54" s="901"/>
      <c r="L54" s="901"/>
      <c r="M54" s="901"/>
      <c r="N54" s="901"/>
      <c r="O54" s="901"/>
      <c r="P54" s="901"/>
      <c r="Q54" s="901"/>
      <c r="R54" s="901"/>
      <c r="S54" s="901"/>
      <c r="T54" s="901"/>
      <c r="U54" s="901"/>
      <c r="V54" s="901"/>
      <c r="W54" s="901"/>
      <c r="X54" s="901"/>
      <c r="Y54" s="901"/>
      <c r="Z54" s="901"/>
      <c r="AA54" s="901"/>
      <c r="AB54" s="901"/>
      <c r="AC54" s="901"/>
      <c r="AD54" s="901"/>
      <c r="AE54" s="901"/>
      <c r="AF54" s="901"/>
    </row>
    <row r="55" spans="1:32" ht="17.45">
      <c r="A55" s="901"/>
      <c r="B55" s="901"/>
      <c r="C55" s="901"/>
      <c r="D55" s="901"/>
      <c r="E55" s="901"/>
      <c r="F55" s="901"/>
      <c r="G55" s="901"/>
      <c r="H55" s="901"/>
      <c r="I55" s="901"/>
      <c r="J55" s="901"/>
      <c r="K55" s="901"/>
      <c r="L55" s="901"/>
      <c r="M55" s="901"/>
      <c r="N55" s="901"/>
      <c r="O55" s="901"/>
      <c r="P55" s="901"/>
      <c r="Q55" s="901"/>
      <c r="R55" s="901"/>
      <c r="S55" s="901"/>
      <c r="T55" s="901"/>
      <c r="U55" s="901"/>
      <c r="V55" s="901"/>
      <c r="W55" s="901"/>
      <c r="X55" s="901"/>
      <c r="Y55" s="901"/>
      <c r="Z55" s="901"/>
      <c r="AA55" s="901"/>
      <c r="AB55" s="901"/>
      <c r="AC55" s="901"/>
      <c r="AD55" s="901"/>
      <c r="AE55" s="901"/>
      <c r="AF55" s="901"/>
    </row>
    <row r="56" spans="1:32" ht="17.45">
      <c r="A56" s="901"/>
      <c r="B56" s="901"/>
      <c r="C56" s="901"/>
      <c r="D56" s="901"/>
      <c r="E56" s="901"/>
      <c r="F56" s="901"/>
      <c r="G56" s="901"/>
      <c r="H56" s="901"/>
      <c r="I56" s="901"/>
      <c r="J56" s="901"/>
      <c r="K56" s="901"/>
      <c r="L56" s="901"/>
      <c r="M56" s="901"/>
      <c r="N56" s="901"/>
      <c r="O56" s="901"/>
      <c r="P56" s="901"/>
      <c r="Q56" s="901"/>
      <c r="R56" s="901"/>
      <c r="S56" s="901"/>
      <c r="T56" s="901"/>
      <c r="U56" s="901"/>
      <c r="V56" s="901"/>
      <c r="W56" s="901"/>
      <c r="X56" s="901"/>
      <c r="Y56" s="901"/>
      <c r="Z56" s="901"/>
      <c r="AA56" s="901"/>
      <c r="AB56" s="901"/>
      <c r="AC56" s="901"/>
      <c r="AD56" s="901"/>
      <c r="AE56" s="901"/>
      <c r="AF56" s="901"/>
    </row>
    <row r="57" spans="1:32" ht="17.45">
      <c r="A57" s="901"/>
      <c r="B57" s="901"/>
      <c r="C57" s="901"/>
      <c r="D57" s="901"/>
      <c r="E57" s="901"/>
      <c r="F57" s="901"/>
      <c r="G57" s="901"/>
      <c r="H57" s="901"/>
      <c r="I57" s="901"/>
      <c r="J57" s="901"/>
      <c r="K57" s="901"/>
      <c r="L57" s="901"/>
      <c r="M57" s="901"/>
      <c r="N57" s="901"/>
      <c r="O57" s="901"/>
      <c r="P57" s="901"/>
      <c r="Q57" s="901"/>
      <c r="R57" s="901"/>
      <c r="S57" s="901"/>
      <c r="T57" s="901"/>
      <c r="U57" s="901"/>
      <c r="V57" s="901"/>
      <c r="W57" s="901"/>
      <c r="X57" s="901"/>
      <c r="Y57" s="901"/>
      <c r="Z57" s="901"/>
      <c r="AA57" s="901"/>
      <c r="AB57" s="901"/>
      <c r="AC57" s="901"/>
      <c r="AD57" s="901"/>
      <c r="AE57" s="901"/>
      <c r="AF57" s="901"/>
    </row>
    <row r="58" spans="1:32" ht="17.45">
      <c r="A58" s="901"/>
      <c r="B58" s="901"/>
      <c r="C58" s="901"/>
      <c r="D58" s="901"/>
      <c r="E58" s="901"/>
      <c r="F58" s="901"/>
      <c r="G58" s="901"/>
      <c r="H58" s="901"/>
      <c r="I58" s="901"/>
      <c r="J58" s="901"/>
      <c r="K58" s="901"/>
      <c r="L58" s="901"/>
      <c r="M58" s="901"/>
      <c r="N58" s="901"/>
      <c r="O58" s="901"/>
      <c r="P58" s="901"/>
      <c r="Q58" s="901"/>
      <c r="R58" s="901"/>
      <c r="S58" s="901"/>
      <c r="T58" s="901"/>
      <c r="U58" s="901"/>
      <c r="V58" s="901"/>
      <c r="W58" s="901"/>
      <c r="X58" s="901"/>
      <c r="Y58" s="901"/>
      <c r="Z58" s="901"/>
      <c r="AA58" s="901"/>
      <c r="AB58" s="901"/>
      <c r="AC58" s="901"/>
      <c r="AD58" s="901"/>
      <c r="AE58" s="901"/>
      <c r="AF58" s="901"/>
    </row>
    <row r="59" spans="1:32" ht="17.45">
      <c r="A59" s="901"/>
      <c r="B59" s="901"/>
      <c r="C59" s="901"/>
      <c r="D59" s="901"/>
      <c r="E59" s="901"/>
      <c r="F59" s="901"/>
      <c r="G59" s="901"/>
      <c r="H59" s="901"/>
      <c r="I59" s="901"/>
      <c r="J59" s="901"/>
      <c r="K59" s="901"/>
      <c r="L59" s="901"/>
      <c r="M59" s="901"/>
      <c r="N59" s="901"/>
      <c r="O59" s="901"/>
      <c r="P59" s="901"/>
      <c r="Q59" s="901"/>
      <c r="R59" s="901"/>
      <c r="S59" s="901"/>
      <c r="T59" s="901"/>
      <c r="U59" s="901"/>
      <c r="V59" s="901"/>
      <c r="W59" s="901"/>
      <c r="X59" s="901"/>
      <c r="Y59" s="901"/>
      <c r="Z59" s="901"/>
      <c r="AA59" s="901"/>
      <c r="AB59" s="901"/>
      <c r="AC59" s="901"/>
      <c r="AD59" s="901"/>
      <c r="AE59" s="901"/>
      <c r="AF59" s="901"/>
    </row>
    <row r="60" spans="1:32" ht="17.45">
      <c r="A60" s="901"/>
      <c r="B60" s="901"/>
      <c r="C60" s="901"/>
      <c r="D60" s="901"/>
      <c r="E60" s="901"/>
      <c r="F60" s="901"/>
      <c r="G60" s="901"/>
      <c r="H60" s="901"/>
      <c r="I60" s="901"/>
      <c r="J60" s="901"/>
      <c r="K60" s="901"/>
      <c r="L60" s="901"/>
      <c r="M60" s="901"/>
      <c r="N60" s="901"/>
      <c r="O60" s="901"/>
      <c r="P60" s="901"/>
      <c r="Q60" s="901"/>
      <c r="R60" s="901"/>
      <c r="S60" s="901"/>
      <c r="T60" s="901"/>
      <c r="U60" s="901"/>
      <c r="V60" s="901"/>
      <c r="W60" s="901"/>
      <c r="X60" s="901"/>
      <c r="Y60" s="901"/>
      <c r="Z60" s="901"/>
      <c r="AA60" s="901"/>
      <c r="AB60" s="901"/>
      <c r="AC60" s="901"/>
      <c r="AD60" s="901"/>
      <c r="AE60" s="901"/>
      <c r="AF60" s="901"/>
    </row>
    <row r="61" spans="1:32" ht="17.45">
      <c r="A61" s="901"/>
      <c r="B61" s="901"/>
      <c r="C61" s="901"/>
      <c r="D61" s="901"/>
      <c r="E61" s="901"/>
      <c r="F61" s="901"/>
      <c r="G61" s="901"/>
      <c r="H61" s="901"/>
      <c r="I61" s="901"/>
      <c r="J61" s="901"/>
      <c r="K61" s="901"/>
      <c r="L61" s="901"/>
      <c r="M61" s="901"/>
      <c r="N61" s="901"/>
      <c r="O61" s="901"/>
      <c r="P61" s="901"/>
      <c r="Q61" s="901"/>
      <c r="R61" s="901"/>
      <c r="S61" s="901"/>
      <c r="T61" s="901"/>
      <c r="U61" s="901"/>
      <c r="V61" s="901"/>
      <c r="W61" s="901"/>
      <c r="X61" s="901"/>
      <c r="Y61" s="901"/>
      <c r="Z61" s="901"/>
      <c r="AA61" s="901"/>
      <c r="AB61" s="901"/>
      <c r="AC61" s="901"/>
      <c r="AD61" s="901"/>
      <c r="AE61" s="901"/>
      <c r="AF61" s="901"/>
    </row>
    <row r="62" spans="1:32" ht="17.45">
      <c r="A62" s="901"/>
      <c r="B62" s="901"/>
      <c r="C62" s="901"/>
      <c r="D62" s="901"/>
      <c r="E62" s="901"/>
      <c r="F62" s="901"/>
      <c r="G62" s="901"/>
      <c r="H62" s="901"/>
      <c r="I62" s="901"/>
      <c r="J62" s="901"/>
      <c r="K62" s="901"/>
      <c r="L62" s="901"/>
      <c r="M62" s="901"/>
      <c r="N62" s="901"/>
      <c r="O62" s="901"/>
      <c r="P62" s="901"/>
      <c r="Q62" s="901"/>
      <c r="R62" s="901"/>
      <c r="S62" s="901"/>
      <c r="T62" s="901"/>
      <c r="U62" s="901"/>
      <c r="V62" s="901"/>
      <c r="W62" s="901"/>
      <c r="X62" s="901"/>
      <c r="Y62" s="901"/>
      <c r="Z62" s="901"/>
      <c r="AA62" s="901"/>
      <c r="AB62" s="901"/>
      <c r="AC62" s="901"/>
      <c r="AD62" s="901"/>
      <c r="AE62" s="901"/>
      <c r="AF62" s="901"/>
    </row>
    <row r="63" spans="1:32" ht="17.45">
      <c r="A63" s="901"/>
      <c r="B63" s="901"/>
      <c r="C63" s="901"/>
      <c r="D63" s="901"/>
      <c r="E63" s="901"/>
      <c r="F63" s="901"/>
      <c r="G63" s="901"/>
      <c r="H63" s="901"/>
      <c r="I63" s="901"/>
      <c r="J63" s="901"/>
      <c r="K63" s="901"/>
      <c r="L63" s="901"/>
      <c r="M63" s="901"/>
      <c r="N63" s="901"/>
      <c r="O63" s="901"/>
      <c r="P63" s="901"/>
      <c r="Q63" s="901"/>
      <c r="R63" s="901"/>
      <c r="S63" s="901"/>
      <c r="T63" s="901"/>
      <c r="U63" s="901"/>
      <c r="V63" s="901"/>
      <c r="W63" s="901"/>
      <c r="X63" s="901"/>
      <c r="Y63" s="901"/>
      <c r="Z63" s="901"/>
      <c r="AA63" s="901"/>
      <c r="AB63" s="901"/>
      <c r="AC63" s="901"/>
      <c r="AD63" s="901"/>
      <c r="AE63" s="901"/>
      <c r="AF63" s="901"/>
    </row>
    <row r="64" spans="1:32" ht="17.45">
      <c r="A64" s="901"/>
      <c r="B64" s="901"/>
      <c r="C64" s="901"/>
      <c r="D64" s="901"/>
      <c r="E64" s="901"/>
      <c r="F64" s="901"/>
      <c r="G64" s="901"/>
      <c r="H64" s="901"/>
      <c r="I64" s="901"/>
      <c r="J64" s="901"/>
      <c r="K64" s="901"/>
      <c r="L64" s="901"/>
      <c r="M64" s="901"/>
      <c r="N64" s="901"/>
      <c r="O64" s="901"/>
      <c r="P64" s="901"/>
      <c r="Q64" s="901"/>
      <c r="R64" s="901"/>
      <c r="S64" s="901"/>
      <c r="T64" s="901"/>
      <c r="U64" s="901"/>
      <c r="V64" s="901"/>
      <c r="W64" s="901"/>
      <c r="X64" s="901"/>
      <c r="Y64" s="901"/>
      <c r="Z64" s="901"/>
      <c r="AA64" s="901"/>
      <c r="AB64" s="901"/>
      <c r="AC64" s="901"/>
      <c r="AD64" s="901"/>
      <c r="AE64" s="901"/>
      <c r="AF64" s="901"/>
    </row>
    <row r="65" spans="1:32" ht="17.45">
      <c r="A65" s="901"/>
      <c r="B65" s="901"/>
      <c r="C65" s="901"/>
      <c r="D65" s="901"/>
      <c r="E65" s="901"/>
      <c r="F65" s="901"/>
      <c r="G65" s="901"/>
      <c r="H65" s="901"/>
      <c r="I65" s="901"/>
      <c r="J65" s="901"/>
      <c r="K65" s="901"/>
      <c r="L65" s="901"/>
      <c r="M65" s="901"/>
      <c r="N65" s="901"/>
      <c r="O65" s="901"/>
      <c r="P65" s="901"/>
      <c r="Q65" s="901"/>
      <c r="R65" s="901"/>
      <c r="S65" s="901"/>
      <c r="T65" s="901"/>
      <c r="U65" s="901"/>
      <c r="V65" s="901"/>
      <c r="W65" s="901"/>
      <c r="X65" s="901"/>
      <c r="Y65" s="901"/>
      <c r="Z65" s="901"/>
      <c r="AA65" s="901"/>
      <c r="AB65" s="901"/>
      <c r="AC65" s="901"/>
      <c r="AD65" s="901"/>
      <c r="AE65" s="901"/>
      <c r="AF65" s="901"/>
    </row>
    <row r="66" spans="1:32" ht="17.45">
      <c r="A66" s="901"/>
      <c r="B66" s="901"/>
      <c r="C66" s="901"/>
      <c r="D66" s="901"/>
      <c r="E66" s="901"/>
      <c r="F66" s="901"/>
      <c r="G66" s="901"/>
      <c r="H66" s="901"/>
      <c r="I66" s="901"/>
      <c r="J66" s="901"/>
      <c r="K66" s="901"/>
      <c r="L66" s="901"/>
      <c r="M66" s="901"/>
      <c r="N66" s="901"/>
      <c r="O66" s="901"/>
      <c r="P66" s="901"/>
      <c r="Q66" s="901"/>
      <c r="R66" s="901"/>
      <c r="S66" s="901"/>
      <c r="T66" s="901"/>
      <c r="U66" s="901"/>
      <c r="V66" s="901"/>
      <c r="W66" s="901"/>
      <c r="X66" s="901"/>
      <c r="Y66" s="901"/>
      <c r="Z66" s="901"/>
      <c r="AA66" s="901"/>
      <c r="AB66" s="901"/>
      <c r="AC66" s="901"/>
      <c r="AD66" s="901"/>
      <c r="AE66" s="901"/>
      <c r="AF66" s="901"/>
    </row>
    <row r="67" spans="1:32" ht="17.45">
      <c r="A67" s="901"/>
      <c r="B67" s="901"/>
      <c r="C67" s="901"/>
      <c r="D67" s="901"/>
      <c r="E67" s="901"/>
      <c r="F67" s="901"/>
      <c r="G67" s="901"/>
      <c r="H67" s="901"/>
      <c r="I67" s="901"/>
      <c r="J67" s="901"/>
      <c r="K67" s="901"/>
      <c r="L67" s="901"/>
      <c r="M67" s="901"/>
      <c r="N67" s="901"/>
      <c r="O67" s="901"/>
      <c r="P67" s="901"/>
      <c r="Q67" s="901"/>
      <c r="R67" s="901"/>
      <c r="S67" s="901"/>
      <c r="T67" s="901"/>
      <c r="U67" s="901"/>
      <c r="V67" s="901"/>
      <c r="W67" s="901"/>
      <c r="X67" s="901"/>
      <c r="Y67" s="901"/>
      <c r="Z67" s="901"/>
      <c r="AA67" s="901"/>
      <c r="AB67" s="901"/>
      <c r="AC67" s="901"/>
      <c r="AD67" s="901"/>
      <c r="AE67" s="901"/>
      <c r="AF67" s="901"/>
    </row>
    <row r="68" spans="1:32" ht="17.45">
      <c r="A68" s="901"/>
      <c r="B68" s="901"/>
      <c r="C68" s="901"/>
      <c r="D68" s="901"/>
      <c r="E68" s="901"/>
      <c r="F68" s="901"/>
      <c r="G68" s="901"/>
      <c r="H68" s="901"/>
      <c r="I68" s="901"/>
      <c r="J68" s="901"/>
      <c r="K68" s="901"/>
      <c r="L68" s="901"/>
      <c r="M68" s="901"/>
      <c r="N68" s="901"/>
      <c r="O68" s="901"/>
      <c r="P68" s="901"/>
      <c r="Q68" s="901"/>
      <c r="R68" s="901"/>
      <c r="S68" s="901"/>
      <c r="T68" s="901"/>
      <c r="U68" s="901"/>
      <c r="V68" s="901"/>
      <c r="W68" s="901"/>
      <c r="X68" s="901"/>
      <c r="Y68" s="901"/>
      <c r="Z68" s="901"/>
      <c r="AA68" s="901"/>
      <c r="AB68" s="901"/>
      <c r="AC68" s="901"/>
      <c r="AD68" s="901"/>
      <c r="AE68" s="901"/>
      <c r="AF68" s="901"/>
    </row>
    <row r="69" spans="1:32" ht="17.45">
      <c r="A69" s="901"/>
      <c r="B69" s="901"/>
      <c r="C69" s="901"/>
      <c r="D69" s="901"/>
      <c r="E69" s="901"/>
      <c r="F69" s="901"/>
      <c r="G69" s="901"/>
      <c r="H69" s="901"/>
      <c r="I69" s="901"/>
      <c r="J69" s="901"/>
      <c r="K69" s="901"/>
      <c r="L69" s="901"/>
      <c r="M69" s="901"/>
      <c r="N69" s="901"/>
      <c r="O69" s="901"/>
      <c r="P69" s="901"/>
      <c r="Q69" s="901"/>
      <c r="R69" s="901"/>
      <c r="S69" s="901"/>
      <c r="T69" s="901"/>
      <c r="U69" s="901"/>
      <c r="V69" s="901"/>
      <c r="W69" s="901"/>
      <c r="X69" s="901"/>
      <c r="Y69" s="901"/>
      <c r="Z69" s="901"/>
      <c r="AA69" s="901"/>
      <c r="AB69" s="901"/>
      <c r="AC69" s="901"/>
      <c r="AD69" s="901"/>
      <c r="AE69" s="901"/>
      <c r="AF69" s="901"/>
    </row>
    <row r="70" spans="1:32" ht="17.45">
      <c r="A70" s="901"/>
      <c r="B70" s="901"/>
      <c r="C70" s="901"/>
      <c r="D70" s="901"/>
      <c r="E70" s="901"/>
      <c r="F70" s="901"/>
      <c r="G70" s="901"/>
      <c r="H70" s="901"/>
      <c r="I70" s="901"/>
      <c r="J70" s="901"/>
      <c r="K70" s="901"/>
      <c r="L70" s="901"/>
      <c r="M70" s="901"/>
      <c r="N70" s="901"/>
      <c r="O70" s="901"/>
      <c r="P70" s="901"/>
      <c r="Q70" s="901"/>
      <c r="R70" s="901"/>
      <c r="S70" s="901"/>
      <c r="T70" s="901"/>
      <c r="U70" s="901"/>
      <c r="V70" s="901"/>
      <c r="W70" s="901"/>
      <c r="X70" s="901"/>
      <c r="Y70" s="901"/>
      <c r="Z70" s="901"/>
      <c r="AA70" s="901"/>
      <c r="AB70" s="901"/>
      <c r="AC70" s="901"/>
      <c r="AD70" s="901"/>
      <c r="AE70" s="901"/>
      <c r="AF70" s="901"/>
    </row>
    <row r="71" spans="1:32" ht="17.45">
      <c r="A71" s="901"/>
      <c r="B71" s="901"/>
      <c r="C71" s="901"/>
      <c r="D71" s="901"/>
      <c r="E71" s="901"/>
      <c r="F71" s="901"/>
      <c r="G71" s="901"/>
      <c r="H71" s="901"/>
      <c r="I71" s="901"/>
      <c r="J71" s="901"/>
      <c r="K71" s="901"/>
      <c r="L71" s="901"/>
      <c r="M71" s="901"/>
      <c r="N71" s="901"/>
      <c r="O71" s="901"/>
      <c r="P71" s="901"/>
      <c r="Q71" s="901"/>
      <c r="R71" s="901"/>
      <c r="S71" s="901"/>
      <c r="T71" s="901"/>
      <c r="U71" s="901"/>
      <c r="V71" s="901"/>
      <c r="W71" s="901"/>
      <c r="X71" s="901"/>
      <c r="Y71" s="901"/>
      <c r="Z71" s="901"/>
      <c r="AA71" s="901"/>
      <c r="AB71" s="901"/>
      <c r="AC71" s="901"/>
      <c r="AD71" s="901"/>
      <c r="AE71" s="901"/>
      <c r="AF71" s="901"/>
    </row>
    <row r="72" spans="1:32" ht="17.45">
      <c r="A72" s="901"/>
      <c r="B72" s="901"/>
      <c r="C72" s="901"/>
      <c r="D72" s="901"/>
      <c r="E72" s="901"/>
      <c r="F72" s="901"/>
      <c r="G72" s="901"/>
      <c r="H72" s="901"/>
      <c r="I72" s="901"/>
      <c r="J72" s="901"/>
      <c r="K72" s="901"/>
      <c r="L72" s="901"/>
      <c r="M72" s="901"/>
      <c r="N72" s="901"/>
      <c r="O72" s="901"/>
      <c r="P72" s="901"/>
      <c r="Q72" s="901"/>
      <c r="R72" s="901"/>
      <c r="S72" s="901"/>
      <c r="T72" s="901"/>
      <c r="U72" s="901"/>
      <c r="V72" s="901"/>
      <c r="W72" s="901"/>
      <c r="X72" s="901"/>
      <c r="Y72" s="901"/>
      <c r="Z72" s="901"/>
      <c r="AA72" s="901"/>
      <c r="AB72" s="901"/>
      <c r="AC72" s="901"/>
      <c r="AD72" s="901"/>
      <c r="AE72" s="901"/>
      <c r="AF72" s="901"/>
    </row>
    <row r="73" spans="1:32" ht="17.45">
      <c r="A73" s="901"/>
      <c r="B73" s="901"/>
      <c r="C73" s="901"/>
      <c r="D73" s="901"/>
      <c r="E73" s="901"/>
      <c r="F73" s="901"/>
      <c r="G73" s="901"/>
      <c r="H73" s="901"/>
      <c r="I73" s="901"/>
      <c r="J73" s="901"/>
      <c r="K73" s="901"/>
      <c r="L73" s="901"/>
      <c r="M73" s="901"/>
      <c r="N73" s="901"/>
      <c r="O73" s="901"/>
      <c r="P73" s="901"/>
      <c r="Q73" s="901"/>
      <c r="R73" s="901"/>
      <c r="S73" s="901"/>
      <c r="T73" s="901"/>
      <c r="U73" s="901"/>
      <c r="V73" s="901"/>
      <c r="W73" s="901"/>
      <c r="X73" s="901"/>
      <c r="Y73" s="901"/>
      <c r="Z73" s="901"/>
      <c r="AA73" s="901"/>
      <c r="AB73" s="901"/>
      <c r="AC73" s="901"/>
      <c r="AD73" s="901"/>
      <c r="AE73" s="901"/>
      <c r="AF73" s="901"/>
    </row>
    <row r="74" spans="1:32" ht="17.45">
      <c r="A74" s="901"/>
      <c r="B74" s="901"/>
      <c r="C74" s="901"/>
      <c r="D74" s="901"/>
      <c r="E74" s="901"/>
      <c r="F74" s="901"/>
      <c r="G74" s="901"/>
      <c r="H74" s="901"/>
      <c r="I74" s="901"/>
      <c r="J74" s="901"/>
      <c r="K74" s="901"/>
      <c r="L74" s="901"/>
      <c r="M74" s="901"/>
      <c r="N74" s="901"/>
      <c r="O74" s="901"/>
      <c r="P74" s="901"/>
      <c r="Q74" s="901"/>
      <c r="R74" s="901"/>
      <c r="S74" s="901"/>
      <c r="T74" s="901"/>
      <c r="U74" s="901"/>
      <c r="V74" s="901"/>
      <c r="W74" s="901"/>
      <c r="X74" s="901"/>
      <c r="Y74" s="901"/>
      <c r="Z74" s="901"/>
      <c r="AA74" s="901"/>
      <c r="AB74" s="901"/>
      <c r="AC74" s="901"/>
      <c r="AD74" s="901"/>
      <c r="AE74" s="901"/>
      <c r="AF74" s="901"/>
    </row>
    <row r="75" spans="1:32" ht="17.45">
      <c r="A75" s="901"/>
      <c r="B75" s="901"/>
      <c r="C75" s="901"/>
      <c r="D75" s="901"/>
      <c r="E75" s="901"/>
      <c r="F75" s="901"/>
      <c r="G75" s="901"/>
      <c r="H75" s="901"/>
      <c r="I75" s="901"/>
      <c r="J75" s="901"/>
      <c r="K75" s="901"/>
      <c r="L75" s="901"/>
      <c r="M75" s="901"/>
      <c r="N75" s="901"/>
      <c r="O75" s="901"/>
      <c r="P75" s="901"/>
      <c r="Q75" s="901"/>
      <c r="R75" s="901"/>
      <c r="S75" s="901"/>
      <c r="T75" s="901"/>
      <c r="U75" s="901"/>
      <c r="V75" s="901"/>
      <c r="W75" s="901"/>
      <c r="X75" s="901"/>
      <c r="Y75" s="901"/>
      <c r="Z75" s="901"/>
      <c r="AA75" s="901"/>
      <c r="AB75" s="901"/>
      <c r="AC75" s="901"/>
      <c r="AD75" s="901"/>
      <c r="AE75" s="901"/>
      <c r="AF75" s="901"/>
    </row>
    <row r="76" spans="1:32" ht="17.45">
      <c r="A76" s="901"/>
      <c r="B76" s="901"/>
      <c r="C76" s="901"/>
      <c r="D76" s="901"/>
      <c r="E76" s="901"/>
      <c r="F76" s="901"/>
      <c r="G76" s="901"/>
      <c r="H76" s="901"/>
      <c r="I76" s="901"/>
      <c r="J76" s="901"/>
      <c r="K76" s="901"/>
      <c r="L76" s="901"/>
      <c r="M76" s="901"/>
      <c r="N76" s="901"/>
      <c r="O76" s="901"/>
      <c r="P76" s="901"/>
      <c r="Q76" s="901"/>
      <c r="R76" s="901"/>
      <c r="S76" s="901"/>
      <c r="T76" s="901"/>
      <c r="U76" s="901"/>
      <c r="V76" s="901"/>
      <c r="W76" s="901"/>
      <c r="X76" s="901"/>
      <c r="Y76" s="901"/>
      <c r="Z76" s="901"/>
      <c r="AA76" s="901"/>
      <c r="AB76" s="901"/>
      <c r="AC76" s="901"/>
      <c r="AD76" s="901"/>
      <c r="AE76" s="901"/>
      <c r="AF76" s="901"/>
    </row>
    <row r="77" spans="1:32" ht="17.45">
      <c r="A77" s="901"/>
      <c r="B77" s="901"/>
      <c r="C77" s="901"/>
      <c r="D77" s="901"/>
      <c r="E77" s="901"/>
      <c r="F77" s="901"/>
      <c r="G77" s="901"/>
      <c r="H77" s="901"/>
      <c r="I77" s="901"/>
      <c r="J77" s="901"/>
      <c r="K77" s="901"/>
      <c r="L77" s="901"/>
      <c r="M77" s="901"/>
      <c r="N77" s="901"/>
      <c r="O77" s="901"/>
      <c r="P77" s="901"/>
      <c r="Q77" s="901"/>
      <c r="R77" s="901"/>
      <c r="S77" s="901"/>
      <c r="T77" s="901"/>
      <c r="U77" s="901"/>
      <c r="V77" s="901"/>
      <c r="W77" s="901"/>
      <c r="X77" s="901"/>
      <c r="Y77" s="901"/>
      <c r="Z77" s="901"/>
      <c r="AA77" s="901"/>
      <c r="AB77" s="901"/>
      <c r="AC77" s="901"/>
      <c r="AD77" s="901"/>
      <c r="AE77" s="901"/>
      <c r="AF77" s="901"/>
    </row>
    <row r="78" spans="1:32" ht="17.45">
      <c r="A78" s="901"/>
      <c r="B78" s="901"/>
      <c r="C78" s="901"/>
      <c r="D78" s="901"/>
      <c r="E78" s="901"/>
      <c r="F78" s="901"/>
      <c r="G78" s="901"/>
      <c r="H78" s="901"/>
      <c r="I78" s="901"/>
      <c r="J78" s="901"/>
      <c r="K78" s="901"/>
      <c r="L78" s="901"/>
      <c r="M78" s="901"/>
      <c r="N78" s="901"/>
      <c r="O78" s="901"/>
      <c r="P78" s="901"/>
      <c r="Q78" s="901"/>
      <c r="R78" s="901"/>
      <c r="S78" s="901"/>
      <c r="T78" s="901"/>
      <c r="U78" s="901"/>
      <c r="V78" s="901"/>
      <c r="W78" s="901"/>
      <c r="X78" s="901"/>
      <c r="Y78" s="901"/>
      <c r="Z78" s="901"/>
      <c r="AA78" s="901"/>
      <c r="AB78" s="901"/>
      <c r="AC78" s="901"/>
      <c r="AD78" s="901"/>
      <c r="AE78" s="901"/>
      <c r="AF78" s="901"/>
    </row>
    <row r="79" spans="1:32" ht="17.45">
      <c r="A79" s="901"/>
      <c r="B79" s="901"/>
      <c r="C79" s="901"/>
      <c r="D79" s="901"/>
      <c r="E79" s="901"/>
      <c r="F79" s="901"/>
      <c r="G79" s="901"/>
      <c r="H79" s="901"/>
      <c r="I79" s="901"/>
      <c r="J79" s="901"/>
      <c r="K79" s="901"/>
      <c r="L79" s="901"/>
      <c r="M79" s="901"/>
      <c r="N79" s="901"/>
      <c r="O79" s="901"/>
      <c r="P79" s="901"/>
      <c r="Q79" s="901"/>
      <c r="R79" s="901"/>
      <c r="S79" s="901"/>
      <c r="T79" s="901"/>
      <c r="U79" s="901"/>
      <c r="V79" s="901"/>
      <c r="W79" s="901"/>
      <c r="X79" s="901"/>
      <c r="Y79" s="901"/>
      <c r="Z79" s="901"/>
      <c r="AA79" s="901"/>
      <c r="AB79" s="901"/>
      <c r="AC79" s="901"/>
      <c r="AD79" s="901"/>
      <c r="AE79" s="901"/>
      <c r="AF79" s="901"/>
    </row>
    <row r="80" spans="1:32" ht="17.45">
      <c r="A80" s="901"/>
      <c r="B80" s="901"/>
      <c r="C80" s="901"/>
      <c r="D80" s="901"/>
      <c r="E80" s="901"/>
      <c r="F80" s="901"/>
      <c r="G80" s="901"/>
      <c r="H80" s="901"/>
      <c r="I80" s="901"/>
      <c r="J80" s="901"/>
      <c r="K80" s="901"/>
      <c r="L80" s="901"/>
      <c r="M80" s="901"/>
      <c r="N80" s="901"/>
      <c r="O80" s="901"/>
      <c r="P80" s="901"/>
      <c r="Q80" s="901"/>
      <c r="R80" s="901"/>
      <c r="S80" s="901"/>
      <c r="T80" s="901"/>
      <c r="U80" s="901"/>
      <c r="V80" s="901"/>
      <c r="W80" s="901"/>
      <c r="X80" s="901"/>
      <c r="Y80" s="901"/>
      <c r="Z80" s="901"/>
      <c r="AA80" s="901"/>
      <c r="AB80" s="901"/>
      <c r="AC80" s="901"/>
      <c r="AD80" s="901"/>
      <c r="AE80" s="901"/>
      <c r="AF80" s="901"/>
    </row>
    <row r="81" spans="1:32" ht="17.45">
      <c r="A81" s="901"/>
      <c r="B81" s="901"/>
      <c r="C81" s="901"/>
      <c r="D81" s="901"/>
      <c r="E81" s="901"/>
      <c r="F81" s="901"/>
      <c r="G81" s="901"/>
      <c r="H81" s="901"/>
      <c r="I81" s="901"/>
      <c r="J81" s="901"/>
      <c r="K81" s="901"/>
      <c r="L81" s="901"/>
      <c r="M81" s="901"/>
      <c r="N81" s="901"/>
      <c r="O81" s="901"/>
      <c r="P81" s="901"/>
      <c r="Q81" s="901"/>
      <c r="R81" s="901"/>
      <c r="S81" s="901"/>
      <c r="T81" s="901"/>
      <c r="U81" s="901"/>
      <c r="V81" s="901"/>
      <c r="W81" s="901"/>
      <c r="X81" s="901"/>
      <c r="Y81" s="901"/>
      <c r="Z81" s="901"/>
      <c r="AA81" s="901"/>
      <c r="AB81" s="901"/>
      <c r="AC81" s="901"/>
      <c r="AD81" s="901"/>
      <c r="AE81" s="901"/>
      <c r="AF81" s="901"/>
    </row>
    <row r="82" spans="1:32" ht="17.45">
      <c r="A82" s="901"/>
      <c r="B82" s="901"/>
      <c r="C82" s="901"/>
      <c r="D82" s="901"/>
      <c r="E82" s="901"/>
      <c r="F82" s="901"/>
      <c r="G82" s="901"/>
      <c r="H82" s="901"/>
      <c r="I82" s="901"/>
      <c r="J82" s="901"/>
      <c r="K82" s="901"/>
      <c r="L82" s="901"/>
      <c r="M82" s="901"/>
      <c r="N82" s="901"/>
      <c r="O82" s="901"/>
      <c r="P82" s="901"/>
      <c r="Q82" s="901"/>
      <c r="R82" s="901"/>
      <c r="S82" s="901"/>
      <c r="T82" s="901"/>
      <c r="U82" s="901"/>
      <c r="V82" s="901"/>
      <c r="W82" s="901"/>
      <c r="X82" s="901"/>
      <c r="Y82" s="901"/>
      <c r="Z82" s="901"/>
      <c r="AA82" s="901"/>
      <c r="AB82" s="901"/>
      <c r="AC82" s="901"/>
      <c r="AD82" s="901"/>
      <c r="AE82" s="901"/>
      <c r="AF82" s="901"/>
    </row>
    <row r="83" spans="1:32" ht="17.45">
      <c r="A83" s="901"/>
      <c r="B83" s="901"/>
      <c r="C83" s="901"/>
      <c r="D83" s="901"/>
      <c r="E83" s="901"/>
      <c r="F83" s="901"/>
      <c r="G83" s="901"/>
      <c r="H83" s="901"/>
      <c r="I83" s="901"/>
      <c r="J83" s="901"/>
      <c r="K83" s="901"/>
      <c r="L83" s="901"/>
      <c r="M83" s="901"/>
      <c r="N83" s="901"/>
      <c r="O83" s="901"/>
      <c r="P83" s="901"/>
      <c r="Q83" s="901"/>
      <c r="R83" s="901"/>
      <c r="S83" s="901"/>
      <c r="T83" s="901"/>
      <c r="U83" s="901"/>
      <c r="V83" s="901"/>
      <c r="W83" s="901"/>
      <c r="X83" s="901"/>
      <c r="Y83" s="901"/>
      <c r="Z83" s="901"/>
      <c r="AA83" s="901"/>
      <c r="AB83" s="901"/>
      <c r="AC83" s="901"/>
      <c r="AD83" s="901"/>
      <c r="AE83" s="901"/>
      <c r="AF83" s="901"/>
    </row>
    <row r="84" spans="1:32" ht="17.45">
      <c r="A84" s="901"/>
      <c r="B84" s="901"/>
      <c r="C84" s="901"/>
      <c r="D84" s="901"/>
      <c r="E84" s="901"/>
      <c r="F84" s="901"/>
      <c r="G84" s="901"/>
      <c r="H84" s="901"/>
      <c r="I84" s="901"/>
      <c r="J84" s="901"/>
      <c r="K84" s="901"/>
      <c r="L84" s="901"/>
      <c r="M84" s="901"/>
      <c r="N84" s="901"/>
      <c r="O84" s="901"/>
      <c r="P84" s="901"/>
      <c r="Q84" s="901"/>
      <c r="R84" s="901"/>
      <c r="S84" s="901"/>
      <c r="T84" s="901"/>
      <c r="U84" s="901"/>
      <c r="V84" s="901"/>
      <c r="W84" s="901"/>
      <c r="X84" s="901"/>
      <c r="Y84" s="901"/>
      <c r="Z84" s="901"/>
      <c r="AA84" s="901"/>
      <c r="AB84" s="901"/>
      <c r="AC84" s="901"/>
      <c r="AD84" s="901"/>
      <c r="AE84" s="901"/>
      <c r="AF84" s="901"/>
    </row>
    <row r="85" spans="1:32" ht="17.45">
      <c r="A85" s="901"/>
      <c r="B85" s="901"/>
      <c r="C85" s="901"/>
      <c r="D85" s="901"/>
      <c r="E85" s="901"/>
      <c r="F85" s="901"/>
      <c r="G85" s="901"/>
      <c r="H85" s="901"/>
      <c r="I85" s="901"/>
      <c r="J85" s="901"/>
      <c r="K85" s="901"/>
      <c r="L85" s="901"/>
      <c r="M85" s="901"/>
      <c r="N85" s="901"/>
      <c r="O85" s="901"/>
      <c r="P85" s="901"/>
      <c r="Q85" s="901"/>
      <c r="R85" s="901"/>
      <c r="S85" s="901"/>
      <c r="T85" s="901"/>
      <c r="U85" s="901"/>
      <c r="V85" s="901"/>
      <c r="W85" s="901"/>
      <c r="X85" s="901"/>
      <c r="Y85" s="901"/>
      <c r="Z85" s="901"/>
      <c r="AA85" s="901"/>
      <c r="AB85" s="901"/>
      <c r="AC85" s="901"/>
      <c r="AD85" s="901"/>
      <c r="AE85" s="901"/>
      <c r="AF85" s="901"/>
    </row>
    <row r="86" spans="1:32" ht="17.45">
      <c r="A86" s="901"/>
      <c r="B86" s="901"/>
      <c r="C86" s="901"/>
      <c r="D86" s="901"/>
      <c r="E86" s="901"/>
      <c r="F86" s="901"/>
      <c r="G86" s="901"/>
      <c r="H86" s="901"/>
      <c r="I86" s="901"/>
      <c r="J86" s="901"/>
      <c r="K86" s="901"/>
      <c r="L86" s="901"/>
      <c r="M86" s="901"/>
      <c r="N86" s="901"/>
      <c r="O86" s="901"/>
      <c r="P86" s="901"/>
      <c r="Q86" s="901"/>
      <c r="R86" s="901"/>
      <c r="S86" s="901"/>
      <c r="T86" s="901"/>
      <c r="U86" s="901"/>
      <c r="V86" s="901"/>
      <c r="W86" s="901"/>
      <c r="X86" s="901"/>
      <c r="Y86" s="901"/>
      <c r="Z86" s="901"/>
      <c r="AA86" s="901"/>
      <c r="AB86" s="901"/>
      <c r="AC86" s="901"/>
      <c r="AD86" s="901"/>
      <c r="AE86" s="901"/>
      <c r="AF86" s="901"/>
    </row>
    <row r="87" spans="1:32" ht="17.45">
      <c r="A87" s="901"/>
      <c r="B87" s="901"/>
      <c r="C87" s="901"/>
      <c r="D87" s="901"/>
      <c r="E87" s="901"/>
      <c r="F87" s="901"/>
      <c r="G87" s="901"/>
      <c r="H87" s="901"/>
      <c r="I87" s="901"/>
      <c r="J87" s="901"/>
      <c r="K87" s="901"/>
      <c r="L87" s="901"/>
      <c r="M87" s="901"/>
      <c r="N87" s="901"/>
      <c r="O87" s="901"/>
      <c r="P87" s="901"/>
      <c r="Q87" s="901"/>
      <c r="R87" s="901"/>
      <c r="S87" s="901"/>
      <c r="T87" s="901"/>
      <c r="U87" s="901"/>
      <c r="V87" s="901"/>
      <c r="W87" s="901"/>
      <c r="X87" s="901"/>
      <c r="Y87" s="901"/>
      <c r="Z87" s="901"/>
      <c r="AA87" s="901"/>
      <c r="AB87" s="901"/>
      <c r="AC87" s="901"/>
      <c r="AD87" s="901"/>
      <c r="AE87" s="901"/>
      <c r="AF87" s="901"/>
    </row>
    <row r="88" spans="1:32" ht="17.45">
      <c r="A88" s="901"/>
      <c r="B88" s="901"/>
      <c r="C88" s="901"/>
      <c r="D88" s="901"/>
      <c r="E88" s="901"/>
      <c r="F88" s="901"/>
      <c r="G88" s="901"/>
      <c r="H88" s="901"/>
      <c r="I88" s="901"/>
      <c r="J88" s="901"/>
      <c r="K88" s="901"/>
      <c r="L88" s="901"/>
      <c r="M88" s="901"/>
      <c r="N88" s="901"/>
      <c r="O88" s="901"/>
      <c r="P88" s="901"/>
      <c r="Q88" s="901"/>
      <c r="R88" s="901"/>
      <c r="S88" s="901"/>
      <c r="T88" s="901"/>
      <c r="U88" s="901"/>
      <c r="V88" s="901"/>
      <c r="W88" s="901"/>
      <c r="X88" s="901"/>
      <c r="Y88" s="901"/>
      <c r="Z88" s="901"/>
      <c r="AA88" s="901"/>
      <c r="AB88" s="901"/>
      <c r="AC88" s="901"/>
      <c r="AD88" s="901"/>
      <c r="AE88" s="901"/>
      <c r="AF88" s="90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2051-9B30-4EA9-89FA-CC4F95290770}">
  <dimension ref="A1:AF88"/>
  <sheetViews>
    <sheetView zoomScale="25" zoomScaleNormal="25" workbookViewId="0">
      <selection activeCell="H9" sqref="H9"/>
    </sheetView>
  </sheetViews>
  <sheetFormatPr defaultColWidth="8.7109375" defaultRowHeight="14.45"/>
  <cols>
    <col min="1" max="1" width="3" style="394" customWidth="1"/>
    <col min="2" max="2" width="21" style="394" customWidth="1"/>
    <col min="3" max="3" width="36.28515625" style="394" bestFit="1" customWidth="1"/>
    <col min="4" max="4" width="34.28515625" style="394" customWidth="1"/>
    <col min="5" max="9" width="23.7109375" style="394" customWidth="1"/>
    <col min="10" max="10" width="24.42578125" style="394" customWidth="1"/>
    <col min="11" max="11" width="1.7109375" style="394" customWidth="1"/>
    <col min="12" max="12" width="33" style="394" customWidth="1"/>
    <col min="13" max="14" width="23.28515625" style="394" customWidth="1"/>
    <col min="15" max="16384" width="8.7109375" style="394"/>
  </cols>
  <sheetData>
    <row r="1" spans="1:32" ht="23.25" customHeight="1">
      <c r="A1" s="996"/>
      <c r="B1" s="996"/>
      <c r="C1" s="393" t="s">
        <v>0</v>
      </c>
      <c r="D1" s="393">
        <v>120.08</v>
      </c>
      <c r="E1" s="996"/>
      <c r="F1" s="997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6"/>
      <c r="T1" s="996"/>
      <c r="U1" s="996"/>
      <c r="V1" s="996"/>
      <c r="W1" s="996"/>
      <c r="X1" s="996"/>
      <c r="Y1" s="996"/>
      <c r="Z1" s="996"/>
      <c r="AA1" s="996"/>
      <c r="AB1" s="996"/>
      <c r="AC1" s="996"/>
      <c r="AD1" s="996"/>
      <c r="AE1" s="996"/>
      <c r="AF1" s="996"/>
    </row>
    <row r="2" spans="1:32" ht="23.25" customHeight="1">
      <c r="A2" s="996"/>
      <c r="B2" s="395" t="s">
        <v>250</v>
      </c>
      <c r="C2" s="998" t="s">
        <v>1</v>
      </c>
      <c r="D2" s="999">
        <f>J8+J16+J24+J32+J40+J48</f>
        <v>105.63</v>
      </c>
      <c r="E2" s="1000" t="s">
        <v>2</v>
      </c>
      <c r="F2" s="1001">
        <f>J9+J17+J25+J33+J41+J49</f>
        <v>0</v>
      </c>
      <c r="G2" s="1000" t="s">
        <v>3</v>
      </c>
      <c r="H2" s="1001">
        <f>J10+J18+J26+J34+J42+J50</f>
        <v>0</v>
      </c>
      <c r="I2" s="1002"/>
      <c r="J2" s="1003" t="s">
        <v>4</v>
      </c>
      <c r="K2" s="1004"/>
      <c r="L2" s="1003"/>
      <c r="M2" s="996"/>
      <c r="N2" s="996"/>
      <c r="O2" s="996"/>
      <c r="P2" s="996"/>
      <c r="Q2" s="996"/>
      <c r="R2" s="996"/>
      <c r="S2" s="996"/>
      <c r="T2" s="996"/>
      <c r="U2" s="996"/>
      <c r="V2" s="996"/>
      <c r="W2" s="996"/>
      <c r="X2" s="996"/>
      <c r="Y2" s="996"/>
      <c r="Z2" s="996"/>
      <c r="AA2" s="996"/>
      <c r="AB2" s="996"/>
      <c r="AC2" s="996"/>
      <c r="AD2" s="996"/>
      <c r="AE2" s="996"/>
      <c r="AF2" s="996"/>
    </row>
    <row r="3" spans="1:32" ht="23.25" customHeight="1">
      <c r="A3" s="996"/>
      <c r="B3" s="1005" t="s">
        <v>5</v>
      </c>
      <c r="C3" s="396" t="s">
        <v>6</v>
      </c>
      <c r="D3" s="397" t="s">
        <v>7</v>
      </c>
      <c r="E3" s="398" t="s">
        <v>8</v>
      </c>
      <c r="F3" s="399" t="s">
        <v>9</v>
      </c>
      <c r="G3" s="397" t="s">
        <v>10</v>
      </c>
      <c r="H3" s="397" t="s">
        <v>11</v>
      </c>
      <c r="I3" s="400" t="s">
        <v>12</v>
      </c>
      <c r="J3" s="1003" t="s">
        <v>13</v>
      </c>
      <c r="K3" s="1006"/>
      <c r="L3" s="1003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</row>
    <row r="4" spans="1:32" ht="23.25" customHeight="1">
      <c r="A4" s="996"/>
      <c r="B4" s="1007" t="s">
        <v>14</v>
      </c>
      <c r="C4" s="1008" t="s">
        <v>4</v>
      </c>
      <c r="D4" s="1008" t="s">
        <v>4</v>
      </c>
      <c r="E4" s="1008">
        <v>1</v>
      </c>
      <c r="F4" s="1008">
        <v>2</v>
      </c>
      <c r="G4" s="1008">
        <v>3</v>
      </c>
      <c r="H4" s="1009">
        <v>4</v>
      </c>
      <c r="I4" s="1010">
        <v>5</v>
      </c>
      <c r="J4" s="1003" t="s">
        <v>15</v>
      </c>
      <c r="K4" s="1006"/>
      <c r="L4" s="1011"/>
      <c r="M4" s="996"/>
      <c r="N4" s="996"/>
      <c r="O4" s="996"/>
      <c r="P4" s="996"/>
      <c r="Q4" s="996"/>
      <c r="R4" s="996"/>
      <c r="S4" s="996"/>
      <c r="T4" s="996"/>
      <c r="U4" s="996"/>
      <c r="V4" s="996"/>
      <c r="W4" s="996"/>
      <c r="X4" s="996"/>
      <c r="Y4" s="996"/>
      <c r="Z4" s="996"/>
      <c r="AA4" s="996"/>
      <c r="AB4" s="996"/>
      <c r="AC4" s="996"/>
      <c r="AD4" s="996"/>
      <c r="AE4" s="996"/>
      <c r="AF4" s="996"/>
    </row>
    <row r="5" spans="1:32" ht="23.25" customHeight="1">
      <c r="A5" s="996"/>
      <c r="B5" s="1012" t="s">
        <v>16</v>
      </c>
      <c r="C5" s="1013"/>
      <c r="D5" s="1014"/>
      <c r="E5" s="1015" t="s">
        <v>53</v>
      </c>
      <c r="F5" s="1014" t="s">
        <v>251</v>
      </c>
      <c r="G5" s="1014" t="s">
        <v>41</v>
      </c>
      <c r="H5" s="1014"/>
      <c r="I5" s="1016" t="s">
        <v>252</v>
      </c>
      <c r="J5" s="1003" t="s">
        <v>17</v>
      </c>
      <c r="K5" s="1006"/>
      <c r="L5" s="1017"/>
      <c r="M5" s="996"/>
      <c r="N5" s="996"/>
      <c r="O5" s="996"/>
      <c r="P5" s="996"/>
      <c r="Q5" s="996"/>
      <c r="R5" s="996"/>
      <c r="S5" s="996"/>
      <c r="T5" s="996"/>
      <c r="U5" s="996"/>
      <c r="V5" s="996"/>
      <c r="W5" s="996"/>
      <c r="X5" s="996"/>
      <c r="Y5" s="996"/>
      <c r="Z5" s="996"/>
      <c r="AA5" s="996"/>
      <c r="AB5" s="996"/>
      <c r="AC5" s="996"/>
      <c r="AD5" s="996"/>
      <c r="AE5" s="996"/>
      <c r="AF5" s="996"/>
    </row>
    <row r="6" spans="1:32" ht="23.25" customHeight="1">
      <c r="A6" s="996"/>
      <c r="B6" s="1018" t="s">
        <v>18</v>
      </c>
      <c r="C6" s="1019" t="s">
        <v>4</v>
      </c>
      <c r="D6" s="1019" t="s">
        <v>4</v>
      </c>
      <c r="E6" s="1020">
        <v>0.42</v>
      </c>
      <c r="F6" s="1020">
        <v>0.52</v>
      </c>
      <c r="G6" s="1021">
        <v>0.61</v>
      </c>
      <c r="H6" s="1022">
        <v>0.7</v>
      </c>
      <c r="I6" s="1023">
        <v>0.79</v>
      </c>
      <c r="J6" s="1024"/>
      <c r="K6" s="100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</row>
    <row r="7" spans="1:32" ht="23.25" customHeight="1">
      <c r="A7" s="996"/>
      <c r="B7" s="1012" t="s">
        <v>19</v>
      </c>
      <c r="C7" s="1025"/>
      <c r="D7" s="1026"/>
      <c r="E7" s="1027" t="s">
        <v>253</v>
      </c>
      <c r="F7" s="1026" t="s">
        <v>54</v>
      </c>
      <c r="G7" s="1026" t="s">
        <v>54</v>
      </c>
      <c r="H7" s="1026" t="s">
        <v>54</v>
      </c>
      <c r="I7" s="1028" t="s">
        <v>42</v>
      </c>
      <c r="J7" s="1029" t="s">
        <v>20</v>
      </c>
      <c r="K7" s="1006"/>
      <c r="L7" s="1030"/>
      <c r="M7" s="996"/>
      <c r="N7" s="996"/>
      <c r="O7" s="996"/>
      <c r="P7" s="996"/>
      <c r="Q7" s="996"/>
      <c r="R7" s="996"/>
      <c r="S7" s="996"/>
      <c r="T7" s="996"/>
      <c r="U7" s="996"/>
      <c r="V7" s="996"/>
      <c r="W7" s="996"/>
      <c r="X7" s="996"/>
      <c r="Y7" s="996"/>
      <c r="Z7" s="996"/>
      <c r="AA7" s="996"/>
      <c r="AB7" s="996"/>
      <c r="AC7" s="996"/>
      <c r="AD7" s="996"/>
      <c r="AE7" s="996"/>
      <c r="AF7" s="996"/>
    </row>
    <row r="8" spans="1:32" ht="23.25" customHeight="1">
      <c r="A8" s="996"/>
      <c r="B8" s="1007" t="s">
        <v>21</v>
      </c>
      <c r="C8" s="1031"/>
      <c r="D8" s="1032"/>
      <c r="E8" s="1033">
        <v>3.4</v>
      </c>
      <c r="F8" s="1032">
        <v>3.3</v>
      </c>
      <c r="G8" s="1032" t="s">
        <v>254</v>
      </c>
      <c r="H8" s="1032" t="s">
        <v>255</v>
      </c>
      <c r="I8" s="1034" t="s">
        <v>256</v>
      </c>
      <c r="J8" s="1035" cm="1">
        <f t="array" ref="J8">SUM(IF(ISNUMBER(C8:I8), C8:I8, 0))</f>
        <v>6.6999999999999993</v>
      </c>
      <c r="K8" s="1006"/>
      <c r="L8" s="1036" t="s">
        <v>22</v>
      </c>
      <c r="M8" s="996"/>
      <c r="N8" s="996"/>
      <c r="O8" s="996"/>
      <c r="P8" s="996"/>
      <c r="Q8" s="996"/>
      <c r="R8" s="996"/>
      <c r="S8" s="996"/>
      <c r="T8" s="996"/>
      <c r="U8" s="996"/>
      <c r="V8" s="996"/>
      <c r="W8" s="996"/>
      <c r="X8" s="996"/>
      <c r="Y8" s="996"/>
      <c r="Z8" s="996"/>
      <c r="AA8" s="996"/>
      <c r="AB8" s="996"/>
      <c r="AC8" s="996"/>
      <c r="AD8" s="996"/>
      <c r="AE8" s="996"/>
      <c r="AF8" s="996"/>
    </row>
    <row r="9" spans="1:32" ht="23.25" customHeight="1">
      <c r="A9" s="996"/>
      <c r="B9" s="1007" t="s">
        <v>23</v>
      </c>
      <c r="C9" s="1031"/>
      <c r="D9" s="1032"/>
      <c r="E9" s="1033">
        <v>0</v>
      </c>
      <c r="F9" s="1032">
        <v>0</v>
      </c>
      <c r="G9" s="1032">
        <v>0</v>
      </c>
      <c r="H9" s="1032">
        <v>0</v>
      </c>
      <c r="I9" s="1032">
        <v>0</v>
      </c>
      <c r="J9" s="1035" cm="1">
        <f t="array" ref="J9">SUM(IF(ISNUMBER(B9:I9), B9:I9, 0))</f>
        <v>0</v>
      </c>
      <c r="K9" s="1006"/>
      <c r="L9" s="1036" t="s">
        <v>24</v>
      </c>
      <c r="M9" s="996"/>
      <c r="N9" s="996"/>
      <c r="O9" s="996"/>
      <c r="P9" s="996"/>
      <c r="Q9" s="996"/>
      <c r="R9" s="996"/>
      <c r="S9" s="996"/>
      <c r="T9" s="996"/>
      <c r="U9" s="996"/>
      <c r="V9" s="996"/>
      <c r="W9" s="996"/>
      <c r="X9" s="996"/>
      <c r="Y9" s="996"/>
      <c r="Z9" s="996"/>
      <c r="AA9" s="996"/>
      <c r="AB9" s="996"/>
      <c r="AC9" s="996"/>
      <c r="AD9" s="996"/>
      <c r="AE9" s="996"/>
      <c r="AF9" s="996"/>
    </row>
    <row r="10" spans="1:32" ht="23.25" customHeight="1">
      <c r="A10" s="996"/>
      <c r="B10" s="1007" t="s">
        <v>25</v>
      </c>
      <c r="C10" s="1031"/>
      <c r="D10" s="1032"/>
      <c r="E10" s="1033">
        <v>0</v>
      </c>
      <c r="F10" s="1032">
        <v>0</v>
      </c>
      <c r="G10" s="1032">
        <v>0</v>
      </c>
      <c r="H10" s="1032">
        <v>0</v>
      </c>
      <c r="I10" s="1032">
        <v>0</v>
      </c>
      <c r="J10" s="1037" cm="1">
        <f t="array" ref="J10">SUM(IF(ISNUMBER(B10:I10), B10:I10, 0))</f>
        <v>0</v>
      </c>
      <c r="K10" s="1006"/>
      <c r="L10" s="1036" t="s">
        <v>26</v>
      </c>
      <c r="M10" s="996"/>
      <c r="N10" s="996"/>
      <c r="O10" s="996"/>
      <c r="P10" s="996"/>
      <c r="Q10" s="996"/>
      <c r="R10" s="996"/>
      <c r="S10" s="996"/>
      <c r="T10" s="996"/>
      <c r="U10" s="996"/>
      <c r="V10" s="996"/>
      <c r="W10" s="996"/>
      <c r="X10" s="996"/>
      <c r="Y10" s="996"/>
      <c r="Z10" s="996"/>
      <c r="AA10" s="996"/>
      <c r="AB10" s="996"/>
      <c r="AC10" s="996"/>
      <c r="AD10" s="996"/>
      <c r="AE10" s="996"/>
      <c r="AF10" s="996"/>
    </row>
    <row r="11" spans="1:32" ht="23.25" customHeight="1">
      <c r="A11" s="996"/>
      <c r="B11" s="1038" t="s">
        <v>27</v>
      </c>
      <c r="C11" s="1039" t="s">
        <v>4</v>
      </c>
      <c r="D11" s="1040" t="s">
        <v>4</v>
      </c>
      <c r="E11" s="1041" t="s">
        <v>257</v>
      </c>
      <c r="F11" s="1042" t="s">
        <v>258</v>
      </c>
      <c r="G11" s="1043" t="s">
        <v>259</v>
      </c>
      <c r="H11" s="1044" t="s">
        <v>260</v>
      </c>
      <c r="I11" s="1045" t="s">
        <v>261</v>
      </c>
      <c r="J11" s="1037">
        <v>11.33</v>
      </c>
      <c r="K11" s="1006"/>
      <c r="L11" s="1036" t="s">
        <v>28</v>
      </c>
      <c r="M11" s="996"/>
      <c r="N11" s="996"/>
      <c r="O11" s="996"/>
      <c r="P11" s="996"/>
      <c r="Q11" s="996"/>
      <c r="R11" s="996"/>
      <c r="S11" s="996"/>
      <c r="T11" s="996"/>
      <c r="U11" s="996"/>
      <c r="V11" s="996"/>
      <c r="W11" s="996"/>
      <c r="X11" s="996"/>
      <c r="Y11" s="996"/>
      <c r="Z11" s="996"/>
      <c r="AA11" s="996"/>
      <c r="AB11" s="996"/>
      <c r="AC11" s="996"/>
      <c r="AD11" s="996"/>
      <c r="AE11" s="996"/>
      <c r="AF11" s="996"/>
    </row>
    <row r="12" spans="1:32" ht="23.25" customHeight="1">
      <c r="A12" s="996"/>
      <c r="B12" s="996" t="s">
        <v>4</v>
      </c>
      <c r="C12" s="1046">
        <v>6</v>
      </c>
      <c r="D12" s="1046">
        <v>7</v>
      </c>
      <c r="E12" s="1046">
        <v>8</v>
      </c>
      <c r="F12" s="1047">
        <v>9</v>
      </c>
      <c r="G12" s="1048">
        <v>10</v>
      </c>
      <c r="H12" s="1049">
        <v>11</v>
      </c>
      <c r="I12" s="1010">
        <v>12</v>
      </c>
      <c r="J12" s="1050"/>
      <c r="K12" s="1006"/>
      <c r="L12" s="1051"/>
      <c r="M12" s="996"/>
      <c r="N12" s="996"/>
      <c r="O12" s="996"/>
      <c r="P12" s="996"/>
      <c r="Q12" s="996"/>
      <c r="R12" s="996"/>
      <c r="S12" s="996"/>
      <c r="T12" s="996"/>
      <c r="U12" s="996"/>
      <c r="V12" s="996"/>
      <c r="W12" s="996"/>
      <c r="X12" s="996"/>
      <c r="Y12" s="996"/>
      <c r="Z12" s="996"/>
      <c r="AA12" s="996"/>
      <c r="AB12" s="996"/>
      <c r="AC12" s="996"/>
      <c r="AD12" s="996"/>
      <c r="AE12" s="996"/>
      <c r="AF12" s="996"/>
    </row>
    <row r="13" spans="1:32" ht="23.25" customHeight="1">
      <c r="A13" s="996"/>
      <c r="B13" s="996"/>
      <c r="C13" s="1013" t="s">
        <v>252</v>
      </c>
      <c r="D13" s="1052"/>
      <c r="E13" s="1053" t="s">
        <v>207</v>
      </c>
      <c r="F13" s="1052" t="s">
        <v>207</v>
      </c>
      <c r="G13" s="1054"/>
      <c r="H13" s="1055" t="s">
        <v>207</v>
      </c>
      <c r="I13" s="1056" t="s">
        <v>207</v>
      </c>
      <c r="J13" s="1050"/>
      <c r="K13" s="1006"/>
      <c r="L13" s="1051"/>
      <c r="M13" s="996"/>
      <c r="N13" s="996"/>
      <c r="O13" s="996"/>
      <c r="P13" s="996"/>
      <c r="Q13" s="996"/>
      <c r="R13" s="996"/>
      <c r="S13" s="996"/>
      <c r="T13" s="996"/>
      <c r="U13" s="996"/>
      <c r="V13" s="996"/>
      <c r="W13" s="996"/>
      <c r="X13" s="996"/>
      <c r="Y13" s="996"/>
      <c r="Z13" s="996"/>
      <c r="AA13" s="996"/>
      <c r="AB13" s="996"/>
      <c r="AC13" s="996"/>
      <c r="AD13" s="996"/>
      <c r="AE13" s="996"/>
      <c r="AF13" s="996"/>
    </row>
    <row r="14" spans="1:32" ht="23.25" customHeight="1">
      <c r="A14" s="996"/>
      <c r="B14" s="996"/>
      <c r="C14" s="1057">
        <v>0.86</v>
      </c>
      <c r="D14" s="1022">
        <v>0.92</v>
      </c>
      <c r="E14" s="1019">
        <v>0.96</v>
      </c>
      <c r="F14" s="1020">
        <v>0.99</v>
      </c>
      <c r="G14" s="1020">
        <v>1</v>
      </c>
      <c r="H14" s="1058">
        <v>0.98</v>
      </c>
      <c r="I14" s="1059">
        <v>0.95</v>
      </c>
      <c r="J14" s="1006"/>
      <c r="K14" s="1006"/>
      <c r="L14" s="1051"/>
      <c r="M14" s="996"/>
      <c r="N14" s="996"/>
      <c r="O14" s="996"/>
      <c r="P14" s="996"/>
      <c r="Q14" s="996"/>
      <c r="R14" s="996"/>
      <c r="S14" s="996"/>
      <c r="T14" s="996"/>
      <c r="U14" s="996"/>
      <c r="V14" s="996"/>
      <c r="W14" s="996"/>
      <c r="X14" s="996"/>
      <c r="Y14" s="996"/>
      <c r="Z14" s="996"/>
      <c r="AA14" s="996"/>
      <c r="AB14" s="996"/>
      <c r="AC14" s="996"/>
      <c r="AD14" s="996"/>
      <c r="AE14" s="996"/>
      <c r="AF14" s="996"/>
    </row>
    <row r="15" spans="1:32" ht="23.25" customHeight="1">
      <c r="A15" s="996"/>
      <c r="B15" s="996"/>
      <c r="C15" s="1025" t="s">
        <v>42</v>
      </c>
      <c r="D15" s="1060" t="s">
        <v>253</v>
      </c>
      <c r="E15" s="1054" t="s">
        <v>253</v>
      </c>
      <c r="F15" s="1054" t="s">
        <v>54</v>
      </c>
      <c r="G15" s="1054" t="s">
        <v>253</v>
      </c>
      <c r="H15" s="1055" t="s">
        <v>42</v>
      </c>
      <c r="I15" s="1061" t="s">
        <v>253</v>
      </c>
      <c r="J15" s="1029" t="s">
        <v>29</v>
      </c>
      <c r="K15" s="1006"/>
      <c r="L15" s="1051"/>
      <c r="M15" s="996"/>
      <c r="N15" s="996"/>
      <c r="O15" s="996"/>
      <c r="P15" s="996"/>
      <c r="Q15" s="996"/>
      <c r="R15" s="996"/>
      <c r="S15" s="996"/>
      <c r="T15" s="996"/>
      <c r="U15" s="996"/>
      <c r="V15" s="996"/>
      <c r="W15" s="996"/>
      <c r="X15" s="996"/>
      <c r="Y15" s="996"/>
      <c r="Z15" s="996"/>
      <c r="AA15" s="996"/>
      <c r="AB15" s="996"/>
      <c r="AC15" s="996"/>
      <c r="AD15" s="996"/>
      <c r="AE15" s="996"/>
      <c r="AF15" s="996"/>
    </row>
    <row r="16" spans="1:32" ht="23.25" customHeight="1">
      <c r="A16" s="996"/>
      <c r="B16" s="996"/>
      <c r="C16" s="1031" t="s">
        <v>255</v>
      </c>
      <c r="D16" s="1032" t="s">
        <v>262</v>
      </c>
      <c r="E16" s="1032" t="s">
        <v>263</v>
      </c>
      <c r="F16" s="1032" t="s">
        <v>264</v>
      </c>
      <c r="G16" s="1032" t="s">
        <v>265</v>
      </c>
      <c r="H16" s="1032" t="s">
        <v>266</v>
      </c>
      <c r="I16" s="1034" t="s">
        <v>267</v>
      </c>
      <c r="J16" s="1035" cm="1">
        <f t="array" ref="J16">SUM(IF(ISNUMBER(B16:I16), B16:I16, 0))</f>
        <v>0</v>
      </c>
      <c r="K16" s="1006"/>
      <c r="L16" s="1062" t="s">
        <v>22</v>
      </c>
      <c r="M16" s="996"/>
      <c r="N16" s="996"/>
      <c r="O16" s="996"/>
      <c r="P16" s="996"/>
      <c r="Q16" s="996"/>
      <c r="R16" s="996"/>
      <c r="S16" s="996"/>
      <c r="T16" s="996"/>
      <c r="U16" s="996"/>
      <c r="V16" s="996"/>
      <c r="W16" s="996"/>
      <c r="X16" s="996"/>
      <c r="Y16" s="996"/>
      <c r="Z16" s="996"/>
      <c r="AA16" s="996"/>
      <c r="AB16" s="996"/>
      <c r="AC16" s="996"/>
      <c r="AD16" s="996"/>
      <c r="AE16" s="996"/>
      <c r="AF16" s="996"/>
    </row>
    <row r="17" spans="1:32" ht="23.25" customHeight="1">
      <c r="A17" s="996"/>
      <c r="B17" s="996"/>
      <c r="C17" s="1031">
        <v>0</v>
      </c>
      <c r="D17" s="1032">
        <v>0</v>
      </c>
      <c r="E17" s="1032">
        <v>0</v>
      </c>
      <c r="F17" s="1032">
        <v>0</v>
      </c>
      <c r="G17" s="1032">
        <v>0</v>
      </c>
      <c r="H17" s="1032">
        <v>0</v>
      </c>
      <c r="I17" s="1034">
        <v>0</v>
      </c>
      <c r="J17" s="1035" cm="1">
        <f t="array" ref="J17">SUM(IF(ISNUMBER(B17:I17), B17:I17, 0))</f>
        <v>0</v>
      </c>
      <c r="K17" s="1006"/>
      <c r="L17" s="1062" t="s">
        <v>24</v>
      </c>
      <c r="M17" s="996"/>
      <c r="N17" s="996"/>
      <c r="O17" s="996"/>
      <c r="P17" s="996"/>
      <c r="Q17" s="996"/>
      <c r="R17" s="996"/>
      <c r="S17" s="996"/>
      <c r="T17" s="996"/>
      <c r="U17" s="996"/>
      <c r="V17" s="996"/>
      <c r="W17" s="996"/>
      <c r="X17" s="996"/>
      <c r="Y17" s="996"/>
      <c r="Z17" s="996"/>
      <c r="AA17" s="996"/>
      <c r="AB17" s="996"/>
      <c r="AC17" s="996"/>
      <c r="AD17" s="996"/>
      <c r="AE17" s="996"/>
      <c r="AF17" s="996"/>
    </row>
    <row r="18" spans="1:32" ht="23.25" customHeight="1">
      <c r="A18" s="996"/>
      <c r="B18" s="996"/>
      <c r="C18" s="1031">
        <v>0</v>
      </c>
      <c r="D18" s="1032">
        <v>0</v>
      </c>
      <c r="E18" s="1032">
        <v>0</v>
      </c>
      <c r="F18" s="1032">
        <v>0</v>
      </c>
      <c r="G18" s="1032">
        <v>0</v>
      </c>
      <c r="H18" s="1032">
        <v>0</v>
      </c>
      <c r="I18" s="1034">
        <v>0</v>
      </c>
      <c r="J18" s="1037" cm="1">
        <f t="array" ref="J18">SUM(IF(ISNUMBER(B18:I18), B18:I18, 0))</f>
        <v>0</v>
      </c>
      <c r="K18" s="1006"/>
      <c r="L18" s="1062" t="s">
        <v>26</v>
      </c>
      <c r="M18" s="996"/>
      <c r="N18" s="996"/>
      <c r="O18" s="996"/>
      <c r="P18" s="996"/>
      <c r="Q18" s="996"/>
      <c r="R18" s="996"/>
      <c r="S18" s="996"/>
      <c r="T18" s="996"/>
      <c r="U18" s="996"/>
      <c r="V18" s="996"/>
      <c r="W18" s="996"/>
      <c r="X18" s="996"/>
      <c r="Y18" s="996"/>
      <c r="Z18" s="996"/>
      <c r="AA18" s="996"/>
      <c r="AB18" s="996"/>
      <c r="AC18" s="996"/>
      <c r="AD18" s="996"/>
      <c r="AE18" s="996"/>
      <c r="AF18" s="996"/>
    </row>
    <row r="19" spans="1:32" ht="23.25" customHeight="1">
      <c r="A19" s="996"/>
      <c r="B19" s="996"/>
      <c r="C19" s="1063" t="s">
        <v>268</v>
      </c>
      <c r="D19" s="1064" t="s">
        <v>269</v>
      </c>
      <c r="E19" s="1040" t="s">
        <v>270</v>
      </c>
      <c r="F19" s="1043" t="s">
        <v>271</v>
      </c>
      <c r="G19" s="1065" t="s">
        <v>272</v>
      </c>
      <c r="H19" s="1066" t="s">
        <v>273</v>
      </c>
      <c r="I19" s="1045" t="s">
        <v>274</v>
      </c>
      <c r="J19" s="1037">
        <v>2.23</v>
      </c>
      <c r="K19" s="1006"/>
      <c r="L19" s="1036" t="s">
        <v>28</v>
      </c>
      <c r="M19" s="996"/>
      <c r="N19" s="996"/>
      <c r="O19" s="996"/>
      <c r="P19" s="996"/>
      <c r="Q19" s="996"/>
      <c r="R19" s="996"/>
      <c r="S19" s="996"/>
      <c r="T19" s="996"/>
      <c r="U19" s="996"/>
      <c r="V19" s="996"/>
      <c r="W19" s="996"/>
      <c r="X19" s="996"/>
      <c r="Y19" s="996"/>
      <c r="Z19" s="996"/>
      <c r="AA19" s="996"/>
      <c r="AB19" s="996"/>
      <c r="AC19" s="996"/>
      <c r="AD19" s="996"/>
      <c r="AE19" s="996"/>
      <c r="AF19" s="996"/>
    </row>
    <row r="20" spans="1:32" ht="23.25" customHeight="1">
      <c r="A20" s="996"/>
      <c r="B20" s="996"/>
      <c r="C20" s="1067">
        <v>13</v>
      </c>
      <c r="D20" s="1067">
        <v>14</v>
      </c>
      <c r="E20" s="1068">
        <v>15</v>
      </c>
      <c r="F20" s="1069">
        <v>16</v>
      </c>
      <c r="G20" s="1070">
        <v>17</v>
      </c>
      <c r="H20" s="1070">
        <v>18</v>
      </c>
      <c r="I20" s="1071">
        <v>19</v>
      </c>
      <c r="J20" s="1050"/>
      <c r="K20" s="1006"/>
      <c r="L20" s="1051"/>
      <c r="M20" s="996"/>
      <c r="N20" s="996"/>
      <c r="O20" s="996"/>
      <c r="P20" s="996"/>
      <c r="Q20" s="996"/>
      <c r="R20" s="996"/>
      <c r="S20" s="996"/>
      <c r="T20" s="996"/>
      <c r="U20" s="996"/>
      <c r="V20" s="996"/>
      <c r="W20" s="996"/>
      <c r="X20" s="996"/>
      <c r="Y20" s="996"/>
      <c r="Z20" s="996"/>
      <c r="AA20" s="996"/>
      <c r="AB20" s="996"/>
      <c r="AC20" s="996"/>
      <c r="AD20" s="996"/>
      <c r="AE20" s="996"/>
      <c r="AF20" s="996"/>
    </row>
    <row r="21" spans="1:32" ht="23.25" customHeight="1">
      <c r="A21" s="996"/>
      <c r="B21" s="996"/>
      <c r="C21" s="1072" t="s">
        <v>207</v>
      </c>
      <c r="D21" s="1073" t="s">
        <v>275</v>
      </c>
      <c r="E21" s="1073" t="s">
        <v>276</v>
      </c>
      <c r="F21" s="1073" t="s">
        <v>277</v>
      </c>
      <c r="G21" s="1073" t="s">
        <v>278</v>
      </c>
      <c r="H21" s="1026" t="s">
        <v>279</v>
      </c>
      <c r="I21" s="1074" t="s">
        <v>207</v>
      </c>
      <c r="J21" s="1050"/>
      <c r="K21" s="1006"/>
      <c r="L21" s="1051"/>
      <c r="M21" s="996"/>
      <c r="N21" s="996"/>
      <c r="O21" s="996"/>
      <c r="P21" s="996"/>
      <c r="Q21" s="996"/>
      <c r="R21" s="996"/>
      <c r="S21" s="996"/>
      <c r="T21" s="996"/>
      <c r="U21" s="996"/>
      <c r="V21" s="996"/>
      <c r="W21" s="996"/>
      <c r="X21" s="996"/>
      <c r="Y21" s="996"/>
      <c r="Z21" s="996"/>
      <c r="AA21" s="996"/>
      <c r="AB21" s="996"/>
      <c r="AC21" s="996"/>
      <c r="AD21" s="996"/>
      <c r="AE21" s="996"/>
      <c r="AF21" s="996"/>
    </row>
    <row r="22" spans="1:32" ht="23.25" customHeight="1">
      <c r="A22" s="996"/>
      <c r="B22" s="996"/>
      <c r="C22" s="1075">
        <v>0.89</v>
      </c>
      <c r="D22" s="1020">
        <v>0.82</v>
      </c>
      <c r="E22" s="1020">
        <v>0.72</v>
      </c>
      <c r="F22" s="1020">
        <v>0.62</v>
      </c>
      <c r="G22" s="1021">
        <v>0.5</v>
      </c>
      <c r="H22" s="1022">
        <v>0.39</v>
      </c>
      <c r="I22" s="1023">
        <v>0.28000000000000003</v>
      </c>
      <c r="J22" s="1006"/>
      <c r="K22" s="1006"/>
      <c r="L22" s="1051"/>
      <c r="M22" s="996"/>
      <c r="N22" s="996"/>
      <c r="O22" s="996"/>
      <c r="P22" s="996"/>
      <c r="Q22" s="996"/>
      <c r="R22" s="996"/>
      <c r="S22" s="996"/>
      <c r="T22" s="996"/>
      <c r="U22" s="996"/>
      <c r="V22" s="996"/>
      <c r="W22" s="996"/>
      <c r="X22" s="996"/>
      <c r="Y22" s="996"/>
      <c r="Z22" s="996"/>
      <c r="AA22" s="996"/>
      <c r="AB22" s="996"/>
      <c r="AC22" s="996"/>
      <c r="AD22" s="996"/>
      <c r="AE22" s="996"/>
      <c r="AF22" s="996"/>
    </row>
    <row r="23" spans="1:32" ht="23.25" customHeight="1">
      <c r="A23" s="996"/>
      <c r="B23" s="996"/>
      <c r="C23" s="1072" t="s">
        <v>42</v>
      </c>
      <c r="D23" s="1073" t="s">
        <v>253</v>
      </c>
      <c r="E23" s="1073" t="s">
        <v>253</v>
      </c>
      <c r="F23" s="1073" t="s">
        <v>42</v>
      </c>
      <c r="G23" s="1073" t="s">
        <v>42</v>
      </c>
      <c r="H23" s="1073" t="s">
        <v>42</v>
      </c>
      <c r="I23" s="1074" t="s">
        <v>42</v>
      </c>
      <c r="J23" s="1076" t="s">
        <v>30</v>
      </c>
      <c r="K23" s="1006"/>
      <c r="L23" s="1051"/>
      <c r="M23" s="996"/>
      <c r="N23" s="996"/>
      <c r="O23" s="996"/>
      <c r="P23" s="996"/>
      <c r="Q23" s="996"/>
      <c r="R23" s="996"/>
      <c r="S23" s="996"/>
      <c r="T23" s="996"/>
      <c r="U23" s="996"/>
      <c r="V23" s="996"/>
      <c r="W23" s="996"/>
      <c r="X23" s="996"/>
      <c r="Y23" s="996"/>
      <c r="Z23" s="996"/>
      <c r="AA23" s="996"/>
      <c r="AB23" s="996"/>
      <c r="AC23" s="996"/>
      <c r="AD23" s="996"/>
      <c r="AE23" s="996"/>
      <c r="AF23" s="996"/>
    </row>
    <row r="24" spans="1:32" ht="23.25" customHeight="1">
      <c r="A24" s="996"/>
      <c r="B24" s="996"/>
      <c r="C24" s="1077">
        <v>3.7</v>
      </c>
      <c r="D24" s="1032">
        <v>2.2000000000000002</v>
      </c>
      <c r="E24" s="1032">
        <v>4.5</v>
      </c>
      <c r="F24" s="1032">
        <v>4.2</v>
      </c>
      <c r="G24" s="1032">
        <v>0</v>
      </c>
      <c r="H24" s="1032">
        <v>5.9</v>
      </c>
      <c r="I24" s="1078">
        <v>5.9</v>
      </c>
      <c r="J24" s="1079" cm="1">
        <f t="array" ref="J24">SUM(IF(ISNUMBER(B24:I24), B24:I24, 0))</f>
        <v>26.4</v>
      </c>
      <c r="K24" s="1006"/>
      <c r="L24" s="1062" t="s">
        <v>22</v>
      </c>
      <c r="M24" s="996"/>
      <c r="N24" s="996"/>
      <c r="O24" s="996"/>
      <c r="P24" s="996"/>
      <c r="Q24" s="996"/>
      <c r="R24" s="996"/>
      <c r="S24" s="996"/>
      <c r="T24" s="996"/>
      <c r="U24" s="996"/>
      <c r="V24" s="996"/>
      <c r="W24" s="996"/>
      <c r="X24" s="996"/>
      <c r="Y24" s="996"/>
      <c r="Z24" s="996"/>
      <c r="AA24" s="996"/>
      <c r="AB24" s="996"/>
      <c r="AC24" s="996"/>
      <c r="AD24" s="996"/>
      <c r="AE24" s="996"/>
      <c r="AF24" s="996"/>
    </row>
    <row r="25" spans="1:32" ht="23.25" customHeight="1">
      <c r="A25" s="996"/>
      <c r="B25" s="996"/>
      <c r="C25" s="1077">
        <v>0</v>
      </c>
      <c r="D25" s="1032">
        <v>0</v>
      </c>
      <c r="E25" s="1032">
        <v>0</v>
      </c>
      <c r="F25" s="1032">
        <v>0</v>
      </c>
      <c r="G25" s="1032">
        <v>0</v>
      </c>
      <c r="H25" s="1032">
        <v>0</v>
      </c>
      <c r="I25" s="1078">
        <v>0</v>
      </c>
      <c r="J25" s="1079" cm="1">
        <f t="array" ref="J25">SUM(IF(ISNUMBER(B25:I25), B25:I25, 0))</f>
        <v>0</v>
      </c>
      <c r="K25" s="1006"/>
      <c r="L25" s="1062" t="s">
        <v>24</v>
      </c>
      <c r="M25" s="996"/>
      <c r="N25" s="996"/>
      <c r="O25" s="996"/>
      <c r="P25" s="996"/>
      <c r="Q25" s="996"/>
      <c r="R25" s="996"/>
      <c r="S25" s="996"/>
      <c r="T25" s="996"/>
      <c r="U25" s="996"/>
      <c r="V25" s="996"/>
      <c r="W25" s="996"/>
      <c r="X25" s="996"/>
      <c r="Y25" s="996"/>
      <c r="Z25" s="996"/>
      <c r="AA25" s="996"/>
      <c r="AB25" s="996"/>
      <c r="AC25" s="996"/>
      <c r="AD25" s="996"/>
      <c r="AE25" s="996"/>
      <c r="AF25" s="996"/>
    </row>
    <row r="26" spans="1:32" ht="23.25" customHeight="1">
      <c r="A26" s="996"/>
      <c r="B26" s="996"/>
      <c r="C26" s="1077">
        <v>0</v>
      </c>
      <c r="D26" s="1032">
        <v>0</v>
      </c>
      <c r="E26" s="1032">
        <v>0</v>
      </c>
      <c r="F26" s="1032">
        <v>0</v>
      </c>
      <c r="G26" s="1032">
        <v>0</v>
      </c>
      <c r="H26" s="1032">
        <v>0</v>
      </c>
      <c r="I26" s="1078">
        <v>0</v>
      </c>
      <c r="J26" s="1080" cm="1">
        <f t="array" ref="J26">SUM(IF(ISNUMBER(B26:I26), B26:I26, 0))</f>
        <v>0</v>
      </c>
      <c r="K26" s="1006"/>
      <c r="L26" s="1062" t="s">
        <v>26</v>
      </c>
      <c r="M26" s="996"/>
      <c r="N26" s="996"/>
      <c r="O26" s="996"/>
      <c r="P26" s="996"/>
      <c r="Q26" s="996"/>
      <c r="R26" s="996"/>
      <c r="S26" s="996"/>
      <c r="T26" s="996"/>
      <c r="U26" s="996"/>
      <c r="V26" s="996"/>
      <c r="W26" s="996"/>
      <c r="X26" s="996"/>
      <c r="Y26" s="996"/>
      <c r="Z26" s="996"/>
      <c r="AA26" s="996"/>
      <c r="AB26" s="996"/>
      <c r="AC26" s="996"/>
      <c r="AD26" s="996"/>
      <c r="AE26" s="996"/>
      <c r="AF26" s="996"/>
    </row>
    <row r="27" spans="1:32" ht="23.25" customHeight="1">
      <c r="A27" s="996"/>
      <c r="B27" s="996"/>
      <c r="C27" s="1081" t="s">
        <v>280</v>
      </c>
      <c r="D27" s="1040" t="s">
        <v>281</v>
      </c>
      <c r="E27" s="1040" t="s">
        <v>282</v>
      </c>
      <c r="F27" s="1082" t="s">
        <v>283</v>
      </c>
      <c r="G27" s="1040" t="s">
        <v>284</v>
      </c>
      <c r="H27" s="1040" t="s">
        <v>285</v>
      </c>
      <c r="I27" s="1083" t="s">
        <v>286</v>
      </c>
      <c r="J27" s="1037">
        <v>40.15</v>
      </c>
      <c r="K27" s="1006"/>
      <c r="L27" s="1036" t="s">
        <v>28</v>
      </c>
      <c r="M27" s="996"/>
      <c r="N27" s="996"/>
      <c r="O27" s="996"/>
      <c r="P27" s="996"/>
      <c r="Q27" s="996"/>
      <c r="R27" s="996"/>
      <c r="S27" s="996"/>
      <c r="T27" s="996"/>
      <c r="U27" s="996"/>
      <c r="V27" s="996"/>
      <c r="W27" s="996"/>
      <c r="X27" s="996"/>
      <c r="Y27" s="996"/>
      <c r="Z27" s="996"/>
      <c r="AA27" s="996"/>
      <c r="AB27" s="996"/>
      <c r="AC27" s="996"/>
      <c r="AD27" s="996"/>
      <c r="AE27" s="996"/>
      <c r="AF27" s="996"/>
    </row>
    <row r="28" spans="1:32" ht="23.25" customHeight="1">
      <c r="A28" s="996"/>
      <c r="B28" s="996"/>
      <c r="C28" s="1046">
        <v>20</v>
      </c>
      <c r="D28" s="1046">
        <v>21</v>
      </c>
      <c r="E28" s="1046">
        <v>22</v>
      </c>
      <c r="F28" s="1046">
        <v>23</v>
      </c>
      <c r="G28" s="1046">
        <v>24</v>
      </c>
      <c r="H28" s="1046">
        <v>25</v>
      </c>
      <c r="I28" s="1046">
        <v>26</v>
      </c>
      <c r="J28" s="1084"/>
      <c r="K28" s="1006"/>
      <c r="L28" s="1051"/>
      <c r="M28" s="996"/>
      <c r="N28" s="996"/>
      <c r="O28" s="996"/>
      <c r="P28" s="996"/>
      <c r="Q28" s="996"/>
      <c r="R28" s="996"/>
      <c r="S28" s="996"/>
      <c r="T28" s="996"/>
      <c r="U28" s="996"/>
      <c r="V28" s="996"/>
      <c r="W28" s="996"/>
      <c r="X28" s="996"/>
      <c r="Y28" s="996"/>
      <c r="Z28" s="996"/>
      <c r="AA28" s="996"/>
      <c r="AB28" s="996"/>
      <c r="AC28" s="996"/>
      <c r="AD28" s="996"/>
      <c r="AE28" s="996"/>
      <c r="AF28" s="996"/>
    </row>
    <row r="29" spans="1:32" ht="23.25" customHeight="1">
      <c r="A29" s="996"/>
      <c r="B29" s="996"/>
      <c r="C29" s="1013" t="s">
        <v>41</v>
      </c>
      <c r="D29" s="1014" t="s">
        <v>287</v>
      </c>
      <c r="E29" s="1015" t="s">
        <v>288</v>
      </c>
      <c r="F29" s="1085" t="s">
        <v>251</v>
      </c>
      <c r="G29" s="1014" t="s">
        <v>41</v>
      </c>
      <c r="H29" s="1014" t="s">
        <v>53</v>
      </c>
      <c r="I29" s="1016" t="s">
        <v>207</v>
      </c>
      <c r="J29" s="1050"/>
      <c r="K29" s="1006"/>
      <c r="L29" s="1051"/>
      <c r="M29" s="996"/>
      <c r="N29" s="996"/>
      <c r="O29" s="996"/>
      <c r="P29" s="996"/>
      <c r="Q29" s="996"/>
      <c r="R29" s="996"/>
      <c r="S29" s="996"/>
      <c r="T29" s="996"/>
      <c r="U29" s="996"/>
      <c r="V29" s="996"/>
      <c r="W29" s="996"/>
      <c r="X29" s="996"/>
      <c r="Y29" s="996"/>
      <c r="Z29" s="996"/>
      <c r="AA29" s="996"/>
      <c r="AB29" s="996"/>
      <c r="AC29" s="996"/>
      <c r="AD29" s="996"/>
      <c r="AE29" s="996"/>
      <c r="AF29" s="996"/>
    </row>
    <row r="30" spans="1:32" ht="23.25" customHeight="1">
      <c r="A30" s="996"/>
      <c r="B30" s="996"/>
      <c r="C30" s="1075">
        <v>0.18</v>
      </c>
      <c r="D30" s="1020">
        <v>0.1</v>
      </c>
      <c r="E30" s="1020">
        <v>0.04</v>
      </c>
      <c r="F30" s="1020">
        <v>0.01</v>
      </c>
      <c r="G30" s="1020">
        <v>0</v>
      </c>
      <c r="H30" s="1020">
        <v>0.02</v>
      </c>
      <c r="I30" s="1023">
        <v>0.06</v>
      </c>
      <c r="J30" s="1006"/>
      <c r="K30" s="1006"/>
      <c r="L30" s="1051"/>
      <c r="M30" s="996"/>
      <c r="N30" s="996"/>
      <c r="O30" s="996"/>
      <c r="P30" s="996"/>
      <c r="Q30" s="996"/>
      <c r="R30" s="996"/>
      <c r="S30" s="996"/>
      <c r="T30" s="996"/>
      <c r="U30" s="996"/>
      <c r="V30" s="996"/>
      <c r="W30" s="996"/>
      <c r="X30" s="996"/>
      <c r="Y30" s="996"/>
      <c r="Z30" s="996"/>
      <c r="AA30" s="996"/>
      <c r="AB30" s="996"/>
      <c r="AC30" s="996"/>
      <c r="AD30" s="996"/>
      <c r="AE30" s="996"/>
      <c r="AF30" s="996"/>
    </row>
    <row r="31" spans="1:32" ht="23.25" customHeight="1">
      <c r="A31" s="996"/>
      <c r="B31" s="996"/>
      <c r="C31" s="1025" t="s">
        <v>42</v>
      </c>
      <c r="D31" s="1073" t="s">
        <v>253</v>
      </c>
      <c r="E31" s="1073" t="s">
        <v>253</v>
      </c>
      <c r="F31" s="1026" t="s">
        <v>54</v>
      </c>
      <c r="G31" s="1026" t="s">
        <v>42</v>
      </c>
      <c r="H31" s="1026" t="s">
        <v>42</v>
      </c>
      <c r="I31" s="1074" t="s">
        <v>42</v>
      </c>
      <c r="J31" s="1076" t="s">
        <v>31</v>
      </c>
      <c r="K31" s="1006"/>
      <c r="L31" s="1051"/>
      <c r="M31" s="996"/>
      <c r="N31" s="996"/>
      <c r="O31" s="996"/>
      <c r="P31" s="996"/>
      <c r="Q31" s="996"/>
      <c r="R31" s="996"/>
      <c r="S31" s="996"/>
      <c r="T31" s="996"/>
      <c r="U31" s="996"/>
      <c r="V31" s="996"/>
      <c r="W31" s="996"/>
      <c r="X31" s="996"/>
      <c r="Y31" s="996"/>
      <c r="Z31" s="996"/>
      <c r="AA31" s="996"/>
      <c r="AB31" s="996"/>
      <c r="AC31" s="996"/>
      <c r="AD31" s="996"/>
      <c r="AE31" s="996"/>
      <c r="AF31" s="996"/>
    </row>
    <row r="32" spans="1:32" ht="23.25" customHeight="1">
      <c r="A32" s="996"/>
      <c r="B32" s="996"/>
      <c r="C32" s="1031">
        <v>4.9000000000000004</v>
      </c>
      <c r="D32" s="1032">
        <v>5.63</v>
      </c>
      <c r="E32" s="1032">
        <v>6.7</v>
      </c>
      <c r="F32" s="1032">
        <v>6.9</v>
      </c>
      <c r="G32" s="1032">
        <v>7</v>
      </c>
      <c r="H32" s="1032">
        <v>7</v>
      </c>
      <c r="I32" s="1078">
        <v>7.5</v>
      </c>
      <c r="J32" s="1079" cm="1">
        <f t="array" ref="J32">SUM(IF(ISNUMBER(B32:I32), B32:I32, 0))</f>
        <v>45.63</v>
      </c>
      <c r="K32" s="1006"/>
      <c r="L32" s="1062" t="s">
        <v>22</v>
      </c>
      <c r="M32" s="996"/>
      <c r="N32" s="996"/>
      <c r="O32" s="996"/>
      <c r="P32" s="996"/>
      <c r="Q32" s="996"/>
      <c r="R32" s="996"/>
      <c r="S32" s="996"/>
      <c r="T32" s="996"/>
      <c r="U32" s="996"/>
      <c r="V32" s="996"/>
      <c r="W32" s="996"/>
      <c r="X32" s="996"/>
      <c r="Y32" s="996"/>
      <c r="Z32" s="996"/>
      <c r="AA32" s="996"/>
      <c r="AB32" s="996"/>
      <c r="AC32" s="996"/>
      <c r="AD32" s="996"/>
      <c r="AE32" s="996"/>
      <c r="AF32" s="996"/>
    </row>
    <row r="33" spans="1:32" ht="23.25" customHeight="1">
      <c r="A33" s="996"/>
      <c r="B33" s="996"/>
      <c r="C33" s="1031">
        <v>0</v>
      </c>
      <c r="D33" s="1032">
        <v>0</v>
      </c>
      <c r="E33" s="1032">
        <v>0</v>
      </c>
      <c r="F33" s="1032">
        <v>0</v>
      </c>
      <c r="G33" s="1034">
        <v>0</v>
      </c>
      <c r="H33" s="1032">
        <v>0</v>
      </c>
      <c r="I33" s="1078">
        <v>0</v>
      </c>
      <c r="J33" s="1079" cm="1">
        <f t="array" ref="J33">SUM(IF(ISNUMBER(B33:I33), B33:I33, 0))</f>
        <v>0</v>
      </c>
      <c r="K33" s="1006"/>
      <c r="L33" s="1062" t="s">
        <v>24</v>
      </c>
      <c r="M33" s="996"/>
      <c r="N33" s="996"/>
      <c r="O33" s="996"/>
      <c r="P33" s="996"/>
      <c r="Q33" s="996"/>
      <c r="R33" s="996"/>
      <c r="S33" s="996"/>
      <c r="T33" s="996"/>
      <c r="U33" s="996"/>
      <c r="V33" s="996"/>
      <c r="W33" s="996"/>
      <c r="X33" s="996"/>
      <c r="Y33" s="996"/>
      <c r="Z33" s="996"/>
      <c r="AA33" s="996"/>
      <c r="AB33" s="996"/>
      <c r="AC33" s="996"/>
      <c r="AD33" s="996"/>
      <c r="AE33" s="996"/>
      <c r="AF33" s="996"/>
    </row>
    <row r="34" spans="1:32" ht="23.25" customHeight="1">
      <c r="A34" s="996"/>
      <c r="B34" s="996"/>
      <c r="C34" s="1031">
        <v>0</v>
      </c>
      <c r="D34" s="1032">
        <v>0</v>
      </c>
      <c r="E34" s="1032">
        <v>0</v>
      </c>
      <c r="F34" s="1032">
        <v>0</v>
      </c>
      <c r="G34" s="1032">
        <v>0</v>
      </c>
      <c r="H34" s="1032">
        <v>0</v>
      </c>
      <c r="I34" s="1078">
        <v>0</v>
      </c>
      <c r="J34" s="1080" cm="1">
        <f t="array" ref="J34">SUM(IF(ISNUMBER(B34:I34), B34:I34, 0))</f>
        <v>0</v>
      </c>
      <c r="K34" s="1006"/>
      <c r="L34" s="1062" t="s">
        <v>26</v>
      </c>
      <c r="M34" s="996"/>
      <c r="N34" s="996"/>
      <c r="O34" s="996"/>
      <c r="P34" s="996"/>
      <c r="Q34" s="996"/>
      <c r="R34" s="996"/>
      <c r="S34" s="996"/>
      <c r="T34" s="996"/>
      <c r="U34" s="996"/>
      <c r="V34" s="996"/>
      <c r="W34" s="996"/>
      <c r="X34" s="996"/>
      <c r="Y34" s="996"/>
      <c r="Z34" s="996"/>
      <c r="AA34" s="996"/>
      <c r="AB34" s="996"/>
      <c r="AC34" s="996"/>
      <c r="AD34" s="996"/>
      <c r="AE34" s="996"/>
      <c r="AF34" s="996"/>
    </row>
    <row r="35" spans="1:32" ht="23.25" customHeight="1">
      <c r="A35" s="996"/>
      <c r="B35" s="996"/>
      <c r="C35" s="1063" t="s">
        <v>289</v>
      </c>
      <c r="D35" s="1040" t="s">
        <v>290</v>
      </c>
      <c r="E35" s="1040" t="s">
        <v>291</v>
      </c>
      <c r="F35" s="1040" t="s">
        <v>292</v>
      </c>
      <c r="G35" s="1040" t="s">
        <v>293</v>
      </c>
      <c r="H35" s="1040" t="s">
        <v>294</v>
      </c>
      <c r="I35" s="1086" t="s">
        <v>295</v>
      </c>
      <c r="J35" s="1037">
        <v>42.1</v>
      </c>
      <c r="K35" s="1006"/>
      <c r="L35" s="1036" t="s">
        <v>28</v>
      </c>
      <c r="M35" s="996"/>
      <c r="N35" s="996"/>
      <c r="O35" s="996"/>
      <c r="P35" s="996"/>
      <c r="Q35" s="996"/>
      <c r="R35" s="996"/>
      <c r="S35" s="996"/>
      <c r="T35" s="996"/>
      <c r="U35" s="996"/>
      <c r="V35" s="996"/>
      <c r="W35" s="996"/>
      <c r="X35" s="996"/>
      <c r="Y35" s="996"/>
      <c r="Z35" s="996"/>
      <c r="AA35" s="996"/>
      <c r="AB35" s="996"/>
      <c r="AC35" s="996"/>
      <c r="AD35" s="996"/>
      <c r="AE35" s="996"/>
      <c r="AF35" s="996"/>
    </row>
    <row r="36" spans="1:32" ht="23.25" customHeight="1">
      <c r="A36" s="996"/>
      <c r="B36" s="996"/>
      <c r="C36" s="1046">
        <v>27</v>
      </c>
      <c r="D36" s="1046">
        <v>28</v>
      </c>
      <c r="E36" s="1046">
        <v>29</v>
      </c>
      <c r="F36" s="1046">
        <v>30</v>
      </c>
      <c r="G36" s="1046">
        <v>31</v>
      </c>
      <c r="H36" s="1046"/>
      <c r="I36" s="1046"/>
      <c r="J36" s="1084"/>
      <c r="K36" s="1006"/>
      <c r="L36" s="1051"/>
      <c r="M36" s="996"/>
      <c r="N36" s="996"/>
      <c r="O36" s="996"/>
      <c r="P36" s="996"/>
      <c r="Q36" s="996"/>
      <c r="R36" s="996"/>
      <c r="S36" s="996"/>
      <c r="T36" s="996"/>
      <c r="U36" s="996"/>
      <c r="V36" s="996"/>
      <c r="W36" s="996"/>
      <c r="X36" s="996"/>
      <c r="Y36" s="996"/>
      <c r="Z36" s="996"/>
      <c r="AA36" s="996"/>
      <c r="AB36" s="996"/>
      <c r="AC36" s="996"/>
      <c r="AD36" s="996"/>
      <c r="AE36" s="996"/>
      <c r="AF36" s="996"/>
    </row>
    <row r="37" spans="1:32" ht="23.25" customHeight="1">
      <c r="A37" s="996"/>
      <c r="B37" s="996"/>
      <c r="C37" s="1087" t="s">
        <v>296</v>
      </c>
      <c r="D37" s="1088" t="s">
        <v>297</v>
      </c>
      <c r="E37" s="1088" t="s">
        <v>298</v>
      </c>
      <c r="F37" s="1088" t="s">
        <v>251</v>
      </c>
      <c r="G37" s="1088" t="s">
        <v>41</v>
      </c>
      <c r="H37" s="1088"/>
      <c r="I37" s="1016"/>
      <c r="J37" s="1050"/>
      <c r="K37" s="1006"/>
      <c r="L37" s="1051"/>
      <c r="M37" s="996"/>
      <c r="N37" s="996"/>
      <c r="O37" s="996"/>
      <c r="P37" s="996"/>
      <c r="Q37" s="996"/>
      <c r="R37" s="996"/>
      <c r="S37" s="996"/>
      <c r="T37" s="996"/>
      <c r="U37" s="996"/>
      <c r="V37" s="996"/>
      <c r="W37" s="996"/>
      <c r="X37" s="996"/>
      <c r="Y37" s="996"/>
      <c r="Z37" s="996"/>
      <c r="AA37" s="996"/>
      <c r="AB37" s="996"/>
      <c r="AC37" s="996"/>
      <c r="AD37" s="996"/>
      <c r="AE37" s="996"/>
      <c r="AF37" s="996"/>
    </row>
    <row r="38" spans="1:32" ht="23.25" customHeight="1">
      <c r="A38" s="996"/>
      <c r="B38" s="996"/>
      <c r="C38" s="1075">
        <v>0.11</v>
      </c>
      <c r="D38" s="1020">
        <v>0.19</v>
      </c>
      <c r="E38" s="1020">
        <v>0.27</v>
      </c>
      <c r="F38" s="1020">
        <v>0.36</v>
      </c>
      <c r="G38" s="1020">
        <v>0.45</v>
      </c>
      <c r="H38" s="1020"/>
      <c r="I38" s="1023"/>
      <c r="J38" s="1006"/>
      <c r="K38" s="1006"/>
      <c r="L38" s="1051"/>
      <c r="M38" s="996"/>
      <c r="N38" s="996"/>
      <c r="O38" s="996"/>
      <c r="P38" s="996"/>
      <c r="Q38" s="996"/>
      <c r="R38" s="996"/>
      <c r="S38" s="996"/>
      <c r="T38" s="996"/>
      <c r="U38" s="996"/>
      <c r="V38" s="996"/>
      <c r="W38" s="996"/>
      <c r="X38" s="996"/>
      <c r="Y38" s="996"/>
      <c r="Z38" s="996"/>
      <c r="AA38" s="996"/>
      <c r="AB38" s="996"/>
      <c r="AC38" s="996"/>
      <c r="AD38" s="996"/>
      <c r="AE38" s="996"/>
      <c r="AF38" s="996"/>
    </row>
    <row r="39" spans="1:32" ht="23.25" customHeight="1">
      <c r="A39" s="996"/>
      <c r="B39" s="996"/>
      <c r="C39" s="1025" t="s">
        <v>253</v>
      </c>
      <c r="D39" s="1026" t="s">
        <v>253</v>
      </c>
      <c r="E39" s="1026" t="s">
        <v>62</v>
      </c>
      <c r="F39" s="1026" t="s">
        <v>62</v>
      </c>
      <c r="G39" s="1026" t="s">
        <v>62</v>
      </c>
      <c r="H39" s="1026"/>
      <c r="I39" s="1028"/>
      <c r="J39" s="1029" t="s">
        <v>32</v>
      </c>
      <c r="K39" s="1006"/>
      <c r="L39" s="1051"/>
      <c r="M39" s="996"/>
      <c r="N39" s="996"/>
      <c r="O39" s="996"/>
      <c r="P39" s="996"/>
      <c r="Q39" s="996"/>
      <c r="R39" s="996"/>
      <c r="S39" s="996"/>
      <c r="T39" s="996"/>
      <c r="U39" s="996"/>
      <c r="V39" s="996"/>
      <c r="W39" s="996"/>
      <c r="X39" s="996"/>
      <c r="Y39" s="996"/>
      <c r="Z39" s="996"/>
      <c r="AA39" s="996"/>
      <c r="AB39" s="996"/>
      <c r="AC39" s="996"/>
      <c r="AD39" s="996"/>
      <c r="AE39" s="996"/>
      <c r="AF39" s="996"/>
    </row>
    <row r="40" spans="1:32" ht="23.25" customHeight="1">
      <c r="A40" s="996"/>
      <c r="B40" s="996"/>
      <c r="C40" s="1089">
        <v>6.4</v>
      </c>
      <c r="D40" s="1090">
        <v>6.3</v>
      </c>
      <c r="E40" s="1090">
        <v>6</v>
      </c>
      <c r="F40" s="1090">
        <v>2.9</v>
      </c>
      <c r="G40" s="1090">
        <v>5.3</v>
      </c>
      <c r="H40" s="1090"/>
      <c r="I40" s="1091"/>
      <c r="J40" s="1035" cm="1">
        <f t="array" ref="J40">SUM(IF(ISNUMBER(B40:I40), B40:I40, 0))</f>
        <v>26.9</v>
      </c>
      <c r="K40" s="1006"/>
      <c r="L40" s="1062" t="s">
        <v>22</v>
      </c>
      <c r="M40" s="996"/>
      <c r="N40" s="996"/>
      <c r="O40" s="996"/>
      <c r="P40" s="996"/>
      <c r="Q40" s="996"/>
      <c r="R40" s="996"/>
      <c r="S40" s="996"/>
      <c r="T40" s="996"/>
      <c r="U40" s="996"/>
      <c r="V40" s="996"/>
      <c r="W40" s="996"/>
      <c r="X40" s="996"/>
      <c r="Y40" s="996"/>
      <c r="Z40" s="996"/>
      <c r="AA40" s="996"/>
      <c r="AB40" s="996"/>
      <c r="AC40" s="996"/>
      <c r="AD40" s="996"/>
      <c r="AE40" s="996"/>
      <c r="AF40" s="996"/>
    </row>
    <row r="41" spans="1:32" ht="23.25" customHeight="1">
      <c r="A41" s="996"/>
      <c r="B41" s="996"/>
      <c r="C41" s="1031">
        <v>0</v>
      </c>
      <c r="D41" s="1032">
        <v>0</v>
      </c>
      <c r="E41" s="1032">
        <v>0</v>
      </c>
      <c r="F41" s="1032">
        <v>0</v>
      </c>
      <c r="G41" s="1032">
        <v>0</v>
      </c>
      <c r="H41" s="1032"/>
      <c r="I41" s="1034"/>
      <c r="J41" s="1035" cm="1">
        <f t="array" ref="J41">SUM(IF(ISNUMBER(B41:I41), B41:I41, 0))</f>
        <v>0</v>
      </c>
      <c r="K41" s="1006"/>
      <c r="L41" s="1062" t="s">
        <v>24</v>
      </c>
      <c r="M41" s="996"/>
      <c r="N41" s="996"/>
      <c r="O41" s="996"/>
      <c r="P41" s="996"/>
      <c r="Q41" s="996"/>
      <c r="R41" s="996"/>
      <c r="S41" s="996"/>
      <c r="T41" s="996"/>
      <c r="U41" s="996"/>
      <c r="V41" s="996"/>
      <c r="W41" s="996"/>
      <c r="X41" s="996"/>
      <c r="Y41" s="996"/>
      <c r="Z41" s="996"/>
      <c r="AA41" s="996"/>
      <c r="AB41" s="996"/>
      <c r="AC41" s="996"/>
      <c r="AD41" s="996"/>
      <c r="AE41" s="996"/>
      <c r="AF41" s="996"/>
    </row>
    <row r="42" spans="1:32" ht="23.25" customHeight="1">
      <c r="A42" s="996"/>
      <c r="B42" s="996"/>
      <c r="C42" s="1031">
        <v>0</v>
      </c>
      <c r="D42" s="1032">
        <v>0</v>
      </c>
      <c r="E42" s="1032">
        <v>0</v>
      </c>
      <c r="F42" s="1032">
        <v>0</v>
      </c>
      <c r="G42" s="1032">
        <v>0</v>
      </c>
      <c r="H42" s="1032"/>
      <c r="I42" s="1034"/>
      <c r="J42" s="1037" cm="1">
        <f t="array" ref="J42">SUM(IF(ISNUMBER(B42:I42), B42:I42, 0))</f>
        <v>0</v>
      </c>
      <c r="K42" s="1006"/>
      <c r="L42" s="1062" t="s">
        <v>26</v>
      </c>
      <c r="M42" s="996"/>
      <c r="N42" s="996"/>
      <c r="O42" s="996"/>
      <c r="P42" s="996"/>
      <c r="Q42" s="996"/>
      <c r="R42" s="996"/>
      <c r="S42" s="996"/>
      <c r="T42" s="996"/>
      <c r="U42" s="996"/>
      <c r="V42" s="996"/>
      <c r="W42" s="996"/>
      <c r="X42" s="996"/>
      <c r="Y42" s="996"/>
      <c r="Z42" s="996"/>
      <c r="AA42" s="996"/>
      <c r="AB42" s="996"/>
      <c r="AC42" s="996"/>
      <c r="AD42" s="996"/>
      <c r="AE42" s="996"/>
      <c r="AF42" s="996"/>
    </row>
    <row r="43" spans="1:32" ht="23.25" customHeight="1">
      <c r="A43" s="996"/>
      <c r="B43" s="996"/>
      <c r="C43" s="1092" t="s">
        <v>299</v>
      </c>
      <c r="D43" s="1043" t="s">
        <v>300</v>
      </c>
      <c r="E43" s="1082" t="s">
        <v>301</v>
      </c>
      <c r="F43" s="1040" t="s">
        <v>302</v>
      </c>
      <c r="G43" s="1040" t="s">
        <v>303</v>
      </c>
      <c r="H43" s="1040" t="s">
        <v>4</v>
      </c>
      <c r="I43" s="1083" t="s">
        <v>4</v>
      </c>
      <c r="J43" s="1037">
        <v>25.68</v>
      </c>
      <c r="K43" s="1006"/>
      <c r="L43" s="1036" t="s">
        <v>28</v>
      </c>
      <c r="M43" s="996"/>
      <c r="N43" s="996"/>
      <c r="O43" s="996"/>
      <c r="P43" s="996"/>
      <c r="Q43" s="996"/>
      <c r="R43" s="996"/>
      <c r="S43" s="996"/>
      <c r="T43" s="996"/>
      <c r="U43" s="996"/>
      <c r="V43" s="996"/>
      <c r="W43" s="996"/>
      <c r="X43" s="996"/>
      <c r="Y43" s="996"/>
      <c r="Z43" s="996"/>
      <c r="AA43" s="996"/>
      <c r="AB43" s="996"/>
      <c r="AC43" s="996"/>
      <c r="AD43" s="996"/>
      <c r="AE43" s="996"/>
      <c r="AF43" s="996"/>
    </row>
    <row r="44" spans="1:32" ht="23.25" customHeight="1">
      <c r="A44" s="996"/>
      <c r="B44" s="996"/>
      <c r="C44" s="1010"/>
      <c r="D44" s="1093"/>
      <c r="E44" s="1084"/>
      <c r="F44" s="1006"/>
      <c r="G44" s="1006"/>
      <c r="H44" s="1006"/>
      <c r="I44" s="1006"/>
      <c r="J44" s="1006"/>
      <c r="K44" s="1006"/>
      <c r="L44" s="1030"/>
      <c r="M44" s="996"/>
      <c r="N44" s="996"/>
      <c r="O44" s="996"/>
      <c r="P44" s="996"/>
      <c r="Q44" s="996"/>
      <c r="R44" s="996"/>
      <c r="S44" s="996"/>
      <c r="T44" s="996"/>
      <c r="U44" s="996"/>
      <c r="V44" s="996"/>
      <c r="W44" s="996"/>
      <c r="X44" s="996"/>
      <c r="Y44" s="996"/>
      <c r="Z44" s="996"/>
      <c r="AA44" s="996"/>
      <c r="AB44" s="996"/>
      <c r="AC44" s="996"/>
      <c r="AD44" s="996"/>
      <c r="AE44" s="996"/>
      <c r="AF44" s="996"/>
    </row>
    <row r="45" spans="1:32" ht="23.25" customHeight="1">
      <c r="A45" s="996"/>
      <c r="B45" s="996"/>
      <c r="C45" s="1072"/>
      <c r="D45" s="1094"/>
      <c r="E45" s="1050"/>
      <c r="F45" s="1006"/>
      <c r="G45" s="1006"/>
      <c r="H45" s="1006"/>
      <c r="I45" s="1006"/>
      <c r="J45" s="1006"/>
      <c r="K45" s="1006"/>
      <c r="L45" s="996"/>
      <c r="M45" s="996"/>
      <c r="N45" s="996"/>
      <c r="O45" s="996"/>
      <c r="P45" s="996"/>
      <c r="Q45" s="996"/>
      <c r="R45" s="996"/>
      <c r="S45" s="996"/>
      <c r="T45" s="996"/>
      <c r="U45" s="996"/>
      <c r="V45" s="996"/>
      <c r="W45" s="996"/>
      <c r="X45" s="996"/>
      <c r="Y45" s="996"/>
      <c r="Z45" s="996"/>
      <c r="AA45" s="996"/>
      <c r="AB45" s="996"/>
      <c r="AC45" s="996"/>
      <c r="AD45" s="996"/>
      <c r="AE45" s="996"/>
      <c r="AF45" s="996"/>
    </row>
    <row r="46" spans="1:32" ht="23.25" customHeight="1">
      <c r="A46" s="996"/>
      <c r="B46" s="996"/>
      <c r="C46" s="1095"/>
      <c r="D46" s="1096"/>
      <c r="E46" s="1006"/>
      <c r="F46" s="1006"/>
      <c r="G46" s="1006"/>
      <c r="H46" s="1006"/>
      <c r="I46" s="1006"/>
      <c r="J46" s="1006"/>
      <c r="K46" s="1006"/>
      <c r="L46" s="996"/>
      <c r="M46" s="996"/>
      <c r="N46" s="996"/>
      <c r="O46" s="996"/>
      <c r="P46" s="996"/>
      <c r="Q46" s="996"/>
      <c r="R46" s="996"/>
      <c r="S46" s="996"/>
      <c r="T46" s="996"/>
      <c r="U46" s="996"/>
      <c r="V46" s="996"/>
      <c r="W46" s="996"/>
      <c r="X46" s="996"/>
      <c r="Y46" s="996"/>
      <c r="Z46" s="996"/>
      <c r="AA46" s="996"/>
      <c r="AB46" s="996"/>
      <c r="AC46" s="996"/>
      <c r="AD46" s="996"/>
      <c r="AE46" s="996"/>
      <c r="AF46" s="996"/>
    </row>
    <row r="47" spans="1:32" ht="23.25" customHeight="1">
      <c r="A47" s="996"/>
      <c r="B47" s="996"/>
      <c r="C47" s="1025"/>
      <c r="D47" s="1094"/>
      <c r="E47" s="1006"/>
      <c r="G47" s="1006"/>
      <c r="H47" s="1006"/>
      <c r="I47" s="1006"/>
      <c r="J47" s="1029" t="s">
        <v>33</v>
      </c>
      <c r="K47" s="1097"/>
      <c r="L47" s="996"/>
      <c r="M47" s="996"/>
      <c r="N47" s="996"/>
      <c r="O47" s="996"/>
      <c r="P47" s="996"/>
      <c r="Q47" s="996"/>
      <c r="R47" s="996"/>
      <c r="S47" s="996"/>
      <c r="T47" s="996"/>
      <c r="U47" s="996"/>
      <c r="V47" s="996"/>
      <c r="W47" s="996"/>
      <c r="X47" s="996"/>
      <c r="Y47" s="996"/>
      <c r="Z47" s="996"/>
      <c r="AA47" s="996"/>
      <c r="AB47" s="996"/>
      <c r="AC47" s="996"/>
      <c r="AD47" s="996"/>
      <c r="AE47" s="996"/>
      <c r="AF47" s="996"/>
    </row>
    <row r="48" spans="1:32" ht="23.25" customHeight="1">
      <c r="A48" s="996"/>
      <c r="B48" s="996"/>
      <c r="C48" s="1089"/>
      <c r="D48" s="1096"/>
      <c r="E48" s="1006"/>
      <c r="G48" s="1006"/>
      <c r="H48" s="1006"/>
      <c r="I48" s="1006"/>
      <c r="J48" s="1035" cm="1">
        <f t="array" ref="J48">SUM(IF(ISNUMBER(B48:D48), B48:D48, 0))</f>
        <v>0</v>
      </c>
      <c r="L48" s="1062" t="s">
        <v>22</v>
      </c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</row>
    <row r="49" spans="1:32" ht="23.25" customHeight="1">
      <c r="A49" s="996"/>
      <c r="B49" s="996"/>
      <c r="C49" s="1031"/>
      <c r="D49" s="1096"/>
      <c r="E49" s="1006"/>
      <c r="G49" s="1006"/>
      <c r="H49" s="1006"/>
      <c r="I49" s="1006"/>
      <c r="J49" s="1035" cm="1">
        <f t="array" ref="J49">SUM(IF(ISNUMBER(B49:D49), B49:D49, 0))</f>
        <v>0</v>
      </c>
      <c r="L49" s="1062" t="s">
        <v>24</v>
      </c>
      <c r="M49" s="996"/>
      <c r="N49" s="996"/>
      <c r="O49" s="996"/>
      <c r="P49" s="996"/>
      <c r="Q49" s="996"/>
      <c r="R49" s="996"/>
      <c r="S49" s="996"/>
      <c r="T49" s="996"/>
      <c r="U49" s="996"/>
      <c r="V49" s="996"/>
      <c r="W49" s="996"/>
      <c r="X49" s="996"/>
      <c r="Y49" s="996"/>
      <c r="Z49" s="996"/>
      <c r="AA49" s="996"/>
      <c r="AB49" s="996"/>
      <c r="AC49" s="996"/>
      <c r="AD49" s="996"/>
      <c r="AE49" s="996"/>
      <c r="AF49" s="996"/>
    </row>
    <row r="50" spans="1:32" ht="23.25" customHeight="1">
      <c r="A50" s="996"/>
      <c r="B50" s="996"/>
      <c r="C50" s="1031"/>
      <c r="D50" s="1096"/>
      <c r="E50" s="1006"/>
      <c r="G50" s="1006"/>
      <c r="H50" s="1006"/>
      <c r="I50" s="1006"/>
      <c r="J50" s="1037" cm="1">
        <f t="array" ref="J50">SUM(IF(ISNUMBER(B50:D50), B50:D50, 0))</f>
        <v>0</v>
      </c>
      <c r="L50" s="1062" t="s">
        <v>26</v>
      </c>
      <c r="M50" s="996"/>
      <c r="N50" s="996"/>
      <c r="O50" s="996"/>
      <c r="P50" s="996"/>
      <c r="Q50" s="996"/>
      <c r="R50" s="996"/>
      <c r="S50" s="996"/>
      <c r="T50" s="996"/>
      <c r="U50" s="996"/>
      <c r="V50" s="996"/>
      <c r="W50" s="996"/>
      <c r="X50" s="996"/>
      <c r="Y50" s="996"/>
      <c r="Z50" s="996"/>
      <c r="AA50" s="996"/>
      <c r="AB50" s="996"/>
      <c r="AC50" s="996"/>
      <c r="AD50" s="996"/>
      <c r="AE50" s="996"/>
      <c r="AF50" s="996"/>
    </row>
    <row r="51" spans="1:32" ht="23.25" customHeight="1">
      <c r="A51" s="996"/>
      <c r="B51" s="996"/>
      <c r="C51" s="1063"/>
      <c r="D51" s="1083"/>
      <c r="G51" s="1006"/>
      <c r="H51" s="1006"/>
      <c r="I51" s="1006"/>
      <c r="J51" s="1037"/>
      <c r="L51" s="1036" t="s">
        <v>28</v>
      </c>
      <c r="M51" s="996"/>
      <c r="N51" s="996"/>
      <c r="O51" s="996"/>
      <c r="P51" s="996"/>
      <c r="Q51" s="996"/>
      <c r="R51" s="996"/>
      <c r="S51" s="996"/>
      <c r="T51" s="996"/>
      <c r="U51" s="996"/>
      <c r="V51" s="996"/>
      <c r="W51" s="996"/>
      <c r="X51" s="996"/>
      <c r="Y51" s="996"/>
      <c r="Z51" s="996"/>
      <c r="AA51" s="996"/>
      <c r="AB51" s="996"/>
      <c r="AC51" s="996"/>
      <c r="AD51" s="996"/>
      <c r="AE51" s="996"/>
      <c r="AF51" s="996"/>
    </row>
    <row r="52" spans="1:32" ht="23.25" customHeight="1">
      <c r="A52" s="996"/>
      <c r="B52" s="996"/>
      <c r="C52" s="1006"/>
      <c r="D52" s="1006"/>
      <c r="E52" s="1006"/>
      <c r="F52" s="1006"/>
      <c r="G52" s="1006"/>
      <c r="H52" s="1006"/>
      <c r="I52" s="1006"/>
      <c r="J52" s="1006"/>
      <c r="K52" s="1006"/>
      <c r="L52" s="996"/>
      <c r="M52" s="996"/>
      <c r="N52" s="996"/>
      <c r="O52" s="996"/>
      <c r="P52" s="996"/>
      <c r="Q52" s="996"/>
      <c r="R52" s="996"/>
      <c r="S52" s="996"/>
      <c r="T52" s="996"/>
      <c r="U52" s="996"/>
      <c r="V52" s="996"/>
      <c r="W52" s="996"/>
      <c r="X52" s="996"/>
      <c r="Y52" s="996"/>
      <c r="Z52" s="996"/>
      <c r="AA52" s="996"/>
      <c r="AB52" s="996"/>
      <c r="AC52" s="996"/>
      <c r="AD52" s="996"/>
      <c r="AE52" s="996"/>
      <c r="AF52" s="996"/>
    </row>
    <row r="53" spans="1:32" ht="22.5" customHeight="1">
      <c r="A53" s="996"/>
      <c r="B53" s="996"/>
      <c r="C53" s="996"/>
      <c r="D53" s="996"/>
      <c r="E53" s="996"/>
      <c r="F53" s="996"/>
      <c r="G53" s="996"/>
      <c r="H53" s="996"/>
      <c r="I53" s="996"/>
      <c r="J53" s="996"/>
      <c r="K53" s="996"/>
      <c r="L53" s="996"/>
      <c r="M53" s="996"/>
      <c r="N53" s="996"/>
      <c r="O53" s="996"/>
      <c r="P53" s="996"/>
      <c r="Q53" s="996"/>
      <c r="R53" s="996"/>
      <c r="S53" s="996"/>
      <c r="T53" s="996"/>
      <c r="U53" s="996"/>
      <c r="V53" s="996"/>
      <c r="W53" s="996"/>
      <c r="X53" s="996"/>
      <c r="Y53" s="996"/>
      <c r="Z53" s="996"/>
      <c r="AA53" s="996"/>
      <c r="AB53" s="996"/>
      <c r="AC53" s="996"/>
      <c r="AD53" s="996"/>
      <c r="AE53" s="996"/>
      <c r="AF53" s="996"/>
    </row>
    <row r="54" spans="1:32" ht="17.45">
      <c r="A54" s="996"/>
      <c r="B54" s="996"/>
      <c r="C54" s="996"/>
      <c r="D54" s="996"/>
      <c r="E54" s="996"/>
      <c r="F54" s="996"/>
      <c r="G54" s="996"/>
      <c r="H54" s="996"/>
      <c r="I54" s="996"/>
      <c r="J54" s="996"/>
      <c r="K54" s="996"/>
      <c r="L54" s="996"/>
      <c r="M54" s="996"/>
      <c r="N54" s="996"/>
      <c r="O54" s="996"/>
      <c r="P54" s="996"/>
      <c r="Q54" s="996"/>
      <c r="R54" s="996"/>
      <c r="S54" s="996"/>
      <c r="T54" s="996"/>
      <c r="U54" s="996"/>
      <c r="V54" s="996"/>
      <c r="W54" s="996"/>
      <c r="X54" s="996"/>
      <c r="Y54" s="996"/>
      <c r="Z54" s="996"/>
      <c r="AA54" s="996"/>
      <c r="AB54" s="996"/>
      <c r="AC54" s="996"/>
      <c r="AD54" s="996"/>
      <c r="AE54" s="996"/>
      <c r="AF54" s="996"/>
    </row>
    <row r="55" spans="1:32" ht="17.45">
      <c r="A55" s="996"/>
      <c r="B55" s="996"/>
      <c r="C55" s="996"/>
      <c r="D55" s="996"/>
      <c r="E55" s="996"/>
      <c r="F55" s="996"/>
      <c r="G55" s="996"/>
      <c r="H55" s="996"/>
      <c r="I55" s="996"/>
      <c r="J55" s="996"/>
      <c r="K55" s="996"/>
      <c r="L55" s="996"/>
      <c r="M55" s="996"/>
      <c r="N55" s="996"/>
      <c r="O55" s="996"/>
      <c r="P55" s="996"/>
      <c r="Q55" s="996"/>
      <c r="R55" s="996"/>
      <c r="S55" s="996"/>
      <c r="T55" s="996"/>
      <c r="U55" s="996"/>
      <c r="V55" s="996"/>
      <c r="W55" s="996"/>
      <c r="X55" s="996"/>
      <c r="Y55" s="996"/>
      <c r="Z55" s="996"/>
      <c r="AA55" s="996"/>
      <c r="AB55" s="996"/>
      <c r="AC55" s="996"/>
      <c r="AD55" s="996"/>
      <c r="AE55" s="996"/>
      <c r="AF55" s="996"/>
    </row>
    <row r="56" spans="1:32" ht="17.45">
      <c r="A56" s="996"/>
      <c r="B56" s="996"/>
      <c r="C56" s="996"/>
      <c r="D56" s="996"/>
      <c r="E56" s="996"/>
      <c r="F56" s="996"/>
      <c r="G56" s="996"/>
      <c r="H56" s="996"/>
      <c r="I56" s="996"/>
      <c r="J56" s="996"/>
      <c r="K56" s="996"/>
      <c r="L56" s="996"/>
      <c r="M56" s="996"/>
      <c r="N56" s="996"/>
      <c r="O56" s="996"/>
      <c r="P56" s="996"/>
      <c r="Q56" s="996"/>
      <c r="R56" s="996"/>
      <c r="S56" s="996"/>
      <c r="T56" s="996"/>
      <c r="U56" s="996"/>
      <c r="V56" s="996"/>
      <c r="W56" s="996"/>
      <c r="X56" s="996"/>
      <c r="Y56" s="996"/>
      <c r="Z56" s="996"/>
      <c r="AA56" s="996"/>
      <c r="AB56" s="996"/>
      <c r="AC56" s="996"/>
      <c r="AD56" s="996"/>
      <c r="AE56" s="996"/>
      <c r="AF56" s="996"/>
    </row>
    <row r="57" spans="1:32" ht="17.45">
      <c r="A57" s="996"/>
      <c r="B57" s="996"/>
      <c r="C57" s="996"/>
      <c r="D57" s="996"/>
      <c r="E57" s="996"/>
      <c r="F57" s="996"/>
      <c r="G57" s="996"/>
      <c r="H57" s="996"/>
      <c r="I57" s="996"/>
      <c r="J57" s="996"/>
      <c r="K57" s="996"/>
      <c r="L57" s="996"/>
      <c r="M57" s="996"/>
      <c r="N57" s="996"/>
      <c r="O57" s="996"/>
      <c r="P57" s="996"/>
      <c r="Q57" s="996"/>
      <c r="R57" s="996"/>
      <c r="S57" s="996"/>
      <c r="T57" s="996"/>
      <c r="U57" s="996"/>
      <c r="V57" s="996"/>
      <c r="W57" s="996"/>
      <c r="X57" s="996"/>
      <c r="Y57" s="996"/>
      <c r="Z57" s="996"/>
      <c r="AA57" s="996"/>
      <c r="AB57" s="996"/>
      <c r="AC57" s="996"/>
      <c r="AD57" s="996"/>
      <c r="AE57" s="996"/>
      <c r="AF57" s="996"/>
    </row>
    <row r="58" spans="1:32" ht="17.45">
      <c r="A58" s="996"/>
      <c r="B58" s="996"/>
      <c r="C58" s="996"/>
      <c r="D58" s="996"/>
      <c r="E58" s="996"/>
      <c r="F58" s="996"/>
      <c r="G58" s="996"/>
      <c r="H58" s="996"/>
      <c r="I58" s="996"/>
      <c r="J58" s="996"/>
      <c r="K58" s="996"/>
      <c r="L58" s="996"/>
      <c r="M58" s="996"/>
      <c r="N58" s="996"/>
      <c r="O58" s="996"/>
      <c r="P58" s="996"/>
      <c r="Q58" s="996"/>
      <c r="R58" s="996"/>
      <c r="S58" s="996"/>
      <c r="T58" s="996"/>
      <c r="U58" s="996"/>
      <c r="V58" s="996"/>
      <c r="W58" s="996"/>
      <c r="X58" s="996"/>
      <c r="Y58" s="996"/>
      <c r="Z58" s="996"/>
      <c r="AA58" s="996"/>
      <c r="AB58" s="996"/>
      <c r="AC58" s="996"/>
      <c r="AD58" s="996"/>
      <c r="AE58" s="996"/>
      <c r="AF58" s="996"/>
    </row>
    <row r="59" spans="1:32" ht="17.45">
      <c r="A59" s="996"/>
      <c r="B59" s="996"/>
      <c r="C59" s="996"/>
      <c r="D59" s="996"/>
      <c r="E59" s="996"/>
      <c r="F59" s="996"/>
      <c r="G59" s="996"/>
      <c r="H59" s="996"/>
      <c r="I59" s="996"/>
      <c r="J59" s="996"/>
      <c r="K59" s="996"/>
      <c r="L59" s="996"/>
      <c r="M59" s="996"/>
      <c r="N59" s="996"/>
      <c r="O59" s="996"/>
      <c r="P59" s="996"/>
      <c r="Q59" s="996"/>
      <c r="R59" s="996"/>
      <c r="S59" s="996"/>
      <c r="T59" s="996"/>
      <c r="U59" s="996"/>
      <c r="V59" s="996"/>
      <c r="W59" s="996"/>
      <c r="X59" s="996"/>
      <c r="Y59" s="996"/>
      <c r="Z59" s="996"/>
      <c r="AA59" s="996"/>
      <c r="AB59" s="996"/>
      <c r="AC59" s="996"/>
      <c r="AD59" s="996"/>
      <c r="AE59" s="996"/>
      <c r="AF59" s="996"/>
    </row>
    <row r="60" spans="1:32" ht="17.45">
      <c r="A60" s="996"/>
      <c r="B60" s="996"/>
      <c r="C60" s="996"/>
      <c r="D60" s="996"/>
      <c r="E60" s="996"/>
      <c r="F60" s="996"/>
      <c r="G60" s="996"/>
      <c r="H60" s="996"/>
      <c r="I60" s="996"/>
      <c r="J60" s="996"/>
      <c r="K60" s="996"/>
      <c r="L60" s="996"/>
      <c r="M60" s="996"/>
      <c r="N60" s="996"/>
      <c r="O60" s="996"/>
      <c r="P60" s="996"/>
      <c r="Q60" s="996"/>
      <c r="R60" s="996"/>
      <c r="S60" s="996"/>
      <c r="T60" s="996"/>
      <c r="U60" s="996"/>
      <c r="V60" s="996"/>
      <c r="W60" s="996"/>
      <c r="X60" s="996"/>
      <c r="Y60" s="996"/>
      <c r="Z60" s="996"/>
      <c r="AA60" s="996"/>
      <c r="AB60" s="996"/>
      <c r="AC60" s="996"/>
      <c r="AD60" s="996"/>
      <c r="AE60" s="996"/>
      <c r="AF60" s="996"/>
    </row>
    <row r="61" spans="1:32" ht="17.45">
      <c r="A61" s="996"/>
      <c r="B61" s="996"/>
      <c r="C61" s="996"/>
      <c r="D61" s="996"/>
      <c r="E61" s="996"/>
      <c r="F61" s="996"/>
      <c r="G61" s="996"/>
      <c r="H61" s="996"/>
      <c r="I61" s="996"/>
      <c r="J61" s="996"/>
      <c r="K61" s="996"/>
      <c r="L61" s="996"/>
      <c r="M61" s="996"/>
      <c r="N61" s="996"/>
      <c r="O61" s="996"/>
      <c r="P61" s="996"/>
      <c r="Q61" s="996"/>
      <c r="R61" s="996"/>
      <c r="S61" s="996"/>
      <c r="T61" s="996"/>
      <c r="U61" s="996"/>
      <c r="V61" s="996"/>
      <c r="W61" s="996"/>
      <c r="X61" s="996"/>
      <c r="Y61" s="996"/>
      <c r="Z61" s="996"/>
      <c r="AA61" s="996"/>
      <c r="AB61" s="996"/>
      <c r="AC61" s="996"/>
      <c r="AD61" s="996"/>
      <c r="AE61" s="996"/>
      <c r="AF61" s="996"/>
    </row>
    <row r="62" spans="1:32" ht="17.45">
      <c r="A62" s="996"/>
      <c r="B62" s="996"/>
      <c r="C62" s="996"/>
      <c r="D62" s="996"/>
      <c r="E62" s="996"/>
      <c r="F62" s="996"/>
      <c r="G62" s="996"/>
      <c r="H62" s="996"/>
      <c r="I62" s="996"/>
      <c r="J62" s="996"/>
      <c r="K62" s="996"/>
      <c r="L62" s="996"/>
      <c r="M62" s="996"/>
      <c r="N62" s="996"/>
      <c r="O62" s="996"/>
      <c r="P62" s="996"/>
      <c r="Q62" s="996"/>
      <c r="R62" s="996"/>
      <c r="S62" s="996"/>
      <c r="T62" s="996"/>
      <c r="U62" s="996"/>
      <c r="V62" s="996"/>
      <c r="W62" s="996"/>
      <c r="X62" s="996"/>
      <c r="Y62" s="996"/>
      <c r="Z62" s="996"/>
      <c r="AA62" s="996"/>
      <c r="AB62" s="996"/>
      <c r="AC62" s="996"/>
      <c r="AD62" s="996"/>
      <c r="AE62" s="996"/>
      <c r="AF62" s="996"/>
    </row>
    <row r="63" spans="1:32" ht="17.45">
      <c r="A63" s="996"/>
      <c r="B63" s="996"/>
      <c r="C63" s="996"/>
      <c r="D63" s="996"/>
      <c r="E63" s="996"/>
      <c r="F63" s="996"/>
      <c r="G63" s="996"/>
      <c r="H63" s="996"/>
      <c r="I63" s="996"/>
      <c r="J63" s="996"/>
      <c r="K63" s="996"/>
      <c r="L63" s="996"/>
      <c r="M63" s="996"/>
      <c r="N63" s="996"/>
      <c r="O63" s="996"/>
      <c r="P63" s="996"/>
      <c r="Q63" s="996"/>
      <c r="R63" s="996"/>
      <c r="S63" s="996"/>
      <c r="T63" s="996"/>
      <c r="U63" s="996"/>
      <c r="V63" s="996"/>
      <c r="W63" s="996"/>
      <c r="X63" s="996"/>
      <c r="Y63" s="996"/>
      <c r="Z63" s="996"/>
      <c r="AA63" s="996"/>
      <c r="AB63" s="996"/>
      <c r="AC63" s="996"/>
      <c r="AD63" s="996"/>
      <c r="AE63" s="996"/>
      <c r="AF63" s="996"/>
    </row>
    <row r="64" spans="1:32" ht="17.45">
      <c r="A64" s="996"/>
      <c r="B64" s="996"/>
      <c r="C64" s="996"/>
      <c r="D64" s="996"/>
      <c r="E64" s="996"/>
      <c r="F64" s="996"/>
      <c r="G64" s="996"/>
      <c r="H64" s="996"/>
      <c r="I64" s="996"/>
      <c r="J64" s="996"/>
      <c r="K64" s="996"/>
      <c r="L64" s="996"/>
      <c r="M64" s="996"/>
      <c r="N64" s="996"/>
      <c r="O64" s="996"/>
      <c r="P64" s="996"/>
      <c r="Q64" s="996"/>
      <c r="R64" s="996"/>
      <c r="S64" s="996"/>
      <c r="T64" s="996"/>
      <c r="U64" s="996"/>
      <c r="V64" s="996"/>
      <c r="W64" s="996"/>
      <c r="X64" s="996"/>
      <c r="Y64" s="996"/>
      <c r="Z64" s="996"/>
      <c r="AA64" s="996"/>
      <c r="AB64" s="996"/>
      <c r="AC64" s="996"/>
      <c r="AD64" s="996"/>
      <c r="AE64" s="996"/>
      <c r="AF64" s="996"/>
    </row>
    <row r="65" spans="1:32" ht="17.45">
      <c r="A65" s="996"/>
      <c r="B65" s="996"/>
      <c r="C65" s="996"/>
      <c r="D65" s="996"/>
      <c r="E65" s="996"/>
      <c r="F65" s="996"/>
      <c r="G65" s="996"/>
      <c r="H65" s="996"/>
      <c r="I65" s="996"/>
      <c r="J65" s="996"/>
      <c r="K65" s="996"/>
      <c r="L65" s="996"/>
      <c r="M65" s="996"/>
      <c r="N65" s="996"/>
      <c r="O65" s="996"/>
      <c r="P65" s="996"/>
      <c r="Q65" s="996"/>
      <c r="R65" s="996"/>
      <c r="S65" s="996"/>
      <c r="T65" s="996"/>
      <c r="U65" s="996"/>
      <c r="V65" s="996"/>
      <c r="W65" s="996"/>
      <c r="X65" s="996"/>
      <c r="Y65" s="996"/>
      <c r="Z65" s="996"/>
      <c r="AA65" s="996"/>
      <c r="AB65" s="996"/>
      <c r="AC65" s="996"/>
      <c r="AD65" s="996"/>
      <c r="AE65" s="996"/>
      <c r="AF65" s="996"/>
    </row>
    <row r="66" spans="1:32" ht="17.45">
      <c r="A66" s="996"/>
      <c r="B66" s="996"/>
      <c r="C66" s="996"/>
      <c r="D66" s="996"/>
      <c r="E66" s="996"/>
      <c r="F66" s="996"/>
      <c r="G66" s="996"/>
      <c r="H66" s="996"/>
      <c r="I66" s="996"/>
      <c r="J66" s="996"/>
      <c r="K66" s="996"/>
      <c r="L66" s="996"/>
      <c r="M66" s="996"/>
      <c r="N66" s="996"/>
      <c r="O66" s="996"/>
      <c r="P66" s="996"/>
      <c r="Q66" s="996"/>
      <c r="R66" s="996"/>
      <c r="S66" s="996"/>
      <c r="T66" s="996"/>
      <c r="U66" s="996"/>
      <c r="V66" s="996"/>
      <c r="W66" s="996"/>
      <c r="X66" s="996"/>
      <c r="Y66" s="996"/>
      <c r="Z66" s="996"/>
      <c r="AA66" s="996"/>
      <c r="AB66" s="996"/>
      <c r="AC66" s="996"/>
      <c r="AD66" s="996"/>
      <c r="AE66" s="996"/>
      <c r="AF66" s="996"/>
    </row>
    <row r="67" spans="1:32" ht="17.45">
      <c r="A67" s="996"/>
      <c r="B67" s="996"/>
      <c r="C67" s="996"/>
      <c r="D67" s="996"/>
      <c r="E67" s="996"/>
      <c r="F67" s="996"/>
      <c r="G67" s="996"/>
      <c r="H67" s="996"/>
      <c r="I67" s="996"/>
      <c r="J67" s="996"/>
      <c r="K67" s="996"/>
      <c r="L67" s="996"/>
      <c r="M67" s="996"/>
      <c r="N67" s="996"/>
      <c r="O67" s="996"/>
      <c r="P67" s="996"/>
      <c r="Q67" s="996"/>
      <c r="R67" s="996"/>
      <c r="S67" s="996"/>
      <c r="T67" s="996"/>
      <c r="U67" s="996"/>
      <c r="V67" s="996"/>
      <c r="W67" s="996"/>
      <c r="X67" s="996"/>
      <c r="Y67" s="996"/>
      <c r="Z67" s="996"/>
      <c r="AA67" s="996"/>
      <c r="AB67" s="996"/>
      <c r="AC67" s="996"/>
      <c r="AD67" s="996"/>
      <c r="AE67" s="996"/>
      <c r="AF67" s="996"/>
    </row>
    <row r="68" spans="1:32" ht="17.45">
      <c r="A68" s="996"/>
      <c r="B68" s="996"/>
      <c r="C68" s="996"/>
      <c r="D68" s="996"/>
      <c r="E68" s="996"/>
      <c r="F68" s="996"/>
      <c r="G68" s="996"/>
      <c r="H68" s="996"/>
      <c r="I68" s="996"/>
      <c r="J68" s="996"/>
      <c r="K68" s="996"/>
      <c r="L68" s="996"/>
      <c r="M68" s="996"/>
      <c r="N68" s="996"/>
      <c r="O68" s="996"/>
      <c r="P68" s="996"/>
      <c r="Q68" s="996"/>
      <c r="R68" s="996"/>
      <c r="S68" s="996"/>
      <c r="T68" s="996"/>
      <c r="U68" s="996"/>
      <c r="V68" s="996"/>
      <c r="W68" s="996"/>
      <c r="X68" s="996"/>
      <c r="Y68" s="996"/>
      <c r="Z68" s="996"/>
      <c r="AA68" s="996"/>
      <c r="AB68" s="996"/>
      <c r="AC68" s="996"/>
      <c r="AD68" s="996"/>
      <c r="AE68" s="996"/>
      <c r="AF68" s="996"/>
    </row>
    <row r="69" spans="1:32" ht="17.45">
      <c r="A69" s="996"/>
      <c r="B69" s="996"/>
      <c r="C69" s="996"/>
      <c r="D69" s="996"/>
      <c r="E69" s="996"/>
      <c r="F69" s="996"/>
      <c r="G69" s="996"/>
      <c r="H69" s="996"/>
      <c r="I69" s="996"/>
      <c r="J69" s="996"/>
      <c r="K69" s="996"/>
      <c r="L69" s="996"/>
      <c r="M69" s="996"/>
      <c r="N69" s="996"/>
      <c r="O69" s="996"/>
      <c r="P69" s="996"/>
      <c r="Q69" s="996"/>
      <c r="R69" s="996"/>
      <c r="S69" s="996"/>
      <c r="T69" s="996"/>
      <c r="U69" s="996"/>
      <c r="V69" s="996"/>
      <c r="W69" s="996"/>
      <c r="X69" s="996"/>
      <c r="Y69" s="996"/>
      <c r="Z69" s="996"/>
      <c r="AA69" s="996"/>
      <c r="AB69" s="996"/>
      <c r="AC69" s="996"/>
      <c r="AD69" s="996"/>
      <c r="AE69" s="996"/>
      <c r="AF69" s="996"/>
    </row>
    <row r="70" spans="1:32" ht="17.45">
      <c r="A70" s="996"/>
      <c r="B70" s="996"/>
      <c r="C70" s="996"/>
      <c r="D70" s="996"/>
      <c r="E70" s="996"/>
      <c r="F70" s="996"/>
      <c r="G70" s="996"/>
      <c r="H70" s="996"/>
      <c r="I70" s="996"/>
      <c r="J70" s="996"/>
      <c r="K70" s="996"/>
      <c r="L70" s="996"/>
      <c r="M70" s="996"/>
      <c r="N70" s="996"/>
      <c r="O70" s="996"/>
      <c r="P70" s="996"/>
      <c r="Q70" s="996"/>
      <c r="R70" s="996"/>
      <c r="S70" s="996"/>
      <c r="T70" s="996"/>
      <c r="U70" s="996"/>
      <c r="V70" s="996"/>
      <c r="W70" s="996"/>
      <c r="X70" s="996"/>
      <c r="Y70" s="996"/>
      <c r="Z70" s="996"/>
      <c r="AA70" s="996"/>
      <c r="AB70" s="996"/>
      <c r="AC70" s="996"/>
      <c r="AD70" s="996"/>
      <c r="AE70" s="996"/>
      <c r="AF70" s="996"/>
    </row>
    <row r="71" spans="1:32" ht="17.45">
      <c r="A71" s="996"/>
      <c r="B71" s="996"/>
      <c r="C71" s="996"/>
      <c r="D71" s="996"/>
      <c r="E71" s="996"/>
      <c r="F71" s="996"/>
      <c r="G71" s="996"/>
      <c r="H71" s="996"/>
      <c r="I71" s="996"/>
      <c r="J71" s="996"/>
      <c r="K71" s="996"/>
      <c r="L71" s="996"/>
      <c r="M71" s="996"/>
      <c r="N71" s="996"/>
      <c r="O71" s="996"/>
      <c r="P71" s="996"/>
      <c r="Q71" s="996"/>
      <c r="R71" s="996"/>
      <c r="S71" s="996"/>
      <c r="T71" s="996"/>
      <c r="U71" s="996"/>
      <c r="V71" s="996"/>
      <c r="W71" s="996"/>
      <c r="X71" s="996"/>
      <c r="Y71" s="996"/>
      <c r="Z71" s="996"/>
      <c r="AA71" s="996"/>
      <c r="AB71" s="996"/>
      <c r="AC71" s="996"/>
      <c r="AD71" s="996"/>
      <c r="AE71" s="996"/>
      <c r="AF71" s="996"/>
    </row>
    <row r="72" spans="1:32" ht="17.45">
      <c r="A72" s="996"/>
      <c r="B72" s="996"/>
      <c r="C72" s="996"/>
      <c r="D72" s="996"/>
      <c r="E72" s="996"/>
      <c r="F72" s="996"/>
      <c r="G72" s="996"/>
      <c r="H72" s="996"/>
      <c r="I72" s="996"/>
      <c r="J72" s="996"/>
      <c r="K72" s="996"/>
      <c r="L72" s="996"/>
      <c r="M72" s="996"/>
      <c r="N72" s="996"/>
      <c r="O72" s="996"/>
      <c r="P72" s="996"/>
      <c r="Q72" s="996"/>
      <c r="R72" s="996"/>
      <c r="S72" s="996"/>
      <c r="T72" s="996"/>
      <c r="U72" s="996"/>
      <c r="V72" s="996"/>
      <c r="W72" s="996"/>
      <c r="X72" s="996"/>
      <c r="Y72" s="996"/>
      <c r="Z72" s="996"/>
      <c r="AA72" s="996"/>
      <c r="AB72" s="996"/>
      <c r="AC72" s="996"/>
      <c r="AD72" s="996"/>
      <c r="AE72" s="996"/>
      <c r="AF72" s="996"/>
    </row>
    <row r="73" spans="1:32" ht="17.45">
      <c r="A73" s="996"/>
      <c r="B73" s="996"/>
      <c r="C73" s="996"/>
      <c r="D73" s="996"/>
      <c r="E73" s="996"/>
      <c r="F73" s="996"/>
      <c r="G73" s="996"/>
      <c r="H73" s="996"/>
      <c r="I73" s="996"/>
      <c r="J73" s="996"/>
      <c r="K73" s="996"/>
      <c r="L73" s="996"/>
      <c r="M73" s="996"/>
      <c r="N73" s="996"/>
      <c r="O73" s="996"/>
      <c r="P73" s="996"/>
      <c r="Q73" s="996"/>
      <c r="R73" s="996"/>
      <c r="S73" s="996"/>
      <c r="T73" s="996"/>
      <c r="U73" s="996"/>
      <c r="V73" s="996"/>
      <c r="W73" s="996"/>
      <c r="X73" s="996"/>
      <c r="Y73" s="996"/>
      <c r="Z73" s="996"/>
      <c r="AA73" s="996"/>
      <c r="AB73" s="996"/>
      <c r="AC73" s="996"/>
      <c r="AD73" s="996"/>
      <c r="AE73" s="996"/>
      <c r="AF73" s="996"/>
    </row>
    <row r="74" spans="1:32" ht="17.45">
      <c r="A74" s="996"/>
      <c r="B74" s="996"/>
      <c r="C74" s="996"/>
      <c r="D74" s="996"/>
      <c r="E74" s="996"/>
      <c r="F74" s="996"/>
      <c r="G74" s="996"/>
      <c r="H74" s="996"/>
      <c r="I74" s="996"/>
      <c r="J74" s="996"/>
      <c r="K74" s="996"/>
      <c r="L74" s="996"/>
      <c r="M74" s="996"/>
      <c r="N74" s="996"/>
      <c r="O74" s="996"/>
      <c r="P74" s="996"/>
      <c r="Q74" s="996"/>
      <c r="R74" s="996"/>
      <c r="S74" s="996"/>
      <c r="T74" s="996"/>
      <c r="U74" s="996"/>
      <c r="V74" s="996"/>
      <c r="W74" s="996"/>
      <c r="X74" s="996"/>
      <c r="Y74" s="996"/>
      <c r="Z74" s="996"/>
      <c r="AA74" s="996"/>
      <c r="AB74" s="996"/>
      <c r="AC74" s="996"/>
      <c r="AD74" s="996"/>
      <c r="AE74" s="996"/>
      <c r="AF74" s="996"/>
    </row>
    <row r="75" spans="1:32" ht="17.45">
      <c r="A75" s="996"/>
      <c r="B75" s="996"/>
      <c r="C75" s="996"/>
      <c r="D75" s="996"/>
      <c r="E75" s="996"/>
      <c r="F75" s="996"/>
      <c r="G75" s="996"/>
      <c r="H75" s="996"/>
      <c r="I75" s="996"/>
      <c r="J75" s="996"/>
      <c r="K75" s="996"/>
      <c r="L75" s="996"/>
      <c r="M75" s="996"/>
      <c r="N75" s="996"/>
      <c r="O75" s="996"/>
      <c r="P75" s="996"/>
      <c r="Q75" s="996"/>
      <c r="R75" s="996"/>
      <c r="S75" s="996"/>
      <c r="T75" s="996"/>
      <c r="U75" s="996"/>
      <c r="V75" s="996"/>
      <c r="W75" s="996"/>
      <c r="X75" s="996"/>
      <c r="Y75" s="996"/>
      <c r="Z75" s="996"/>
      <c r="AA75" s="996"/>
      <c r="AB75" s="996"/>
      <c r="AC75" s="996"/>
      <c r="AD75" s="996"/>
      <c r="AE75" s="996"/>
      <c r="AF75" s="996"/>
    </row>
    <row r="76" spans="1:32" ht="17.45">
      <c r="A76" s="996"/>
      <c r="B76" s="996"/>
      <c r="C76" s="996"/>
      <c r="D76" s="996"/>
      <c r="E76" s="996"/>
      <c r="F76" s="996"/>
      <c r="G76" s="996"/>
      <c r="H76" s="996"/>
      <c r="I76" s="996"/>
      <c r="J76" s="996"/>
      <c r="K76" s="996"/>
      <c r="L76" s="996"/>
      <c r="M76" s="996"/>
      <c r="N76" s="996"/>
      <c r="O76" s="996"/>
      <c r="P76" s="996"/>
      <c r="Q76" s="996"/>
      <c r="R76" s="996"/>
      <c r="S76" s="996"/>
      <c r="T76" s="996"/>
      <c r="U76" s="996"/>
      <c r="V76" s="996"/>
      <c r="W76" s="996"/>
      <c r="X76" s="996"/>
      <c r="Y76" s="996"/>
      <c r="Z76" s="996"/>
      <c r="AA76" s="996"/>
      <c r="AB76" s="996"/>
      <c r="AC76" s="996"/>
      <c r="AD76" s="996"/>
      <c r="AE76" s="996"/>
      <c r="AF76" s="996"/>
    </row>
    <row r="77" spans="1:32" ht="17.45">
      <c r="A77" s="996"/>
      <c r="B77" s="996"/>
      <c r="C77" s="996"/>
      <c r="D77" s="996"/>
      <c r="E77" s="996"/>
      <c r="F77" s="996"/>
      <c r="G77" s="996"/>
      <c r="H77" s="996"/>
      <c r="I77" s="996"/>
      <c r="J77" s="996"/>
      <c r="K77" s="996"/>
      <c r="L77" s="996"/>
      <c r="M77" s="996"/>
      <c r="N77" s="996"/>
      <c r="O77" s="996"/>
      <c r="P77" s="996"/>
      <c r="Q77" s="996"/>
      <c r="R77" s="996"/>
      <c r="S77" s="996"/>
      <c r="T77" s="996"/>
      <c r="U77" s="996"/>
      <c r="V77" s="996"/>
      <c r="W77" s="996"/>
      <c r="X77" s="996"/>
      <c r="Y77" s="996"/>
      <c r="Z77" s="996"/>
      <c r="AA77" s="996"/>
      <c r="AB77" s="996"/>
      <c r="AC77" s="996"/>
      <c r="AD77" s="996"/>
      <c r="AE77" s="996"/>
      <c r="AF77" s="996"/>
    </row>
    <row r="78" spans="1:32" ht="17.45">
      <c r="A78" s="996"/>
      <c r="B78" s="996"/>
      <c r="C78" s="996"/>
      <c r="D78" s="996"/>
      <c r="E78" s="996"/>
      <c r="F78" s="996"/>
      <c r="G78" s="996"/>
      <c r="H78" s="996"/>
      <c r="I78" s="996"/>
      <c r="J78" s="996"/>
      <c r="K78" s="996"/>
      <c r="L78" s="996"/>
      <c r="M78" s="996"/>
      <c r="N78" s="996"/>
      <c r="O78" s="996"/>
      <c r="P78" s="996"/>
      <c r="Q78" s="996"/>
      <c r="R78" s="996"/>
      <c r="S78" s="996"/>
      <c r="T78" s="996"/>
      <c r="U78" s="996"/>
      <c r="V78" s="996"/>
      <c r="W78" s="996"/>
      <c r="X78" s="996"/>
      <c r="Y78" s="996"/>
      <c r="Z78" s="996"/>
      <c r="AA78" s="996"/>
      <c r="AB78" s="996"/>
      <c r="AC78" s="996"/>
      <c r="AD78" s="996"/>
      <c r="AE78" s="996"/>
      <c r="AF78" s="996"/>
    </row>
    <row r="79" spans="1:32" ht="17.45">
      <c r="A79" s="996"/>
      <c r="B79" s="996"/>
      <c r="C79" s="996"/>
      <c r="D79" s="996"/>
      <c r="E79" s="996"/>
      <c r="F79" s="996"/>
      <c r="G79" s="996"/>
      <c r="H79" s="996"/>
      <c r="I79" s="996"/>
      <c r="J79" s="996"/>
      <c r="K79" s="996"/>
      <c r="L79" s="996"/>
      <c r="M79" s="996"/>
      <c r="N79" s="996"/>
      <c r="O79" s="996"/>
      <c r="P79" s="996"/>
      <c r="Q79" s="996"/>
      <c r="R79" s="996"/>
      <c r="S79" s="996"/>
      <c r="T79" s="996"/>
      <c r="U79" s="996"/>
      <c r="V79" s="996"/>
      <c r="W79" s="996"/>
      <c r="X79" s="996"/>
      <c r="Y79" s="996"/>
      <c r="Z79" s="996"/>
      <c r="AA79" s="996"/>
      <c r="AB79" s="996"/>
      <c r="AC79" s="996"/>
      <c r="AD79" s="996"/>
      <c r="AE79" s="996"/>
      <c r="AF79" s="996"/>
    </row>
    <row r="80" spans="1:32" ht="17.45">
      <c r="A80" s="996"/>
      <c r="B80" s="996"/>
      <c r="C80" s="996"/>
      <c r="D80" s="996"/>
      <c r="E80" s="996"/>
      <c r="F80" s="996"/>
      <c r="G80" s="996"/>
      <c r="H80" s="996"/>
      <c r="I80" s="996"/>
      <c r="J80" s="996"/>
      <c r="K80" s="996"/>
      <c r="L80" s="996"/>
      <c r="M80" s="996"/>
      <c r="N80" s="996"/>
      <c r="O80" s="996"/>
      <c r="P80" s="996"/>
      <c r="Q80" s="996"/>
      <c r="R80" s="996"/>
      <c r="S80" s="996"/>
      <c r="T80" s="996"/>
      <c r="U80" s="996"/>
      <c r="V80" s="996"/>
      <c r="W80" s="996"/>
      <c r="X80" s="996"/>
      <c r="Y80" s="996"/>
      <c r="Z80" s="996"/>
      <c r="AA80" s="996"/>
      <c r="AB80" s="996"/>
      <c r="AC80" s="996"/>
      <c r="AD80" s="996"/>
      <c r="AE80" s="996"/>
      <c r="AF80" s="996"/>
    </row>
    <row r="81" spans="1:32" ht="17.45">
      <c r="A81" s="996"/>
      <c r="B81" s="996"/>
      <c r="C81" s="996"/>
      <c r="D81" s="996"/>
      <c r="E81" s="996"/>
      <c r="F81" s="996"/>
      <c r="G81" s="996"/>
      <c r="H81" s="996"/>
      <c r="I81" s="996"/>
      <c r="J81" s="996"/>
      <c r="K81" s="996"/>
      <c r="L81" s="996"/>
      <c r="M81" s="996"/>
      <c r="N81" s="996"/>
      <c r="O81" s="996"/>
      <c r="P81" s="996"/>
      <c r="Q81" s="996"/>
      <c r="R81" s="996"/>
      <c r="S81" s="996"/>
      <c r="T81" s="996"/>
      <c r="U81" s="996"/>
      <c r="V81" s="996"/>
      <c r="W81" s="996"/>
      <c r="X81" s="996"/>
      <c r="Y81" s="996"/>
      <c r="Z81" s="996"/>
      <c r="AA81" s="996"/>
      <c r="AB81" s="996"/>
      <c r="AC81" s="996"/>
      <c r="AD81" s="996"/>
      <c r="AE81" s="996"/>
      <c r="AF81" s="996"/>
    </row>
    <row r="82" spans="1:32" ht="17.45">
      <c r="A82" s="996"/>
      <c r="B82" s="996"/>
      <c r="C82" s="996"/>
      <c r="D82" s="996"/>
      <c r="E82" s="996"/>
      <c r="F82" s="996"/>
      <c r="G82" s="996"/>
      <c r="H82" s="996"/>
      <c r="I82" s="996"/>
      <c r="J82" s="996"/>
      <c r="K82" s="996"/>
      <c r="L82" s="996"/>
      <c r="M82" s="996"/>
      <c r="N82" s="996"/>
      <c r="O82" s="996"/>
      <c r="P82" s="996"/>
      <c r="Q82" s="996"/>
      <c r="R82" s="996"/>
      <c r="S82" s="996"/>
      <c r="T82" s="996"/>
      <c r="U82" s="996"/>
      <c r="V82" s="996"/>
      <c r="W82" s="996"/>
      <c r="X82" s="996"/>
      <c r="Y82" s="996"/>
      <c r="Z82" s="996"/>
      <c r="AA82" s="996"/>
      <c r="AB82" s="996"/>
      <c r="AC82" s="996"/>
      <c r="AD82" s="996"/>
      <c r="AE82" s="996"/>
      <c r="AF82" s="996"/>
    </row>
    <row r="83" spans="1:32" ht="17.45">
      <c r="A83" s="996"/>
      <c r="B83" s="996"/>
      <c r="C83" s="996"/>
      <c r="D83" s="996"/>
      <c r="E83" s="996"/>
      <c r="F83" s="996"/>
      <c r="G83" s="996"/>
      <c r="H83" s="996"/>
      <c r="I83" s="996"/>
      <c r="J83" s="996"/>
      <c r="K83" s="996"/>
      <c r="L83" s="996"/>
      <c r="M83" s="996"/>
      <c r="N83" s="996"/>
      <c r="O83" s="996"/>
      <c r="P83" s="996"/>
      <c r="Q83" s="996"/>
      <c r="R83" s="996"/>
      <c r="S83" s="996"/>
      <c r="T83" s="996"/>
      <c r="U83" s="996"/>
      <c r="V83" s="996"/>
      <c r="W83" s="996"/>
      <c r="X83" s="996"/>
      <c r="Y83" s="996"/>
      <c r="Z83" s="996"/>
      <c r="AA83" s="996"/>
      <c r="AB83" s="996"/>
      <c r="AC83" s="996"/>
      <c r="AD83" s="996"/>
      <c r="AE83" s="996"/>
      <c r="AF83" s="996"/>
    </row>
    <row r="84" spans="1:32" ht="17.45">
      <c r="A84" s="996"/>
      <c r="B84" s="996"/>
      <c r="C84" s="996"/>
      <c r="D84" s="996"/>
      <c r="E84" s="996"/>
      <c r="F84" s="996"/>
      <c r="G84" s="996"/>
      <c r="H84" s="996"/>
      <c r="I84" s="996"/>
      <c r="J84" s="996"/>
      <c r="K84" s="996"/>
      <c r="L84" s="996"/>
      <c r="M84" s="996"/>
      <c r="N84" s="996"/>
      <c r="O84" s="996"/>
      <c r="P84" s="996"/>
      <c r="Q84" s="996"/>
      <c r="R84" s="996"/>
      <c r="S84" s="996"/>
      <c r="T84" s="996"/>
      <c r="U84" s="996"/>
      <c r="V84" s="996"/>
      <c r="W84" s="996"/>
      <c r="X84" s="996"/>
      <c r="Y84" s="996"/>
      <c r="Z84" s="996"/>
      <c r="AA84" s="996"/>
      <c r="AB84" s="996"/>
      <c r="AC84" s="996"/>
      <c r="AD84" s="996"/>
      <c r="AE84" s="996"/>
      <c r="AF84" s="996"/>
    </row>
    <row r="85" spans="1:32" ht="17.45">
      <c r="A85" s="996"/>
      <c r="B85" s="996"/>
      <c r="C85" s="996"/>
      <c r="D85" s="996"/>
      <c r="E85" s="996"/>
      <c r="F85" s="996"/>
      <c r="G85" s="996"/>
      <c r="H85" s="996"/>
      <c r="I85" s="996"/>
      <c r="J85" s="996"/>
      <c r="K85" s="996"/>
      <c r="L85" s="996"/>
      <c r="M85" s="996"/>
      <c r="N85" s="996"/>
      <c r="O85" s="996"/>
      <c r="P85" s="996"/>
      <c r="Q85" s="996"/>
      <c r="R85" s="996"/>
      <c r="S85" s="996"/>
      <c r="T85" s="996"/>
      <c r="U85" s="996"/>
      <c r="V85" s="996"/>
      <c r="W85" s="996"/>
      <c r="X85" s="996"/>
      <c r="Y85" s="996"/>
      <c r="Z85" s="996"/>
      <c r="AA85" s="996"/>
      <c r="AB85" s="996"/>
      <c r="AC85" s="996"/>
      <c r="AD85" s="996"/>
      <c r="AE85" s="996"/>
      <c r="AF85" s="996"/>
    </row>
    <row r="86" spans="1:32" ht="17.45">
      <c r="A86" s="996"/>
      <c r="B86" s="996"/>
      <c r="C86" s="996"/>
      <c r="D86" s="996"/>
      <c r="E86" s="996"/>
      <c r="F86" s="996"/>
      <c r="G86" s="996"/>
      <c r="H86" s="996"/>
      <c r="I86" s="996"/>
      <c r="J86" s="996"/>
      <c r="K86" s="996"/>
      <c r="L86" s="996"/>
      <c r="M86" s="996"/>
      <c r="N86" s="996"/>
      <c r="O86" s="996"/>
      <c r="P86" s="996"/>
      <c r="Q86" s="996"/>
      <c r="R86" s="996"/>
      <c r="S86" s="996"/>
      <c r="T86" s="996"/>
      <c r="U86" s="996"/>
      <c r="V86" s="996"/>
      <c r="W86" s="996"/>
      <c r="X86" s="996"/>
      <c r="Y86" s="996"/>
      <c r="Z86" s="996"/>
      <c r="AA86" s="996"/>
      <c r="AB86" s="996"/>
      <c r="AC86" s="996"/>
      <c r="AD86" s="996"/>
      <c r="AE86" s="996"/>
      <c r="AF86" s="996"/>
    </row>
    <row r="87" spans="1:32" ht="17.45">
      <c r="A87" s="996"/>
      <c r="B87" s="996"/>
      <c r="C87" s="996"/>
      <c r="D87" s="996"/>
      <c r="E87" s="996"/>
      <c r="F87" s="996"/>
      <c r="G87" s="996"/>
      <c r="H87" s="996"/>
      <c r="I87" s="996"/>
      <c r="J87" s="996"/>
      <c r="K87" s="996"/>
      <c r="L87" s="996"/>
      <c r="M87" s="996"/>
      <c r="N87" s="996"/>
      <c r="O87" s="996"/>
      <c r="P87" s="996"/>
      <c r="Q87" s="996"/>
      <c r="R87" s="996"/>
      <c r="S87" s="996"/>
      <c r="T87" s="996"/>
      <c r="U87" s="996"/>
      <c r="V87" s="996"/>
      <c r="W87" s="996"/>
      <c r="X87" s="996"/>
      <c r="Y87" s="996"/>
      <c r="Z87" s="996"/>
      <c r="AA87" s="996"/>
      <c r="AB87" s="996"/>
      <c r="AC87" s="996"/>
      <c r="AD87" s="996"/>
      <c r="AE87" s="996"/>
      <c r="AF87" s="996"/>
    </row>
    <row r="88" spans="1:32" ht="17.45">
      <c r="A88" s="996"/>
      <c r="B88" s="996"/>
      <c r="C88" s="996"/>
      <c r="D88" s="996"/>
      <c r="E88" s="996"/>
      <c r="F88" s="996"/>
      <c r="G88" s="996"/>
      <c r="H88" s="996"/>
      <c r="I88" s="996"/>
      <c r="J88" s="996"/>
      <c r="K88" s="996"/>
      <c r="L88" s="996"/>
      <c r="M88" s="996"/>
      <c r="N88" s="996"/>
      <c r="O88" s="996"/>
      <c r="P88" s="996"/>
      <c r="Q88" s="996"/>
      <c r="R88" s="996"/>
      <c r="S88" s="996"/>
      <c r="T88" s="996"/>
      <c r="U88" s="996"/>
      <c r="V88" s="996"/>
      <c r="W88" s="996"/>
      <c r="X88" s="996"/>
      <c r="Y88" s="996"/>
      <c r="Z88" s="996"/>
      <c r="AA88" s="996"/>
      <c r="AB88" s="996"/>
      <c r="AC88" s="996"/>
      <c r="AD88" s="996"/>
      <c r="AE88" s="996"/>
      <c r="AF88" s="99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0ADD-F413-4149-ACF3-56F00B45A5B4}">
  <dimension ref="A1:AF88"/>
  <sheetViews>
    <sheetView topLeftCell="B7" zoomScale="25" zoomScaleNormal="25" workbookViewId="0">
      <selection activeCell="D43" sqref="D43"/>
    </sheetView>
  </sheetViews>
  <sheetFormatPr defaultColWidth="8.7109375" defaultRowHeight="14.45"/>
  <cols>
    <col min="1" max="1" width="3" style="386" customWidth="1"/>
    <col min="2" max="2" width="19.42578125" style="386" customWidth="1"/>
    <col min="3" max="3" width="27" style="386" customWidth="1"/>
    <col min="4" max="9" width="23.7109375" style="386" customWidth="1"/>
    <col min="10" max="10" width="24.42578125" style="386" customWidth="1"/>
    <col min="11" max="11" width="1.7109375" style="386" customWidth="1"/>
    <col min="12" max="12" width="33" style="386" customWidth="1"/>
    <col min="13" max="14" width="23.28515625" style="386" customWidth="1"/>
    <col min="15" max="16384" width="8.7109375" style="386"/>
  </cols>
  <sheetData>
    <row r="1" spans="1:32" ht="23.25" customHeight="1">
      <c r="A1" s="1098"/>
      <c r="B1" s="1098"/>
      <c r="C1" s="385" t="s">
        <v>0</v>
      </c>
      <c r="D1" s="385">
        <v>89.03</v>
      </c>
      <c r="E1" s="1098"/>
      <c r="F1" s="1099"/>
      <c r="G1" s="1098"/>
      <c r="H1" s="1098"/>
      <c r="I1" s="1098"/>
      <c r="J1" s="1098"/>
      <c r="K1" s="1098"/>
      <c r="L1" s="1098"/>
      <c r="M1" s="1098"/>
      <c r="N1" s="1098"/>
      <c r="O1" s="1098"/>
      <c r="P1" s="1098"/>
      <c r="Q1" s="1098"/>
      <c r="R1" s="1098"/>
      <c r="S1" s="1098"/>
      <c r="T1" s="1098"/>
      <c r="U1" s="1098"/>
      <c r="V1" s="1098"/>
      <c r="W1" s="1098"/>
      <c r="X1" s="1098"/>
      <c r="Y1" s="1098"/>
      <c r="Z1" s="1098"/>
      <c r="AA1" s="1098"/>
      <c r="AB1" s="1098"/>
      <c r="AC1" s="1098"/>
      <c r="AD1" s="1098"/>
      <c r="AE1" s="1098"/>
      <c r="AF1" s="1098"/>
    </row>
    <row r="2" spans="1:32" ht="23.25" customHeight="1">
      <c r="A2" s="1098"/>
      <c r="B2" s="387" t="s">
        <v>304</v>
      </c>
      <c r="C2" s="1100" t="s">
        <v>1</v>
      </c>
      <c r="D2" s="1101">
        <f>J8+J16+J24+J32+J40+J48</f>
        <v>66.78</v>
      </c>
      <c r="E2" s="1102" t="s">
        <v>2</v>
      </c>
      <c r="F2" s="1103">
        <f>J9+J17+J25+J33+J41+J49</f>
        <v>0</v>
      </c>
      <c r="G2" s="1102" t="s">
        <v>3</v>
      </c>
      <c r="H2" s="1103">
        <f>J10+J18+J26+J34+J42+J50</f>
        <v>0</v>
      </c>
      <c r="I2" s="1104"/>
      <c r="J2" s="1105" t="s">
        <v>4</v>
      </c>
      <c r="K2" s="1106"/>
      <c r="L2" s="1105"/>
      <c r="M2" s="1098"/>
      <c r="N2" s="1098"/>
      <c r="O2" s="1098"/>
      <c r="P2" s="1098"/>
      <c r="Q2" s="1098"/>
      <c r="R2" s="1098"/>
      <c r="S2" s="1098"/>
      <c r="T2" s="1098"/>
      <c r="U2" s="1098"/>
      <c r="V2" s="1098"/>
      <c r="W2" s="1098"/>
      <c r="X2" s="1098"/>
      <c r="Y2" s="1098"/>
      <c r="Z2" s="1098"/>
      <c r="AA2" s="1098"/>
      <c r="AB2" s="1098"/>
      <c r="AC2" s="1098"/>
      <c r="AD2" s="1098"/>
      <c r="AE2" s="1098"/>
      <c r="AF2" s="1098"/>
    </row>
    <row r="3" spans="1:32" ht="23.25" customHeight="1">
      <c r="A3" s="1098"/>
      <c r="B3" s="1107" t="s">
        <v>5</v>
      </c>
      <c r="C3" s="388" t="s">
        <v>6</v>
      </c>
      <c r="D3" s="389" t="s">
        <v>7</v>
      </c>
      <c r="E3" s="390" t="s">
        <v>8</v>
      </c>
      <c r="F3" s="391" t="s">
        <v>9</v>
      </c>
      <c r="G3" s="389" t="s">
        <v>10</v>
      </c>
      <c r="H3" s="389" t="s">
        <v>11</v>
      </c>
      <c r="I3" s="392" t="s">
        <v>12</v>
      </c>
      <c r="J3" s="1105" t="s">
        <v>13</v>
      </c>
      <c r="K3" s="1108"/>
      <c r="L3" s="1105"/>
      <c r="M3" s="1098"/>
      <c r="N3" s="1098"/>
      <c r="O3" s="1098"/>
      <c r="P3" s="1098"/>
      <c r="Q3" s="1098"/>
      <c r="R3" s="1098"/>
      <c r="S3" s="1098"/>
      <c r="T3" s="1098"/>
      <c r="U3" s="1098"/>
      <c r="V3" s="1098"/>
      <c r="W3" s="1098"/>
      <c r="X3" s="1098"/>
      <c r="Y3" s="1098"/>
      <c r="Z3" s="1098"/>
      <c r="AA3" s="1098"/>
      <c r="AB3" s="1098"/>
      <c r="AC3" s="1098"/>
      <c r="AD3" s="1098"/>
      <c r="AE3" s="1098"/>
      <c r="AF3" s="1098"/>
    </row>
    <row r="4" spans="1:32" ht="23.25" customHeight="1">
      <c r="A4" s="1098"/>
      <c r="B4" s="1109" t="s">
        <v>14</v>
      </c>
      <c r="C4" s="1110">
        <v>1</v>
      </c>
      <c r="D4" s="1110">
        <v>2</v>
      </c>
      <c r="E4" s="1110">
        <v>3</v>
      </c>
      <c r="F4" s="1110">
        <v>4</v>
      </c>
      <c r="G4" s="1110">
        <v>5</v>
      </c>
      <c r="H4" s="1111">
        <v>6</v>
      </c>
      <c r="I4" s="1112">
        <v>7</v>
      </c>
      <c r="J4" s="1105" t="s">
        <v>15</v>
      </c>
      <c r="K4" s="1108"/>
      <c r="L4" s="1113"/>
      <c r="M4" s="1098"/>
      <c r="N4" s="1098"/>
      <c r="O4" s="1098"/>
      <c r="P4" s="1098"/>
      <c r="Q4" s="1098"/>
      <c r="R4" s="1098"/>
      <c r="S4" s="1098"/>
      <c r="T4" s="1098"/>
      <c r="U4" s="1098"/>
      <c r="V4" s="1098"/>
      <c r="W4" s="1098"/>
      <c r="X4" s="1098"/>
      <c r="Y4" s="1098"/>
      <c r="Z4" s="1098"/>
      <c r="AA4" s="1098"/>
      <c r="AB4" s="1098"/>
      <c r="AC4" s="1098"/>
      <c r="AD4" s="1098"/>
      <c r="AE4" s="1098"/>
      <c r="AF4" s="1098"/>
    </row>
    <row r="5" spans="1:32" ht="23.25" customHeight="1">
      <c r="A5" s="1098"/>
      <c r="B5" s="1114" t="s">
        <v>16</v>
      </c>
      <c r="C5" s="1115" t="s">
        <v>305</v>
      </c>
      <c r="D5" s="1116" t="s">
        <v>306</v>
      </c>
      <c r="E5" s="1117" t="s">
        <v>253</v>
      </c>
      <c r="F5" s="1118" t="s">
        <v>62</v>
      </c>
      <c r="G5" s="1118" t="s">
        <v>253</v>
      </c>
      <c r="H5" s="1118" t="s">
        <v>253</v>
      </c>
      <c r="I5" s="1119" t="s">
        <v>62</v>
      </c>
      <c r="J5" s="1105" t="s">
        <v>17</v>
      </c>
      <c r="K5" s="1108"/>
      <c r="L5" s="1120"/>
      <c r="M5" s="1098"/>
      <c r="N5" s="1098"/>
      <c r="O5" s="1098"/>
      <c r="P5" s="1098"/>
      <c r="Q5" s="1098"/>
      <c r="R5" s="1098"/>
      <c r="S5" s="1098"/>
      <c r="T5" s="1098"/>
      <c r="U5" s="1098"/>
      <c r="V5" s="1098"/>
      <c r="W5" s="1098"/>
      <c r="X5" s="1098"/>
      <c r="Y5" s="1098"/>
      <c r="Z5" s="1098"/>
      <c r="AA5" s="1098"/>
      <c r="AB5" s="1098"/>
      <c r="AC5" s="1098"/>
      <c r="AD5" s="1098"/>
      <c r="AE5" s="1098"/>
      <c r="AF5" s="1098"/>
    </row>
    <row r="6" spans="1:32" ht="23.25" customHeight="1">
      <c r="A6" s="1098"/>
      <c r="B6" s="1121" t="s">
        <v>18</v>
      </c>
      <c r="C6" s="1122">
        <v>0.39</v>
      </c>
      <c r="D6" s="1122">
        <v>0.49</v>
      </c>
      <c r="E6" s="1123">
        <v>0.59</v>
      </c>
      <c r="F6" s="1123">
        <v>0.68</v>
      </c>
      <c r="G6" s="1124">
        <v>0.76</v>
      </c>
      <c r="H6" s="1125">
        <v>0.84</v>
      </c>
      <c r="I6" s="1126">
        <v>0.9</v>
      </c>
      <c r="J6" s="1127"/>
      <c r="K6" s="1108"/>
      <c r="L6" s="1098"/>
      <c r="M6" s="1098"/>
      <c r="N6" s="1098"/>
      <c r="O6" s="1098"/>
      <c r="P6" s="1098"/>
      <c r="Q6" s="1098"/>
      <c r="R6" s="1098"/>
      <c r="S6" s="1098"/>
      <c r="T6" s="1098"/>
      <c r="U6" s="1098"/>
      <c r="V6" s="1098"/>
      <c r="W6" s="1098"/>
      <c r="X6" s="1098"/>
      <c r="Y6" s="1098"/>
      <c r="Z6" s="1098"/>
      <c r="AA6" s="1098"/>
      <c r="AB6" s="1098"/>
      <c r="AC6" s="1098"/>
      <c r="AD6" s="1098"/>
      <c r="AE6" s="1098"/>
      <c r="AF6" s="1098"/>
    </row>
    <row r="7" spans="1:32" ht="23.25" customHeight="1">
      <c r="A7" s="1098"/>
      <c r="B7" s="1114" t="s">
        <v>19</v>
      </c>
      <c r="C7" s="787" t="s">
        <v>253</v>
      </c>
      <c r="D7" s="772" t="s">
        <v>42</v>
      </c>
      <c r="E7" s="1128" t="s">
        <v>307</v>
      </c>
      <c r="F7" s="1129"/>
      <c r="G7" s="1129"/>
      <c r="H7" s="1129"/>
      <c r="I7" s="1130"/>
      <c r="J7" s="1131" t="s">
        <v>20</v>
      </c>
      <c r="K7" s="1108"/>
      <c r="L7" s="1132"/>
      <c r="M7" s="1098"/>
      <c r="N7" s="1098"/>
      <c r="O7" s="1098"/>
      <c r="P7" s="1098"/>
      <c r="Q7" s="1098"/>
      <c r="R7" s="1098"/>
      <c r="S7" s="1098"/>
      <c r="T7" s="1098"/>
      <c r="U7" s="1098"/>
      <c r="V7" s="1098"/>
      <c r="W7" s="1098"/>
      <c r="X7" s="1098"/>
      <c r="Y7" s="1098"/>
      <c r="Z7" s="1098"/>
      <c r="AA7" s="1098"/>
      <c r="AB7" s="1098"/>
      <c r="AC7" s="1098"/>
      <c r="AD7" s="1098"/>
      <c r="AE7" s="1098"/>
      <c r="AF7" s="1098"/>
    </row>
    <row r="8" spans="1:32" ht="23.25" customHeight="1">
      <c r="A8" s="1098"/>
      <c r="B8" s="1109" t="s">
        <v>21</v>
      </c>
      <c r="C8" s="1133">
        <v>2.4</v>
      </c>
      <c r="D8" s="1134">
        <v>2.2000000000000002</v>
      </c>
      <c r="E8" s="1135">
        <v>0.93</v>
      </c>
      <c r="F8" s="1134"/>
      <c r="G8" s="1134"/>
      <c r="H8" s="1134"/>
      <c r="I8" s="1136"/>
      <c r="J8" s="1137" cm="1">
        <f t="array" ref="J8">SUM(IF(ISNUMBER(C8:I8), C8:I8, 0))</f>
        <v>5.5299999999999994</v>
      </c>
      <c r="K8" s="1108"/>
      <c r="L8" s="1138" t="s">
        <v>22</v>
      </c>
      <c r="M8" s="1098"/>
      <c r="N8" s="1098"/>
      <c r="O8" s="1098"/>
      <c r="P8" s="1098"/>
      <c r="Q8" s="1098"/>
      <c r="R8" s="1098"/>
      <c r="S8" s="1098"/>
      <c r="T8" s="1098"/>
      <c r="U8" s="1098"/>
      <c r="V8" s="1098"/>
      <c r="W8" s="1098"/>
      <c r="X8" s="1098"/>
      <c r="Y8" s="1098"/>
      <c r="Z8" s="1098"/>
      <c r="AA8" s="1098"/>
      <c r="AB8" s="1098"/>
      <c r="AC8" s="1098"/>
      <c r="AD8" s="1098"/>
      <c r="AE8" s="1098"/>
      <c r="AF8" s="1098"/>
    </row>
    <row r="9" spans="1:32" ht="23.25" customHeight="1">
      <c r="A9" s="1098"/>
      <c r="B9" s="1109" t="s">
        <v>23</v>
      </c>
      <c r="C9" s="1139">
        <v>0</v>
      </c>
      <c r="D9" s="1140">
        <v>0</v>
      </c>
      <c r="E9" s="1141">
        <v>0</v>
      </c>
      <c r="F9" s="1140"/>
      <c r="G9" s="1140"/>
      <c r="H9" s="1140"/>
      <c r="I9" s="1104"/>
      <c r="J9" s="1137" cm="1">
        <f t="array" ref="J9">SUM(IF(ISNUMBER(B9:I9), B9:I9, 0))</f>
        <v>0</v>
      </c>
      <c r="K9" s="1108"/>
      <c r="L9" s="1138" t="s">
        <v>24</v>
      </c>
      <c r="M9" s="1098"/>
      <c r="N9" s="1098"/>
      <c r="O9" s="1098"/>
      <c r="P9" s="1098"/>
      <c r="Q9" s="1098"/>
      <c r="R9" s="1098"/>
      <c r="S9" s="1098"/>
      <c r="T9" s="1098"/>
      <c r="U9" s="1098"/>
      <c r="V9" s="1098"/>
      <c r="W9" s="1098"/>
      <c r="X9" s="1098"/>
      <c r="Y9" s="1098"/>
      <c r="Z9" s="1098"/>
      <c r="AA9" s="1098"/>
      <c r="AB9" s="1098"/>
      <c r="AC9" s="1098"/>
      <c r="AD9" s="1098"/>
      <c r="AE9" s="1098"/>
      <c r="AF9" s="1098"/>
    </row>
    <row r="10" spans="1:32" ht="23.25" customHeight="1">
      <c r="A10" s="1098"/>
      <c r="B10" s="1109" t="s">
        <v>25</v>
      </c>
      <c r="C10" s="1139">
        <v>0</v>
      </c>
      <c r="D10" s="1140">
        <v>0</v>
      </c>
      <c r="E10" s="1141">
        <v>0</v>
      </c>
      <c r="F10" s="1140"/>
      <c r="G10" s="1140"/>
      <c r="H10" s="1140"/>
      <c r="I10" s="1142"/>
      <c r="J10" s="1143" cm="1">
        <f t="array" ref="J10">SUM(IF(ISNUMBER(B10:I10), B10:I10, 0))</f>
        <v>0</v>
      </c>
      <c r="K10" s="1108"/>
      <c r="L10" s="1138" t="s">
        <v>26</v>
      </c>
      <c r="M10" s="1098"/>
      <c r="N10" s="1098"/>
      <c r="O10" s="1098"/>
      <c r="P10" s="1098"/>
      <c r="Q10" s="1098"/>
      <c r="R10" s="1098"/>
      <c r="S10" s="1098"/>
      <c r="T10" s="1098"/>
      <c r="U10" s="1098"/>
      <c r="V10" s="1098"/>
      <c r="W10" s="1098"/>
      <c r="X10" s="1098"/>
      <c r="Y10" s="1098"/>
      <c r="Z10" s="1098"/>
      <c r="AA10" s="1098"/>
      <c r="AB10" s="1098"/>
      <c r="AC10" s="1098"/>
      <c r="AD10" s="1098"/>
      <c r="AE10" s="1098"/>
      <c r="AF10" s="1098"/>
    </row>
    <row r="11" spans="1:32" ht="23.25" customHeight="1">
      <c r="A11" s="1098"/>
      <c r="B11" s="1144" t="s">
        <v>27</v>
      </c>
      <c r="C11" s="1145" t="s">
        <v>308</v>
      </c>
      <c r="D11" s="1146" t="s">
        <v>309</v>
      </c>
      <c r="E11" s="1147" t="s">
        <v>310</v>
      </c>
      <c r="F11" s="1148" t="s">
        <v>311</v>
      </c>
      <c r="G11" s="1149" t="s">
        <v>312</v>
      </c>
      <c r="H11" s="1150" t="s">
        <v>313</v>
      </c>
      <c r="I11" s="1151" t="s">
        <v>314</v>
      </c>
      <c r="J11" s="1143">
        <v>7.35</v>
      </c>
      <c r="K11" s="1108"/>
      <c r="L11" s="1138" t="s">
        <v>28</v>
      </c>
      <c r="M11" s="1098"/>
      <c r="N11" s="1098"/>
      <c r="O11" s="1098"/>
      <c r="P11" s="1098"/>
      <c r="Q11" s="1098"/>
      <c r="R11" s="1098"/>
      <c r="S11" s="1098"/>
      <c r="T11" s="1098"/>
      <c r="U11" s="1098"/>
      <c r="V11" s="1098"/>
      <c r="W11" s="1098"/>
      <c r="X11" s="1098"/>
      <c r="Y11" s="1098"/>
      <c r="Z11" s="1098"/>
      <c r="AA11" s="1098"/>
      <c r="AB11" s="1098"/>
      <c r="AC11" s="1098"/>
      <c r="AD11" s="1098"/>
      <c r="AE11" s="1098"/>
      <c r="AF11" s="1098"/>
    </row>
    <row r="12" spans="1:32" ht="23.25" customHeight="1">
      <c r="A12" s="1098"/>
      <c r="B12" s="1098" t="s">
        <v>4</v>
      </c>
      <c r="C12" s="1152">
        <v>8</v>
      </c>
      <c r="D12" s="1152">
        <v>9</v>
      </c>
      <c r="E12" s="1152">
        <v>10</v>
      </c>
      <c r="F12" s="1153">
        <v>11</v>
      </c>
      <c r="G12" s="1154">
        <v>12</v>
      </c>
      <c r="H12" s="1155">
        <v>13</v>
      </c>
      <c r="I12" s="1112">
        <v>14</v>
      </c>
      <c r="J12" s="1136"/>
      <c r="K12" s="1108"/>
      <c r="L12" s="1156"/>
      <c r="M12" s="1098"/>
      <c r="N12" s="1098"/>
      <c r="O12" s="1098"/>
      <c r="P12" s="1098"/>
      <c r="Q12" s="1098"/>
      <c r="R12" s="1098"/>
      <c r="S12" s="1098"/>
      <c r="T12" s="1098"/>
      <c r="U12" s="1098"/>
      <c r="V12" s="1098"/>
      <c r="W12" s="1098"/>
      <c r="X12" s="1098"/>
      <c r="Y12" s="1098"/>
      <c r="Z12" s="1098"/>
      <c r="AA12" s="1098"/>
      <c r="AB12" s="1098"/>
      <c r="AC12" s="1098"/>
      <c r="AD12" s="1098"/>
      <c r="AE12" s="1098"/>
      <c r="AF12" s="1098"/>
    </row>
    <row r="13" spans="1:32" ht="23.25" customHeight="1">
      <c r="A13" s="1098"/>
      <c r="B13" s="1098"/>
      <c r="C13" s="1157" t="s">
        <v>62</v>
      </c>
      <c r="D13" s="1158" t="s">
        <v>62</v>
      </c>
      <c r="E13" s="1159" t="s">
        <v>62</v>
      </c>
      <c r="F13" s="1158" t="s">
        <v>62</v>
      </c>
      <c r="G13" s="1160"/>
      <c r="H13" s="1161" t="s">
        <v>207</v>
      </c>
      <c r="I13" s="1162" t="s">
        <v>207</v>
      </c>
      <c r="J13" s="1136"/>
      <c r="K13" s="1108"/>
      <c r="L13" s="1156"/>
      <c r="M13" s="1098"/>
      <c r="N13" s="1098"/>
      <c r="O13" s="1098"/>
      <c r="P13" s="1098"/>
      <c r="Q13" s="1098"/>
      <c r="R13" s="1098"/>
      <c r="S13" s="1098"/>
      <c r="T13" s="1098"/>
      <c r="U13" s="1098"/>
      <c r="V13" s="1098"/>
      <c r="W13" s="1098"/>
      <c r="X13" s="1098"/>
      <c r="Y13" s="1098"/>
      <c r="Z13" s="1098"/>
      <c r="AA13" s="1098"/>
      <c r="AB13" s="1098"/>
      <c r="AC13" s="1098"/>
      <c r="AD13" s="1098"/>
      <c r="AE13" s="1098"/>
      <c r="AF13" s="1098"/>
    </row>
    <row r="14" spans="1:32" ht="23.25" customHeight="1">
      <c r="A14" s="1098"/>
      <c r="B14" s="1098"/>
      <c r="C14" s="1163">
        <v>0.95</v>
      </c>
      <c r="D14" s="1125">
        <v>0.98</v>
      </c>
      <c r="E14" s="1122">
        <v>1</v>
      </c>
      <c r="F14" s="1123">
        <v>0.99</v>
      </c>
      <c r="G14" s="1123">
        <v>0.97</v>
      </c>
      <c r="H14" s="1164">
        <v>0.93</v>
      </c>
      <c r="I14" s="1165">
        <v>0.87</v>
      </c>
      <c r="J14" s="1108"/>
      <c r="K14" s="1108"/>
      <c r="L14" s="1156"/>
      <c r="M14" s="1098"/>
      <c r="N14" s="1098"/>
      <c r="O14" s="1098"/>
      <c r="P14" s="1098"/>
      <c r="Q14" s="1098"/>
      <c r="R14" s="1098"/>
      <c r="S14" s="1098"/>
      <c r="T14" s="1098"/>
      <c r="U14" s="1098"/>
      <c r="V14" s="1098"/>
      <c r="W14" s="1098"/>
      <c r="X14" s="1098"/>
      <c r="Y14" s="1098"/>
      <c r="Z14" s="1098"/>
      <c r="AA14" s="1098"/>
      <c r="AB14" s="1098"/>
      <c r="AC14" s="1098"/>
      <c r="AD14" s="1098"/>
      <c r="AE14" s="1098"/>
      <c r="AF14" s="1098"/>
    </row>
    <row r="15" spans="1:32" ht="23.25" customHeight="1">
      <c r="A15" s="1098"/>
      <c r="B15" s="1098"/>
      <c r="C15" s="1166" t="s">
        <v>307</v>
      </c>
      <c r="D15" s="1167"/>
      <c r="E15" s="1167"/>
      <c r="F15" s="1168"/>
      <c r="G15" s="1160"/>
      <c r="H15" s="772" t="s">
        <v>42</v>
      </c>
      <c r="I15" s="1169" t="s">
        <v>42</v>
      </c>
      <c r="J15" s="1131" t="s">
        <v>29</v>
      </c>
      <c r="K15" s="1108"/>
      <c r="L15" s="1156"/>
      <c r="M15" s="1098"/>
      <c r="N15" s="1098"/>
      <c r="O15" s="1098"/>
      <c r="P15" s="1098"/>
      <c r="Q15" s="1098"/>
      <c r="R15" s="1098"/>
      <c r="S15" s="1098"/>
      <c r="T15" s="1098"/>
      <c r="U15" s="1098"/>
      <c r="V15" s="1098"/>
      <c r="W15" s="1098"/>
      <c r="X15" s="1098"/>
      <c r="Y15" s="1098"/>
      <c r="Z15" s="1098"/>
      <c r="AA15" s="1098"/>
      <c r="AB15" s="1098"/>
      <c r="AC15" s="1098"/>
      <c r="AD15" s="1098"/>
      <c r="AE15" s="1098"/>
      <c r="AF15" s="1098"/>
    </row>
    <row r="16" spans="1:32" ht="23.25" customHeight="1">
      <c r="A16" s="1098"/>
      <c r="B16" s="1098"/>
      <c r="C16" s="1139"/>
      <c r="D16" s="1140">
        <v>0</v>
      </c>
      <c r="E16" s="1140">
        <v>0</v>
      </c>
      <c r="F16" s="1140"/>
      <c r="G16" s="1140"/>
      <c r="H16" s="1140" t="s">
        <v>315</v>
      </c>
      <c r="I16" s="1104" t="s">
        <v>316</v>
      </c>
      <c r="J16" s="1137" cm="1">
        <f t="array" ref="J16">SUM(IF(ISNUMBER(B16:I16), B16:I16, 0))</f>
        <v>0</v>
      </c>
      <c r="K16" s="1108"/>
      <c r="L16" s="1170" t="s">
        <v>22</v>
      </c>
      <c r="M16" s="1098"/>
      <c r="N16" s="1098"/>
      <c r="O16" s="1098"/>
      <c r="P16" s="1098"/>
      <c r="Q16" s="1098"/>
      <c r="R16" s="1098"/>
      <c r="S16" s="1098"/>
      <c r="T16" s="1098"/>
      <c r="U16" s="1098"/>
      <c r="V16" s="1098"/>
      <c r="W16" s="1098"/>
      <c r="X16" s="1098"/>
      <c r="Y16" s="1098"/>
      <c r="Z16" s="1098"/>
      <c r="AA16" s="1098"/>
      <c r="AB16" s="1098"/>
      <c r="AC16" s="1098"/>
      <c r="AD16" s="1098"/>
      <c r="AE16" s="1098"/>
      <c r="AF16" s="1098"/>
    </row>
    <row r="17" spans="1:32" ht="23.25" customHeight="1">
      <c r="A17" s="1098"/>
      <c r="B17" s="1098"/>
      <c r="C17" s="1139"/>
      <c r="D17" s="1140"/>
      <c r="E17" s="1140"/>
      <c r="F17" s="1140"/>
      <c r="G17" s="1140"/>
      <c r="H17" s="1140"/>
      <c r="I17" s="1104"/>
      <c r="J17" s="1137" cm="1">
        <f t="array" ref="J17">SUM(IF(ISNUMBER(B17:I17), B17:I17, 0))</f>
        <v>0</v>
      </c>
      <c r="K17" s="1108"/>
      <c r="L17" s="1170" t="s">
        <v>24</v>
      </c>
      <c r="M17" s="1098"/>
      <c r="N17" s="1098"/>
      <c r="O17" s="1098"/>
      <c r="P17" s="1098"/>
      <c r="Q17" s="1098"/>
      <c r="R17" s="1098"/>
      <c r="S17" s="1098"/>
      <c r="T17" s="1098"/>
      <c r="U17" s="1098"/>
      <c r="V17" s="1098"/>
      <c r="W17" s="1098"/>
      <c r="X17" s="1098"/>
      <c r="Y17" s="1098"/>
      <c r="Z17" s="1098"/>
      <c r="AA17" s="1098"/>
      <c r="AB17" s="1098"/>
      <c r="AC17" s="1098"/>
      <c r="AD17" s="1098"/>
      <c r="AE17" s="1098"/>
      <c r="AF17" s="1098"/>
    </row>
    <row r="18" spans="1:32" ht="23.25" customHeight="1">
      <c r="A18" s="1098"/>
      <c r="B18" s="1098"/>
      <c r="C18" s="1139"/>
      <c r="D18" s="1140"/>
      <c r="E18" s="1140"/>
      <c r="F18" s="1140"/>
      <c r="G18" s="1140"/>
      <c r="H18" s="1140"/>
      <c r="I18" s="1104"/>
      <c r="J18" s="1143" cm="1">
        <f t="array" ref="J18">SUM(IF(ISNUMBER(B18:I18), B18:I18, 0))</f>
        <v>0</v>
      </c>
      <c r="K18" s="1108"/>
      <c r="L18" s="1170" t="s">
        <v>26</v>
      </c>
      <c r="M18" s="1098"/>
      <c r="N18" s="1098"/>
      <c r="O18" s="1098"/>
      <c r="P18" s="1098"/>
      <c r="Q18" s="1098"/>
      <c r="R18" s="1098"/>
      <c r="S18" s="1098"/>
      <c r="T18" s="1098"/>
      <c r="U18" s="1098"/>
      <c r="V18" s="1098"/>
      <c r="W18" s="1098"/>
      <c r="X18" s="1098"/>
      <c r="Y18" s="1098"/>
      <c r="Z18" s="1098"/>
      <c r="AA18" s="1098"/>
      <c r="AB18" s="1098"/>
      <c r="AC18" s="1098"/>
      <c r="AD18" s="1098"/>
      <c r="AE18" s="1098"/>
      <c r="AF18" s="1098"/>
    </row>
    <row r="19" spans="1:32" ht="23.25" customHeight="1">
      <c r="A19" s="1098"/>
      <c r="B19" s="1098"/>
      <c r="C19" s="1171" t="s">
        <v>317</v>
      </c>
      <c r="D19" s="1172" t="s">
        <v>318</v>
      </c>
      <c r="E19" s="1146" t="s">
        <v>319</v>
      </c>
      <c r="F19" s="1149" t="s">
        <v>320</v>
      </c>
      <c r="G19" s="1173" t="s">
        <v>321</v>
      </c>
      <c r="H19" s="1174" t="s">
        <v>322</v>
      </c>
      <c r="I19" s="1151" t="s">
        <v>323</v>
      </c>
      <c r="J19" s="1143">
        <v>5.25</v>
      </c>
      <c r="K19" s="1108"/>
      <c r="L19" s="1138" t="s">
        <v>28</v>
      </c>
      <c r="M19" s="1098"/>
      <c r="N19" s="1098"/>
      <c r="O19" s="1098"/>
      <c r="P19" s="1098"/>
      <c r="Q19" s="1098"/>
      <c r="R19" s="1098"/>
      <c r="S19" s="1098"/>
      <c r="T19" s="1098"/>
      <c r="U19" s="1098"/>
      <c r="V19" s="1098"/>
      <c r="W19" s="1098"/>
      <c r="X19" s="1098"/>
      <c r="Y19" s="1098"/>
      <c r="Z19" s="1098"/>
      <c r="AA19" s="1098"/>
      <c r="AB19" s="1098"/>
      <c r="AC19" s="1098"/>
      <c r="AD19" s="1098"/>
      <c r="AE19" s="1098"/>
      <c r="AF19" s="1098"/>
    </row>
    <row r="20" spans="1:32" ht="23.25" customHeight="1">
      <c r="A20" s="1098"/>
      <c r="B20" s="1098"/>
      <c r="C20" s="1175">
        <v>15</v>
      </c>
      <c r="D20" s="1175">
        <v>16</v>
      </c>
      <c r="E20" s="1176">
        <v>17</v>
      </c>
      <c r="F20" s="1177">
        <v>18</v>
      </c>
      <c r="G20" s="1178">
        <v>19</v>
      </c>
      <c r="H20" s="1178">
        <v>20</v>
      </c>
      <c r="I20" s="1179">
        <v>21</v>
      </c>
      <c r="J20" s="1136"/>
      <c r="K20" s="1108"/>
      <c r="L20" s="1156"/>
      <c r="M20" s="1098"/>
      <c r="N20" s="1098"/>
      <c r="O20" s="1098"/>
      <c r="P20" s="1098"/>
      <c r="Q20" s="1098"/>
      <c r="R20" s="1098"/>
      <c r="S20" s="1098"/>
      <c r="T20" s="1098"/>
      <c r="U20" s="1098"/>
      <c r="V20" s="1098"/>
      <c r="W20" s="1098"/>
      <c r="X20" s="1098"/>
      <c r="Y20" s="1098"/>
      <c r="Z20" s="1098"/>
      <c r="AA20" s="1098"/>
      <c r="AB20" s="1098"/>
      <c r="AC20" s="1098"/>
      <c r="AD20" s="1098"/>
      <c r="AE20" s="1098"/>
      <c r="AF20" s="1098"/>
    </row>
    <row r="21" spans="1:32" ht="23.25" customHeight="1">
      <c r="A21" s="1098"/>
      <c r="B21" s="1098"/>
      <c r="C21" s="1180" t="s">
        <v>305</v>
      </c>
      <c r="D21" s="1181" t="s">
        <v>50</v>
      </c>
      <c r="E21" s="1181" t="s">
        <v>50</v>
      </c>
      <c r="F21" s="1181" t="s">
        <v>50</v>
      </c>
      <c r="G21" s="1181" t="s">
        <v>50</v>
      </c>
      <c r="H21" s="772" t="s">
        <v>207</v>
      </c>
      <c r="I21" s="773" t="s">
        <v>324</v>
      </c>
      <c r="J21" s="1136"/>
      <c r="K21" s="1108"/>
      <c r="L21" s="1156"/>
      <c r="M21" s="1098"/>
      <c r="N21" s="1098"/>
      <c r="O21" s="1098"/>
      <c r="P21" s="1098"/>
      <c r="Q21" s="1098"/>
      <c r="R21" s="1098"/>
      <c r="S21" s="1098"/>
      <c r="T21" s="1098"/>
      <c r="U21" s="1098"/>
      <c r="V21" s="1098"/>
      <c r="W21" s="1098"/>
      <c r="X21" s="1098"/>
      <c r="Y21" s="1098"/>
      <c r="Z21" s="1098"/>
      <c r="AA21" s="1098"/>
      <c r="AB21" s="1098"/>
      <c r="AC21" s="1098"/>
      <c r="AD21" s="1098"/>
      <c r="AE21" s="1098"/>
      <c r="AF21" s="1098"/>
    </row>
    <row r="22" spans="1:32" ht="23.25" customHeight="1">
      <c r="A22" s="1098"/>
      <c r="B22" s="1098"/>
      <c r="C22" s="1182">
        <v>0.79</v>
      </c>
      <c r="D22" s="1123">
        <v>0.7</v>
      </c>
      <c r="E22" s="1123">
        <v>0.59</v>
      </c>
      <c r="F22" s="1123">
        <v>0.48</v>
      </c>
      <c r="G22" s="1124">
        <v>0.37</v>
      </c>
      <c r="H22" s="1125">
        <v>0.26</v>
      </c>
      <c r="I22" s="1126">
        <v>0.16</v>
      </c>
      <c r="J22" s="1108"/>
      <c r="K22" s="1108"/>
      <c r="L22" s="1156"/>
      <c r="M22" s="1098"/>
      <c r="N22" s="1098"/>
      <c r="O22" s="1098"/>
      <c r="P22" s="1098"/>
      <c r="Q22" s="1098"/>
      <c r="R22" s="1098"/>
      <c r="S22" s="1098"/>
      <c r="T22" s="1098"/>
      <c r="U22" s="1098"/>
      <c r="V22" s="1098"/>
      <c r="W22" s="1098"/>
      <c r="X22" s="1098"/>
      <c r="Y22" s="1098"/>
      <c r="Z22" s="1098"/>
      <c r="AA22" s="1098"/>
      <c r="AB22" s="1098"/>
      <c r="AC22" s="1098"/>
      <c r="AD22" s="1098"/>
      <c r="AE22" s="1098"/>
      <c r="AF22" s="1098"/>
    </row>
    <row r="23" spans="1:32" ht="23.25" customHeight="1">
      <c r="A23" s="1098"/>
      <c r="B23" s="1098"/>
      <c r="C23" s="1180" t="s">
        <v>62</v>
      </c>
      <c r="D23" s="1181" t="s">
        <v>62</v>
      </c>
      <c r="E23" s="1181" t="s">
        <v>62</v>
      </c>
      <c r="F23" s="1181" t="s">
        <v>62</v>
      </c>
      <c r="G23" s="1181" t="s">
        <v>253</v>
      </c>
      <c r="H23" s="1181" t="s">
        <v>253</v>
      </c>
      <c r="I23" s="773" t="s">
        <v>62</v>
      </c>
      <c r="J23" s="1183" t="s">
        <v>30</v>
      </c>
      <c r="K23" s="1108"/>
      <c r="L23" s="1156"/>
      <c r="M23" s="1098"/>
      <c r="N23" s="1098"/>
      <c r="O23" s="1098"/>
      <c r="P23" s="1098"/>
      <c r="Q23" s="1098"/>
      <c r="R23" s="1098"/>
      <c r="S23" s="1098"/>
      <c r="T23" s="1098"/>
      <c r="U23" s="1098"/>
      <c r="V23" s="1098"/>
      <c r="W23" s="1098"/>
      <c r="X23" s="1098"/>
      <c r="Y23" s="1098"/>
      <c r="Z23" s="1098"/>
      <c r="AA23" s="1098"/>
      <c r="AB23" s="1098"/>
      <c r="AC23" s="1098"/>
      <c r="AD23" s="1098"/>
      <c r="AE23" s="1098"/>
      <c r="AF23" s="1098"/>
    </row>
    <row r="24" spans="1:32" ht="23.25" customHeight="1">
      <c r="A24" s="1098"/>
      <c r="B24" s="1098"/>
      <c r="C24" s="1139" t="s">
        <v>325</v>
      </c>
      <c r="D24" s="1140">
        <v>2.67</v>
      </c>
      <c r="E24" s="1140" t="s">
        <v>326</v>
      </c>
      <c r="F24" s="1140">
        <v>3.75</v>
      </c>
      <c r="G24" s="1140">
        <v>5.12</v>
      </c>
      <c r="H24" s="1134">
        <v>4.75</v>
      </c>
      <c r="I24" s="1184" t="s">
        <v>327</v>
      </c>
      <c r="J24" s="1185" cm="1">
        <f t="array" ref="J24">SUM(IF(ISNUMBER(B24:I24), B24:I24, 0))</f>
        <v>16.29</v>
      </c>
      <c r="K24" s="1108"/>
      <c r="L24" s="1170" t="s">
        <v>22</v>
      </c>
      <c r="M24" s="1098"/>
      <c r="N24" s="1098"/>
      <c r="O24" s="1098"/>
      <c r="P24" s="1098"/>
      <c r="Q24" s="1098"/>
      <c r="R24" s="1098"/>
      <c r="S24" s="1098"/>
      <c r="T24" s="1098"/>
      <c r="U24" s="1098"/>
      <c r="V24" s="1098"/>
      <c r="W24" s="1098"/>
      <c r="X24" s="1098"/>
      <c r="Y24" s="1098"/>
      <c r="Z24" s="1098"/>
      <c r="AA24" s="1098"/>
      <c r="AB24" s="1098"/>
      <c r="AC24" s="1098"/>
      <c r="AD24" s="1098"/>
      <c r="AE24" s="1098"/>
      <c r="AF24" s="1098"/>
    </row>
    <row r="25" spans="1:32" ht="23.25" customHeight="1">
      <c r="A25" s="1098"/>
      <c r="B25" s="1098"/>
      <c r="C25" s="1139">
        <v>0</v>
      </c>
      <c r="D25" s="1140">
        <v>0</v>
      </c>
      <c r="E25" s="1140">
        <v>0</v>
      </c>
      <c r="F25" s="1140">
        <v>0</v>
      </c>
      <c r="G25" s="1140">
        <v>0</v>
      </c>
      <c r="H25" s="1134">
        <v>0</v>
      </c>
      <c r="I25" s="1184"/>
      <c r="J25" s="1185" cm="1">
        <f t="array" ref="J25">SUM(IF(ISNUMBER(B25:I25), B25:I25, 0))</f>
        <v>0</v>
      </c>
      <c r="K25" s="1108"/>
      <c r="L25" s="1170" t="s">
        <v>24</v>
      </c>
      <c r="M25" s="1098"/>
      <c r="N25" s="1098"/>
      <c r="O25" s="1098"/>
      <c r="P25" s="1098"/>
      <c r="Q25" s="1098"/>
      <c r="R25" s="1098"/>
      <c r="S25" s="1098"/>
      <c r="T25" s="1098"/>
      <c r="U25" s="1098"/>
      <c r="V25" s="1098"/>
      <c r="W25" s="1098"/>
      <c r="X25" s="1098"/>
      <c r="Y25" s="1098"/>
      <c r="Z25" s="1098"/>
      <c r="AA25" s="1098"/>
      <c r="AB25" s="1098"/>
      <c r="AC25" s="1098"/>
      <c r="AD25" s="1098"/>
      <c r="AE25" s="1098"/>
      <c r="AF25" s="1098"/>
    </row>
    <row r="26" spans="1:32" ht="23.25" customHeight="1">
      <c r="A26" s="1098"/>
      <c r="B26" s="1098"/>
      <c r="C26" s="1139">
        <v>0</v>
      </c>
      <c r="D26" s="1140">
        <v>0</v>
      </c>
      <c r="E26" s="1140">
        <v>0</v>
      </c>
      <c r="F26" s="1140">
        <v>0</v>
      </c>
      <c r="G26" s="1140">
        <v>0</v>
      </c>
      <c r="H26" s="1134">
        <v>0</v>
      </c>
      <c r="I26" s="1184"/>
      <c r="J26" s="1186" cm="1">
        <f t="array" ref="J26">SUM(IF(ISNUMBER(B26:I26), B26:I26, 0))</f>
        <v>0</v>
      </c>
      <c r="K26" s="1108"/>
      <c r="L26" s="1170" t="s">
        <v>26</v>
      </c>
      <c r="M26" s="1098"/>
      <c r="N26" s="1098"/>
      <c r="O26" s="1098"/>
      <c r="P26" s="1098"/>
      <c r="Q26" s="1098"/>
      <c r="R26" s="1098"/>
      <c r="S26" s="1098"/>
      <c r="T26" s="1098"/>
      <c r="U26" s="1098"/>
      <c r="V26" s="1098"/>
      <c r="W26" s="1098"/>
      <c r="X26" s="1098"/>
      <c r="Y26" s="1098"/>
      <c r="Z26" s="1098"/>
      <c r="AA26" s="1098"/>
      <c r="AB26" s="1098"/>
      <c r="AC26" s="1098"/>
      <c r="AD26" s="1098"/>
      <c r="AE26" s="1098"/>
      <c r="AF26" s="1098"/>
    </row>
    <row r="27" spans="1:32" ht="23.25" customHeight="1">
      <c r="A27" s="1098"/>
      <c r="B27" s="1098"/>
      <c r="C27" s="1187" t="s">
        <v>323</v>
      </c>
      <c r="D27" s="1146" t="s">
        <v>328</v>
      </c>
      <c r="E27" s="1146" t="s">
        <v>328</v>
      </c>
      <c r="F27" s="1188" t="s">
        <v>328</v>
      </c>
      <c r="G27" s="1146" t="s">
        <v>329</v>
      </c>
      <c r="H27" s="1146" t="s">
        <v>329</v>
      </c>
      <c r="I27" s="1189" t="s">
        <v>329</v>
      </c>
      <c r="J27" s="1143">
        <v>36.6</v>
      </c>
      <c r="K27" s="1108"/>
      <c r="L27" s="1138" t="s">
        <v>28</v>
      </c>
      <c r="M27" s="1098"/>
      <c r="N27" s="1098"/>
      <c r="O27" s="1098"/>
      <c r="P27" s="1098"/>
      <c r="Q27" s="1098"/>
      <c r="R27" s="1098"/>
      <c r="S27" s="1098"/>
      <c r="T27" s="1098"/>
      <c r="U27" s="1098"/>
      <c r="V27" s="1098"/>
      <c r="W27" s="1098"/>
      <c r="X27" s="1098"/>
      <c r="Y27" s="1098"/>
      <c r="Z27" s="1098"/>
      <c r="AA27" s="1098"/>
      <c r="AB27" s="1098"/>
      <c r="AC27" s="1098"/>
      <c r="AD27" s="1098"/>
      <c r="AE27" s="1098"/>
      <c r="AF27" s="1098"/>
    </row>
    <row r="28" spans="1:32" ht="23.25" customHeight="1">
      <c r="A28" s="1098"/>
      <c r="B28" s="1098"/>
      <c r="C28" s="1152">
        <v>22</v>
      </c>
      <c r="D28" s="1152">
        <v>23</v>
      </c>
      <c r="E28" s="1152">
        <v>24</v>
      </c>
      <c r="F28" s="1152">
        <v>25</v>
      </c>
      <c r="G28" s="1152">
        <v>26</v>
      </c>
      <c r="H28" s="1152">
        <v>27</v>
      </c>
      <c r="I28" s="1152">
        <v>28</v>
      </c>
      <c r="J28" s="1190"/>
      <c r="K28" s="1108"/>
      <c r="L28" s="1156"/>
      <c r="M28" s="1098"/>
      <c r="N28" s="1098"/>
      <c r="O28" s="1098"/>
      <c r="P28" s="1098"/>
      <c r="Q28" s="1098"/>
      <c r="R28" s="1098"/>
      <c r="S28" s="1098"/>
      <c r="T28" s="1098"/>
      <c r="U28" s="1098"/>
      <c r="V28" s="1098"/>
      <c r="W28" s="1098"/>
      <c r="X28" s="1098"/>
      <c r="Y28" s="1098"/>
      <c r="Z28" s="1098"/>
      <c r="AA28" s="1098"/>
      <c r="AB28" s="1098"/>
      <c r="AC28" s="1098"/>
      <c r="AD28" s="1098"/>
      <c r="AE28" s="1098"/>
      <c r="AF28" s="1098"/>
    </row>
    <row r="29" spans="1:32" ht="23.25" customHeight="1">
      <c r="A29" s="1098"/>
      <c r="B29" s="1098"/>
      <c r="C29" s="1115" t="s">
        <v>50</v>
      </c>
      <c r="D29" s="1116" t="s">
        <v>50</v>
      </c>
      <c r="E29" s="1191" t="s">
        <v>50</v>
      </c>
      <c r="F29" s="1192" t="s">
        <v>50</v>
      </c>
      <c r="G29" s="1116" t="s">
        <v>330</v>
      </c>
      <c r="H29" s="1116" t="s">
        <v>331</v>
      </c>
      <c r="I29" s="1193" t="s">
        <v>330</v>
      </c>
      <c r="J29" s="1136"/>
      <c r="K29" s="1108"/>
      <c r="L29" s="1156"/>
      <c r="M29" s="1098"/>
      <c r="N29" s="1098"/>
      <c r="O29" s="1098"/>
      <c r="P29" s="1098"/>
      <c r="Q29" s="1098"/>
      <c r="R29" s="1098"/>
      <c r="S29" s="1098"/>
      <c r="T29" s="1098"/>
      <c r="U29" s="1098"/>
      <c r="V29" s="1098"/>
      <c r="W29" s="1098"/>
      <c r="X29" s="1098"/>
      <c r="Y29" s="1098"/>
      <c r="Z29" s="1098"/>
      <c r="AA29" s="1098"/>
      <c r="AB29" s="1098"/>
      <c r="AC29" s="1098"/>
      <c r="AD29" s="1098"/>
      <c r="AE29" s="1098"/>
      <c r="AF29" s="1098"/>
    </row>
    <row r="30" spans="1:32" ht="23.25" customHeight="1">
      <c r="A30" s="1098"/>
      <c r="B30" s="1098"/>
      <c r="C30" s="1182">
        <v>0.08</v>
      </c>
      <c r="D30" s="1123">
        <v>0.03</v>
      </c>
      <c r="E30" s="1123">
        <v>0</v>
      </c>
      <c r="F30" s="1123">
        <v>0.01</v>
      </c>
      <c r="G30" s="1123">
        <v>0.03</v>
      </c>
      <c r="H30" s="1123">
        <v>0.09</v>
      </c>
      <c r="I30" s="1126">
        <v>0.16</v>
      </c>
      <c r="J30" s="1108"/>
      <c r="K30" s="1108"/>
      <c r="L30" s="1156"/>
      <c r="M30" s="1098"/>
      <c r="N30" s="1098"/>
      <c r="O30" s="1098"/>
      <c r="P30" s="1098"/>
      <c r="Q30" s="1098"/>
      <c r="R30" s="1098"/>
      <c r="S30" s="1098"/>
      <c r="T30" s="1098"/>
      <c r="U30" s="1098"/>
      <c r="V30" s="1098"/>
      <c r="W30" s="1098"/>
      <c r="X30" s="1098"/>
      <c r="Y30" s="1098"/>
      <c r="Z30" s="1098"/>
      <c r="AA30" s="1098"/>
      <c r="AB30" s="1098"/>
      <c r="AC30" s="1098"/>
      <c r="AD30" s="1098"/>
      <c r="AE30" s="1098"/>
      <c r="AF30" s="1098"/>
    </row>
    <row r="31" spans="1:32" ht="23.25" customHeight="1">
      <c r="A31" s="1098"/>
      <c r="B31" s="1098"/>
      <c r="C31" s="787" t="s">
        <v>42</v>
      </c>
      <c r="D31" s="1181" t="s">
        <v>42</v>
      </c>
      <c r="E31" s="1181" t="s">
        <v>42</v>
      </c>
      <c r="F31" s="772" t="s">
        <v>42</v>
      </c>
      <c r="G31" s="772" t="s">
        <v>253</v>
      </c>
      <c r="H31" s="772" t="s">
        <v>253</v>
      </c>
      <c r="I31" s="773" t="s">
        <v>253</v>
      </c>
      <c r="J31" s="1183" t="s">
        <v>31</v>
      </c>
      <c r="K31" s="1108"/>
      <c r="L31" s="1156"/>
      <c r="M31" s="1098"/>
      <c r="N31" s="1098"/>
      <c r="O31" s="1098"/>
      <c r="P31" s="1098"/>
      <c r="Q31" s="1098"/>
      <c r="R31" s="1098"/>
      <c r="S31" s="1098"/>
      <c r="T31" s="1098"/>
      <c r="U31" s="1098"/>
      <c r="V31" s="1098"/>
      <c r="W31" s="1098"/>
      <c r="X31" s="1098"/>
      <c r="Y31" s="1098"/>
      <c r="Z31" s="1098"/>
      <c r="AA31" s="1098"/>
      <c r="AB31" s="1098"/>
      <c r="AC31" s="1098"/>
      <c r="AD31" s="1098"/>
      <c r="AE31" s="1098"/>
      <c r="AF31" s="1098"/>
    </row>
    <row r="32" spans="1:32" ht="23.25" customHeight="1">
      <c r="A32" s="1098"/>
      <c r="B32" s="1098"/>
      <c r="C32" s="1139">
        <v>5.23</v>
      </c>
      <c r="D32" s="1140">
        <v>3.63</v>
      </c>
      <c r="E32" s="1140">
        <v>6</v>
      </c>
      <c r="F32" s="1140">
        <v>6.1</v>
      </c>
      <c r="G32" s="1140">
        <v>5.2</v>
      </c>
      <c r="H32" s="1140">
        <v>5.4</v>
      </c>
      <c r="I32" s="1194">
        <v>4.9000000000000004</v>
      </c>
      <c r="J32" s="1185" cm="1">
        <f t="array" ref="J32">SUM(IF(ISNUMBER(B32:I32), B32:I32, 0))</f>
        <v>36.46</v>
      </c>
      <c r="K32" s="1108"/>
      <c r="L32" s="1170" t="s">
        <v>22</v>
      </c>
      <c r="M32" s="1098"/>
      <c r="N32" s="1098"/>
      <c r="O32" s="1098"/>
      <c r="P32" s="1098"/>
      <c r="Q32" s="1098"/>
      <c r="R32" s="1098"/>
      <c r="S32" s="1098"/>
      <c r="T32" s="1098"/>
      <c r="U32" s="1098"/>
      <c r="V32" s="1098"/>
      <c r="W32" s="1098"/>
      <c r="X32" s="1098"/>
      <c r="Y32" s="1098"/>
      <c r="Z32" s="1098"/>
      <c r="AA32" s="1098"/>
      <c r="AB32" s="1098"/>
      <c r="AC32" s="1098"/>
      <c r="AD32" s="1098"/>
      <c r="AE32" s="1098"/>
      <c r="AF32" s="1098"/>
    </row>
    <row r="33" spans="1:32" ht="23.25" customHeight="1">
      <c r="A33" s="1098"/>
      <c r="B33" s="1098"/>
      <c r="C33" s="1139">
        <v>0</v>
      </c>
      <c r="D33" s="1140">
        <v>0</v>
      </c>
      <c r="E33" s="1140">
        <v>0</v>
      </c>
      <c r="F33" s="1140">
        <v>0</v>
      </c>
      <c r="G33" s="1104">
        <v>0</v>
      </c>
      <c r="H33" s="1140">
        <v>0</v>
      </c>
      <c r="I33" s="1194">
        <v>0</v>
      </c>
      <c r="J33" s="1185" cm="1">
        <f t="array" ref="J33">SUM(IF(ISNUMBER(B33:I33), B33:I33, 0))</f>
        <v>0</v>
      </c>
      <c r="K33" s="1108"/>
      <c r="L33" s="1170" t="s">
        <v>24</v>
      </c>
      <c r="M33" s="1098"/>
      <c r="N33" s="1098"/>
      <c r="O33" s="1098"/>
      <c r="P33" s="1098"/>
      <c r="Q33" s="1098"/>
      <c r="R33" s="1098"/>
      <c r="S33" s="1098"/>
      <c r="T33" s="1098"/>
      <c r="U33" s="1098"/>
      <c r="V33" s="1098"/>
      <c r="W33" s="1098"/>
      <c r="X33" s="1098"/>
      <c r="Y33" s="1098"/>
      <c r="Z33" s="1098"/>
      <c r="AA33" s="1098"/>
      <c r="AB33" s="1098"/>
      <c r="AC33" s="1098"/>
      <c r="AD33" s="1098"/>
      <c r="AE33" s="1098"/>
      <c r="AF33" s="1098"/>
    </row>
    <row r="34" spans="1:32" ht="23.25" customHeight="1">
      <c r="A34" s="1098"/>
      <c r="B34" s="1098"/>
      <c r="C34" s="1139">
        <v>0</v>
      </c>
      <c r="D34" s="1140">
        <v>0</v>
      </c>
      <c r="E34" s="1140">
        <v>0</v>
      </c>
      <c r="F34" s="1140">
        <v>0</v>
      </c>
      <c r="G34" s="1140">
        <v>0</v>
      </c>
      <c r="H34" s="1140">
        <v>0</v>
      </c>
      <c r="I34" s="1194">
        <v>0</v>
      </c>
      <c r="J34" s="1186" cm="1">
        <f t="array" ref="J34">SUM(IF(ISNUMBER(B34:I34), B34:I34, 0))</f>
        <v>0</v>
      </c>
      <c r="K34" s="1108"/>
      <c r="L34" s="1170" t="s">
        <v>26</v>
      </c>
      <c r="M34" s="1098"/>
      <c r="N34" s="1098"/>
      <c r="O34" s="1098"/>
      <c r="P34" s="1098"/>
      <c r="Q34" s="1098"/>
      <c r="R34" s="1098"/>
      <c r="S34" s="1098"/>
      <c r="T34" s="1098"/>
      <c r="U34" s="1098"/>
      <c r="V34" s="1098"/>
      <c r="W34" s="1098"/>
      <c r="X34" s="1098"/>
      <c r="Y34" s="1098"/>
      <c r="Z34" s="1098"/>
      <c r="AA34" s="1098"/>
      <c r="AB34" s="1098"/>
      <c r="AC34" s="1098"/>
      <c r="AD34" s="1098"/>
      <c r="AE34" s="1098"/>
      <c r="AF34" s="1098"/>
    </row>
    <row r="35" spans="1:32" ht="23.25" customHeight="1">
      <c r="A35" s="1098"/>
      <c r="B35" s="1098"/>
      <c r="C35" s="1171" t="s">
        <v>332</v>
      </c>
      <c r="D35" s="1146" t="s">
        <v>332</v>
      </c>
      <c r="E35" s="1146" t="s">
        <v>332</v>
      </c>
      <c r="F35" s="1146" t="s">
        <v>333</v>
      </c>
      <c r="G35" s="1146" t="s">
        <v>334</v>
      </c>
      <c r="H35" s="1146" t="s">
        <v>335</v>
      </c>
      <c r="I35" s="1195" t="s">
        <v>336</v>
      </c>
      <c r="J35" s="1143">
        <v>34.75</v>
      </c>
      <c r="K35" s="1108"/>
      <c r="L35" s="1138" t="s">
        <v>28</v>
      </c>
      <c r="M35" s="1098"/>
      <c r="N35" s="1098"/>
      <c r="O35" s="1098"/>
      <c r="P35" s="1098"/>
      <c r="Q35" s="1098"/>
      <c r="R35" s="1098"/>
      <c r="S35" s="1098"/>
      <c r="T35" s="1098"/>
      <c r="U35" s="1098"/>
      <c r="V35" s="1098"/>
      <c r="W35" s="1098"/>
      <c r="X35" s="1098"/>
      <c r="Y35" s="1098"/>
      <c r="Z35" s="1098"/>
      <c r="AA35" s="1098"/>
      <c r="AB35" s="1098"/>
      <c r="AC35" s="1098"/>
      <c r="AD35" s="1098"/>
      <c r="AE35" s="1098"/>
      <c r="AF35" s="1098"/>
    </row>
    <row r="36" spans="1:32" ht="23.25" customHeight="1">
      <c r="A36" s="1098"/>
      <c r="B36" s="1098"/>
      <c r="C36" s="1152">
        <v>29</v>
      </c>
      <c r="D36" s="1152">
        <v>30</v>
      </c>
      <c r="E36" s="1152"/>
      <c r="F36" s="1152"/>
      <c r="G36" s="1152"/>
      <c r="H36" s="1152"/>
      <c r="I36" s="1152"/>
      <c r="J36" s="1190"/>
      <c r="K36" s="1108"/>
      <c r="L36" s="1156"/>
      <c r="M36" s="1098"/>
      <c r="N36" s="1098"/>
      <c r="O36" s="1098"/>
      <c r="P36" s="1098"/>
      <c r="Q36" s="1098"/>
      <c r="R36" s="1098"/>
      <c r="S36" s="1098"/>
      <c r="T36" s="1098"/>
      <c r="U36" s="1098"/>
      <c r="V36" s="1098"/>
      <c r="W36" s="1098"/>
      <c r="X36" s="1098"/>
      <c r="Y36" s="1098"/>
      <c r="Z36" s="1098"/>
      <c r="AA36" s="1098"/>
      <c r="AB36" s="1098"/>
      <c r="AC36" s="1098"/>
      <c r="AD36" s="1098"/>
      <c r="AE36" s="1098"/>
      <c r="AF36" s="1098"/>
    </row>
    <row r="37" spans="1:32" ht="23.25" customHeight="1">
      <c r="A37" s="1098"/>
      <c r="B37" s="1098"/>
      <c r="C37" s="1196" t="s">
        <v>184</v>
      </c>
      <c r="D37" s="1197" t="s">
        <v>184</v>
      </c>
      <c r="E37" s="1197"/>
      <c r="F37" s="1197"/>
      <c r="G37" s="1197"/>
      <c r="H37" s="1197"/>
      <c r="I37" s="1193"/>
      <c r="J37" s="1136"/>
      <c r="K37" s="1108"/>
      <c r="L37" s="1156"/>
      <c r="M37" s="1098"/>
      <c r="N37" s="1098"/>
      <c r="O37" s="1098"/>
      <c r="P37" s="1098"/>
      <c r="Q37" s="1098"/>
      <c r="R37" s="1098"/>
      <c r="S37" s="1098"/>
      <c r="T37" s="1098"/>
      <c r="U37" s="1098"/>
      <c r="V37" s="1098"/>
      <c r="W37" s="1098"/>
      <c r="X37" s="1098"/>
      <c r="Y37" s="1098"/>
      <c r="Z37" s="1098"/>
      <c r="AA37" s="1098"/>
      <c r="AB37" s="1098"/>
      <c r="AC37" s="1098"/>
      <c r="AD37" s="1098"/>
      <c r="AE37" s="1098"/>
      <c r="AF37" s="1098"/>
    </row>
    <row r="38" spans="1:32" ht="23.25" customHeight="1">
      <c r="A38" s="1098"/>
      <c r="B38" s="1098"/>
      <c r="C38" s="1182">
        <v>0.24</v>
      </c>
      <c r="D38" s="1123">
        <v>0.33</v>
      </c>
      <c r="E38" s="1123"/>
      <c r="F38" s="1123"/>
      <c r="G38" s="1123"/>
      <c r="H38" s="1123"/>
      <c r="I38" s="1126"/>
      <c r="J38" s="1108"/>
      <c r="K38" s="1108"/>
      <c r="L38" s="1156"/>
      <c r="M38" s="1098"/>
      <c r="N38" s="1098"/>
      <c r="O38" s="1098"/>
      <c r="P38" s="1098"/>
      <c r="Q38" s="1098"/>
      <c r="R38" s="1098"/>
      <c r="S38" s="1098"/>
      <c r="T38" s="1098"/>
      <c r="U38" s="1098"/>
      <c r="V38" s="1098"/>
      <c r="W38" s="1098"/>
      <c r="X38" s="1098"/>
      <c r="Y38" s="1098"/>
      <c r="Z38" s="1098"/>
      <c r="AA38" s="1098"/>
      <c r="AB38" s="1098"/>
      <c r="AC38" s="1098"/>
      <c r="AD38" s="1098"/>
      <c r="AE38" s="1098"/>
      <c r="AF38" s="1098"/>
    </row>
    <row r="39" spans="1:32" ht="23.25" customHeight="1">
      <c r="A39" s="1098"/>
      <c r="B39" s="1098"/>
      <c r="C39" s="787" t="s">
        <v>253</v>
      </c>
      <c r="D39" s="772" t="s">
        <v>253</v>
      </c>
      <c r="E39" s="772"/>
      <c r="F39" s="772"/>
      <c r="G39" s="772"/>
      <c r="H39" s="772"/>
      <c r="I39" s="750"/>
      <c r="J39" s="1131" t="s">
        <v>32</v>
      </c>
      <c r="K39" s="1108"/>
      <c r="L39" s="1156"/>
      <c r="M39" s="1098"/>
      <c r="N39" s="1098"/>
      <c r="O39" s="1098"/>
      <c r="P39" s="1098"/>
      <c r="Q39" s="1098"/>
      <c r="R39" s="1098"/>
      <c r="S39" s="1098"/>
      <c r="T39" s="1098"/>
      <c r="U39" s="1098"/>
      <c r="V39" s="1098"/>
      <c r="W39" s="1098"/>
      <c r="X39" s="1098"/>
      <c r="Y39" s="1098"/>
      <c r="Z39" s="1098"/>
      <c r="AA39" s="1098"/>
      <c r="AB39" s="1098"/>
      <c r="AC39" s="1098"/>
      <c r="AD39" s="1098"/>
      <c r="AE39" s="1098"/>
      <c r="AF39" s="1098"/>
    </row>
    <row r="40" spans="1:32" ht="23.25" customHeight="1">
      <c r="A40" s="1098"/>
      <c r="B40" s="1098"/>
      <c r="C40" s="1133">
        <v>4.3</v>
      </c>
      <c r="D40" s="1134">
        <v>4.2</v>
      </c>
      <c r="E40" s="1134"/>
      <c r="F40" s="1134"/>
      <c r="G40" s="1134"/>
      <c r="H40" s="1134"/>
      <c r="I40" s="1136"/>
      <c r="J40" s="1137" cm="1">
        <f t="array" ref="J40">SUM(IF(ISNUMBER(B40:I40), B40:I40, 0))</f>
        <v>8.5</v>
      </c>
      <c r="K40" s="1108"/>
      <c r="L40" s="1170" t="s">
        <v>22</v>
      </c>
      <c r="M40" s="1098"/>
      <c r="N40" s="1098"/>
      <c r="O40" s="1098"/>
      <c r="P40" s="1098"/>
      <c r="Q40" s="1098"/>
      <c r="R40" s="1098"/>
      <c r="S40" s="1098"/>
      <c r="T40" s="1098"/>
      <c r="U40" s="1098"/>
      <c r="V40" s="1098"/>
      <c r="W40" s="1098"/>
      <c r="X40" s="1098"/>
      <c r="Y40" s="1098"/>
      <c r="Z40" s="1098"/>
      <c r="AA40" s="1098"/>
      <c r="AB40" s="1098"/>
      <c r="AC40" s="1098"/>
      <c r="AD40" s="1098"/>
      <c r="AE40" s="1098"/>
      <c r="AF40" s="1098"/>
    </row>
    <row r="41" spans="1:32" ht="23.25" customHeight="1">
      <c r="A41" s="1098"/>
      <c r="B41" s="1098"/>
      <c r="C41" s="1139">
        <v>0</v>
      </c>
      <c r="D41" s="1140">
        <v>0</v>
      </c>
      <c r="E41" s="1140"/>
      <c r="F41" s="1140"/>
      <c r="G41" s="1140"/>
      <c r="H41" s="1140"/>
      <c r="I41" s="1104"/>
      <c r="J41" s="1137" cm="1">
        <f t="array" ref="J41">SUM(IF(ISNUMBER(B41:I41), B41:I41, 0))</f>
        <v>0</v>
      </c>
      <c r="K41" s="1108"/>
      <c r="L41" s="1170" t="s">
        <v>24</v>
      </c>
      <c r="M41" s="1098"/>
      <c r="N41" s="1098"/>
      <c r="O41" s="1098"/>
      <c r="P41" s="1098"/>
      <c r="Q41" s="1098"/>
      <c r="R41" s="1098"/>
      <c r="S41" s="1098"/>
      <c r="T41" s="1098"/>
      <c r="U41" s="1098"/>
      <c r="V41" s="1098"/>
      <c r="W41" s="1098"/>
      <c r="X41" s="1098"/>
      <c r="Y41" s="1098"/>
      <c r="Z41" s="1098"/>
      <c r="AA41" s="1098"/>
      <c r="AB41" s="1098"/>
      <c r="AC41" s="1098"/>
      <c r="AD41" s="1098"/>
      <c r="AE41" s="1098"/>
      <c r="AF41" s="1098"/>
    </row>
    <row r="42" spans="1:32" ht="23.25" customHeight="1">
      <c r="A42" s="1098"/>
      <c r="B42" s="1098"/>
      <c r="C42" s="1139">
        <v>0</v>
      </c>
      <c r="D42" s="1140">
        <v>0</v>
      </c>
      <c r="E42" s="1140"/>
      <c r="F42" s="1140"/>
      <c r="G42" s="1140"/>
      <c r="H42" s="1140"/>
      <c r="I42" s="1104"/>
      <c r="J42" s="1143" cm="1">
        <f t="array" ref="J42">SUM(IF(ISNUMBER(B42:I42), B42:I42, 0))</f>
        <v>0</v>
      </c>
      <c r="K42" s="1108"/>
      <c r="L42" s="1170" t="s">
        <v>26</v>
      </c>
      <c r="M42" s="1098"/>
      <c r="N42" s="1098"/>
      <c r="O42" s="1098"/>
      <c r="P42" s="1098"/>
      <c r="Q42" s="1098"/>
      <c r="R42" s="1098"/>
      <c r="S42" s="1098"/>
      <c r="T42" s="1098"/>
      <c r="U42" s="1098"/>
      <c r="V42" s="1098"/>
      <c r="W42" s="1098"/>
      <c r="X42" s="1098"/>
      <c r="Y42" s="1098"/>
      <c r="Z42" s="1098"/>
      <c r="AA42" s="1098"/>
      <c r="AB42" s="1098"/>
      <c r="AC42" s="1098"/>
      <c r="AD42" s="1098"/>
      <c r="AE42" s="1098"/>
      <c r="AF42" s="1098"/>
    </row>
    <row r="43" spans="1:32" ht="23.25" customHeight="1">
      <c r="A43" s="1098"/>
      <c r="B43" s="1098"/>
      <c r="C43" s="1198" t="s">
        <v>337</v>
      </c>
      <c r="D43" s="1149" t="s">
        <v>338</v>
      </c>
      <c r="E43" s="1188" t="s">
        <v>4</v>
      </c>
      <c r="F43" s="1146" t="s">
        <v>4</v>
      </c>
      <c r="G43" s="1146" t="s">
        <v>4</v>
      </c>
      <c r="H43" s="1146" t="s">
        <v>4</v>
      </c>
      <c r="I43" s="1189" t="s">
        <v>4</v>
      </c>
      <c r="J43" s="1143">
        <v>5.08</v>
      </c>
      <c r="K43" s="1108"/>
      <c r="L43" s="1138" t="s">
        <v>28</v>
      </c>
      <c r="M43" s="1098"/>
      <c r="N43" s="1098"/>
      <c r="O43" s="1098"/>
      <c r="P43" s="1098"/>
      <c r="Q43" s="1098"/>
      <c r="R43" s="1098"/>
      <c r="S43" s="1098"/>
      <c r="T43" s="1098"/>
      <c r="U43" s="1098"/>
      <c r="V43" s="1098"/>
      <c r="W43" s="1098"/>
      <c r="X43" s="1098"/>
      <c r="Y43" s="1098"/>
      <c r="Z43" s="1098"/>
      <c r="AA43" s="1098"/>
      <c r="AB43" s="1098"/>
      <c r="AC43" s="1098"/>
      <c r="AD43" s="1098"/>
      <c r="AE43" s="1098"/>
      <c r="AF43" s="1098"/>
    </row>
    <row r="44" spans="1:32" ht="23.25" customHeight="1">
      <c r="A44" s="1098"/>
      <c r="B44" s="1098"/>
      <c r="C44" s="1112"/>
      <c r="D44" s="1199"/>
      <c r="E44" s="1190"/>
      <c r="F44" s="1108"/>
      <c r="G44" s="1108"/>
      <c r="H44" s="1108"/>
      <c r="I44" s="1108"/>
      <c r="J44" s="1108"/>
      <c r="K44" s="1108"/>
      <c r="L44" s="1132"/>
      <c r="M44" s="1098"/>
      <c r="N44" s="1098"/>
      <c r="O44" s="1098"/>
      <c r="P44" s="1098"/>
      <c r="Q44" s="1098"/>
      <c r="R44" s="1098"/>
      <c r="S44" s="1098"/>
      <c r="T44" s="1098"/>
      <c r="U44" s="1098"/>
      <c r="V44" s="1098"/>
      <c r="W44" s="1098"/>
      <c r="X44" s="1098"/>
      <c r="Y44" s="1098"/>
      <c r="Z44" s="1098"/>
      <c r="AA44" s="1098"/>
      <c r="AB44" s="1098"/>
      <c r="AC44" s="1098"/>
      <c r="AD44" s="1098"/>
      <c r="AE44" s="1098"/>
      <c r="AF44" s="1098"/>
    </row>
    <row r="45" spans="1:32" ht="23.25" customHeight="1">
      <c r="A45" s="1098"/>
      <c r="B45" s="1098"/>
      <c r="C45" s="1180"/>
      <c r="D45" s="1200"/>
      <c r="E45" s="1136"/>
      <c r="F45" s="1108"/>
      <c r="G45" s="1108"/>
      <c r="H45" s="1108"/>
      <c r="I45" s="1108"/>
      <c r="J45" s="1108"/>
      <c r="K45" s="1108"/>
      <c r="L45" s="1098"/>
      <c r="M45" s="1098"/>
      <c r="N45" s="1098"/>
      <c r="O45" s="1098"/>
      <c r="P45" s="1098"/>
      <c r="Q45" s="1098"/>
      <c r="R45" s="1098"/>
      <c r="S45" s="1098"/>
      <c r="T45" s="1098"/>
      <c r="U45" s="1098"/>
      <c r="V45" s="1098"/>
      <c r="W45" s="1098"/>
      <c r="X45" s="1098"/>
      <c r="Y45" s="1098"/>
      <c r="Z45" s="1098"/>
      <c r="AA45" s="1098"/>
      <c r="AB45" s="1098"/>
      <c r="AC45" s="1098"/>
      <c r="AD45" s="1098"/>
      <c r="AE45" s="1098"/>
      <c r="AF45" s="1098"/>
    </row>
    <row r="46" spans="1:32" ht="23.25" customHeight="1">
      <c r="A46" s="1098"/>
      <c r="B46" s="1098"/>
      <c r="C46" s="1201"/>
      <c r="D46" s="1202"/>
      <c r="E46" s="1108"/>
      <c r="F46" s="1108"/>
      <c r="G46" s="1108"/>
      <c r="H46" s="1108"/>
      <c r="I46" s="1108"/>
      <c r="J46" s="1108"/>
      <c r="K46" s="1108"/>
      <c r="L46" s="1098"/>
      <c r="M46" s="1098"/>
      <c r="N46" s="1098"/>
      <c r="O46" s="1098"/>
      <c r="P46" s="1098"/>
      <c r="Q46" s="1098"/>
      <c r="R46" s="1098"/>
      <c r="S46" s="1098"/>
      <c r="T46" s="1098"/>
      <c r="U46" s="1098"/>
      <c r="V46" s="1098"/>
      <c r="W46" s="1098"/>
      <c r="X46" s="1098"/>
      <c r="Y46" s="1098"/>
      <c r="Z46" s="1098"/>
      <c r="AA46" s="1098"/>
      <c r="AB46" s="1098"/>
      <c r="AC46" s="1098"/>
      <c r="AD46" s="1098"/>
      <c r="AE46" s="1098"/>
      <c r="AF46" s="1098"/>
    </row>
    <row r="47" spans="1:32" ht="23.25" customHeight="1">
      <c r="A47" s="1098"/>
      <c r="B47" s="1098"/>
      <c r="C47" s="787"/>
      <c r="D47" s="1200"/>
      <c r="E47" s="1108"/>
      <c r="G47" s="1108"/>
      <c r="H47" s="1108"/>
      <c r="I47" s="1108"/>
      <c r="J47" s="1131" t="s">
        <v>33</v>
      </c>
      <c r="K47" s="1203"/>
      <c r="L47" s="1098"/>
      <c r="M47" s="1098"/>
      <c r="N47" s="1098"/>
      <c r="O47" s="1098"/>
      <c r="P47" s="1098"/>
      <c r="Q47" s="1098"/>
      <c r="R47" s="1098"/>
      <c r="S47" s="1098"/>
      <c r="T47" s="1098"/>
      <c r="U47" s="1098"/>
      <c r="V47" s="1098"/>
      <c r="W47" s="1098"/>
      <c r="X47" s="1098"/>
      <c r="Y47" s="1098"/>
      <c r="Z47" s="1098"/>
      <c r="AA47" s="1098"/>
      <c r="AB47" s="1098"/>
      <c r="AC47" s="1098"/>
      <c r="AD47" s="1098"/>
      <c r="AE47" s="1098"/>
      <c r="AF47" s="1098"/>
    </row>
    <row r="48" spans="1:32" ht="23.25" customHeight="1">
      <c r="A48" s="1098"/>
      <c r="B48" s="1098"/>
      <c r="C48" s="1133"/>
      <c r="D48" s="1202"/>
      <c r="E48" s="1108"/>
      <c r="G48" s="1108"/>
      <c r="H48" s="1108"/>
      <c r="I48" s="1108"/>
      <c r="J48" s="1137" cm="1">
        <f t="array" ref="J48">SUM(IF(ISNUMBER(B48:D48), B48:D48, 0))</f>
        <v>0</v>
      </c>
      <c r="L48" s="1170" t="s">
        <v>22</v>
      </c>
      <c r="M48" s="1098"/>
      <c r="N48" s="1098"/>
      <c r="O48" s="1098"/>
      <c r="P48" s="1098"/>
      <c r="Q48" s="1098"/>
      <c r="R48" s="1098"/>
      <c r="S48" s="1098"/>
      <c r="T48" s="1098"/>
      <c r="U48" s="1098"/>
      <c r="V48" s="1098"/>
      <c r="W48" s="1098"/>
      <c r="X48" s="1098"/>
      <c r="Y48" s="1098"/>
      <c r="Z48" s="1098"/>
      <c r="AA48" s="1098"/>
      <c r="AB48" s="1098"/>
      <c r="AC48" s="1098"/>
      <c r="AD48" s="1098"/>
      <c r="AE48" s="1098"/>
      <c r="AF48" s="1098"/>
    </row>
    <row r="49" spans="1:32" ht="23.25" customHeight="1">
      <c r="A49" s="1098"/>
      <c r="B49" s="1098"/>
      <c r="C49" s="1139"/>
      <c r="D49" s="1202"/>
      <c r="E49" s="1108"/>
      <c r="G49" s="1108"/>
      <c r="H49" s="1108"/>
      <c r="I49" s="1108"/>
      <c r="J49" s="1137" cm="1">
        <f t="array" ref="J49">SUM(IF(ISNUMBER(B49:D49), B49:D49, 0))</f>
        <v>0</v>
      </c>
      <c r="L49" s="1170" t="s">
        <v>24</v>
      </c>
      <c r="M49" s="1098"/>
      <c r="N49" s="1098"/>
      <c r="O49" s="1098"/>
      <c r="P49" s="1098"/>
      <c r="Q49" s="1098"/>
      <c r="R49" s="1098"/>
      <c r="S49" s="1098"/>
      <c r="T49" s="1098"/>
      <c r="U49" s="1098"/>
      <c r="V49" s="1098"/>
      <c r="W49" s="1098"/>
      <c r="X49" s="1098"/>
      <c r="Y49" s="1098"/>
      <c r="Z49" s="1098"/>
      <c r="AA49" s="1098"/>
      <c r="AB49" s="1098"/>
      <c r="AC49" s="1098"/>
      <c r="AD49" s="1098"/>
      <c r="AE49" s="1098"/>
      <c r="AF49" s="1098"/>
    </row>
    <row r="50" spans="1:32" ht="23.25" customHeight="1">
      <c r="A50" s="1098"/>
      <c r="B50" s="1098"/>
      <c r="C50" s="1139"/>
      <c r="D50" s="1202"/>
      <c r="E50" s="1108"/>
      <c r="G50" s="1108"/>
      <c r="H50" s="1108"/>
      <c r="I50" s="1108"/>
      <c r="J50" s="1143" cm="1">
        <f t="array" ref="J50">SUM(IF(ISNUMBER(B50:D50), B50:D50, 0))</f>
        <v>0</v>
      </c>
      <c r="L50" s="1170" t="s">
        <v>26</v>
      </c>
      <c r="M50" s="1098"/>
      <c r="N50" s="1098"/>
      <c r="O50" s="1098"/>
      <c r="P50" s="1098"/>
      <c r="Q50" s="1098"/>
      <c r="R50" s="1098"/>
      <c r="S50" s="1098"/>
      <c r="T50" s="1098"/>
      <c r="U50" s="1098"/>
      <c r="V50" s="1098"/>
      <c r="W50" s="1098"/>
      <c r="X50" s="1098"/>
      <c r="Y50" s="1098"/>
      <c r="Z50" s="1098"/>
      <c r="AA50" s="1098"/>
      <c r="AB50" s="1098"/>
      <c r="AC50" s="1098"/>
      <c r="AD50" s="1098"/>
      <c r="AE50" s="1098"/>
      <c r="AF50" s="1098"/>
    </row>
    <row r="51" spans="1:32" ht="23.25" customHeight="1">
      <c r="A51" s="1098"/>
      <c r="B51" s="1098"/>
      <c r="C51" s="1171"/>
      <c r="D51" s="1189"/>
      <c r="G51" s="1108"/>
      <c r="H51" s="1108"/>
      <c r="I51" s="1108"/>
      <c r="J51" s="1143"/>
      <c r="L51" s="1138" t="s">
        <v>28</v>
      </c>
      <c r="M51" s="1098"/>
      <c r="N51" s="1098"/>
      <c r="O51" s="1098"/>
      <c r="P51" s="1098"/>
      <c r="Q51" s="1098"/>
      <c r="R51" s="1098"/>
      <c r="S51" s="1098"/>
      <c r="T51" s="1098"/>
      <c r="U51" s="1098"/>
      <c r="V51" s="1098"/>
      <c r="W51" s="1098"/>
      <c r="X51" s="1098"/>
      <c r="Y51" s="1098"/>
      <c r="Z51" s="1098"/>
      <c r="AA51" s="1098"/>
      <c r="AB51" s="1098"/>
      <c r="AC51" s="1098"/>
      <c r="AD51" s="1098"/>
      <c r="AE51" s="1098"/>
      <c r="AF51" s="1098"/>
    </row>
    <row r="52" spans="1:32" ht="23.25" customHeight="1">
      <c r="A52" s="1098"/>
      <c r="B52" s="1098"/>
      <c r="C52" s="1108"/>
      <c r="D52" s="1108"/>
      <c r="E52" s="1108"/>
      <c r="F52" s="1108"/>
      <c r="G52" s="1108"/>
      <c r="H52" s="1108"/>
      <c r="I52" s="1108"/>
      <c r="J52" s="1108"/>
      <c r="K52" s="1108"/>
      <c r="L52" s="1098"/>
      <c r="M52" s="1098"/>
      <c r="N52" s="1098"/>
      <c r="O52" s="1098"/>
      <c r="P52" s="1098"/>
      <c r="Q52" s="1098"/>
      <c r="R52" s="1098"/>
      <c r="S52" s="1098"/>
      <c r="T52" s="1098"/>
      <c r="U52" s="1098"/>
      <c r="V52" s="1098"/>
      <c r="W52" s="1098"/>
      <c r="X52" s="1098"/>
      <c r="Y52" s="1098"/>
      <c r="Z52" s="1098"/>
      <c r="AA52" s="1098"/>
      <c r="AB52" s="1098"/>
      <c r="AC52" s="1098"/>
      <c r="AD52" s="1098"/>
      <c r="AE52" s="1098"/>
      <c r="AF52" s="1098"/>
    </row>
    <row r="53" spans="1:32" ht="22.5" customHeight="1">
      <c r="A53" s="1098"/>
      <c r="B53" s="1098"/>
      <c r="C53" s="1098"/>
      <c r="D53" s="1098"/>
      <c r="E53" s="1098"/>
      <c r="F53" s="1098"/>
      <c r="G53" s="1098"/>
      <c r="H53" s="1098"/>
      <c r="I53" s="1098"/>
      <c r="J53" s="1098"/>
      <c r="K53" s="1098"/>
      <c r="L53" s="1098"/>
      <c r="M53" s="1098"/>
      <c r="N53" s="1098"/>
      <c r="O53" s="1098"/>
      <c r="P53" s="1098"/>
      <c r="Q53" s="1098"/>
      <c r="R53" s="1098"/>
      <c r="S53" s="1098"/>
      <c r="T53" s="1098"/>
      <c r="U53" s="1098"/>
      <c r="V53" s="1098"/>
      <c r="W53" s="1098"/>
      <c r="X53" s="1098"/>
      <c r="Y53" s="1098"/>
      <c r="Z53" s="1098"/>
      <c r="AA53" s="1098"/>
      <c r="AB53" s="1098"/>
      <c r="AC53" s="1098"/>
      <c r="AD53" s="1098"/>
      <c r="AE53" s="1098"/>
      <c r="AF53" s="1098"/>
    </row>
    <row r="54" spans="1:32" ht="17.45">
      <c r="A54" s="1098"/>
      <c r="B54" s="1098"/>
      <c r="C54" s="1098"/>
      <c r="D54" s="1098"/>
      <c r="E54" s="1098"/>
      <c r="F54" s="1098"/>
      <c r="G54" s="1098"/>
      <c r="H54" s="1098"/>
      <c r="I54" s="1098"/>
      <c r="J54" s="1098"/>
      <c r="K54" s="1098"/>
      <c r="L54" s="1098"/>
      <c r="M54" s="1098"/>
      <c r="N54" s="1098"/>
      <c r="O54" s="1098"/>
      <c r="P54" s="1098"/>
      <c r="Q54" s="1098"/>
      <c r="R54" s="1098"/>
      <c r="S54" s="1098"/>
      <c r="T54" s="1098"/>
      <c r="U54" s="1098"/>
      <c r="V54" s="1098"/>
      <c r="W54" s="1098"/>
      <c r="X54" s="1098"/>
      <c r="Y54" s="1098"/>
      <c r="Z54" s="1098"/>
      <c r="AA54" s="1098"/>
      <c r="AB54" s="1098"/>
      <c r="AC54" s="1098"/>
      <c r="AD54" s="1098"/>
      <c r="AE54" s="1098"/>
      <c r="AF54" s="1098"/>
    </row>
    <row r="55" spans="1:32" ht="17.45">
      <c r="A55" s="1098"/>
      <c r="B55" s="1098"/>
      <c r="C55" s="1098"/>
      <c r="D55" s="1098"/>
      <c r="E55" s="1098"/>
      <c r="F55" s="1098"/>
      <c r="G55" s="1098"/>
      <c r="H55" s="1098"/>
      <c r="I55" s="1098"/>
      <c r="J55" s="1098"/>
      <c r="K55" s="1098"/>
      <c r="L55" s="1098"/>
      <c r="M55" s="1098"/>
      <c r="N55" s="1098"/>
      <c r="O55" s="1098"/>
      <c r="P55" s="1098"/>
      <c r="Q55" s="1098"/>
      <c r="R55" s="1098"/>
      <c r="S55" s="1098"/>
      <c r="T55" s="1098"/>
      <c r="U55" s="1098"/>
      <c r="V55" s="1098"/>
      <c r="W55" s="1098"/>
      <c r="X55" s="1098"/>
      <c r="Y55" s="1098"/>
      <c r="Z55" s="1098"/>
      <c r="AA55" s="1098"/>
      <c r="AB55" s="1098"/>
      <c r="AC55" s="1098"/>
      <c r="AD55" s="1098"/>
      <c r="AE55" s="1098"/>
      <c r="AF55" s="1098"/>
    </row>
    <row r="56" spans="1:32" ht="17.45">
      <c r="A56" s="1098"/>
      <c r="B56" s="1098"/>
      <c r="C56" s="1098"/>
      <c r="D56" s="1098"/>
      <c r="E56" s="1098"/>
      <c r="F56" s="1098"/>
      <c r="G56" s="1098"/>
      <c r="H56" s="1098"/>
      <c r="I56" s="1098"/>
      <c r="J56" s="1098"/>
      <c r="K56" s="1098"/>
      <c r="L56" s="1098"/>
      <c r="M56" s="1098"/>
      <c r="N56" s="1098"/>
      <c r="O56" s="1098"/>
      <c r="P56" s="1098"/>
      <c r="Q56" s="1098"/>
      <c r="R56" s="1098"/>
      <c r="S56" s="1098"/>
      <c r="T56" s="1098"/>
      <c r="U56" s="1098"/>
      <c r="V56" s="1098"/>
      <c r="W56" s="1098"/>
      <c r="X56" s="1098"/>
      <c r="Y56" s="1098"/>
      <c r="Z56" s="1098"/>
      <c r="AA56" s="1098"/>
      <c r="AB56" s="1098"/>
      <c r="AC56" s="1098"/>
      <c r="AD56" s="1098"/>
      <c r="AE56" s="1098"/>
      <c r="AF56" s="1098"/>
    </row>
    <row r="57" spans="1:32" ht="17.45">
      <c r="A57" s="1098"/>
      <c r="B57" s="1098"/>
      <c r="C57" s="1098"/>
      <c r="D57" s="1098"/>
      <c r="E57" s="1098"/>
      <c r="F57" s="1098"/>
      <c r="G57" s="1098"/>
      <c r="H57" s="1098"/>
      <c r="I57" s="1098"/>
      <c r="J57" s="1098"/>
      <c r="K57" s="1098"/>
      <c r="L57" s="1098"/>
      <c r="M57" s="1098"/>
      <c r="N57" s="1098"/>
      <c r="O57" s="1098"/>
      <c r="P57" s="1098"/>
      <c r="Q57" s="1098"/>
      <c r="R57" s="1098"/>
      <c r="S57" s="1098"/>
      <c r="T57" s="1098"/>
      <c r="U57" s="1098"/>
      <c r="V57" s="1098"/>
      <c r="W57" s="1098"/>
      <c r="X57" s="1098"/>
      <c r="Y57" s="1098"/>
      <c r="Z57" s="1098"/>
      <c r="AA57" s="1098"/>
      <c r="AB57" s="1098"/>
      <c r="AC57" s="1098"/>
      <c r="AD57" s="1098"/>
      <c r="AE57" s="1098"/>
      <c r="AF57" s="1098"/>
    </row>
    <row r="58" spans="1:32" ht="17.45">
      <c r="A58" s="1098"/>
      <c r="B58" s="1098"/>
      <c r="C58" s="1098"/>
      <c r="D58" s="1098"/>
      <c r="E58" s="1098"/>
      <c r="F58" s="1098"/>
      <c r="G58" s="1098"/>
      <c r="H58" s="1098"/>
      <c r="I58" s="1098"/>
      <c r="J58" s="1098"/>
      <c r="K58" s="1098"/>
      <c r="L58" s="1098"/>
      <c r="M58" s="1098"/>
      <c r="N58" s="1098"/>
      <c r="O58" s="1098"/>
      <c r="P58" s="1098"/>
      <c r="Q58" s="1098"/>
      <c r="R58" s="1098"/>
      <c r="S58" s="1098"/>
      <c r="T58" s="1098"/>
      <c r="U58" s="1098"/>
      <c r="V58" s="1098"/>
      <c r="W58" s="1098"/>
      <c r="X58" s="1098"/>
      <c r="Y58" s="1098"/>
      <c r="Z58" s="1098"/>
      <c r="AA58" s="1098"/>
      <c r="AB58" s="1098"/>
      <c r="AC58" s="1098"/>
      <c r="AD58" s="1098"/>
      <c r="AE58" s="1098"/>
      <c r="AF58" s="1098"/>
    </row>
    <row r="59" spans="1:32" ht="17.45">
      <c r="A59" s="1098"/>
      <c r="B59" s="1098"/>
      <c r="C59" s="1098"/>
      <c r="D59" s="1098"/>
      <c r="E59" s="1098"/>
      <c r="F59" s="1098"/>
      <c r="G59" s="1098"/>
      <c r="H59" s="1098"/>
      <c r="I59" s="1098"/>
      <c r="J59" s="1098"/>
      <c r="K59" s="1098"/>
      <c r="L59" s="1098"/>
      <c r="M59" s="1098"/>
      <c r="N59" s="1098"/>
      <c r="O59" s="1098"/>
      <c r="P59" s="1098"/>
      <c r="Q59" s="1098"/>
      <c r="R59" s="1098"/>
      <c r="S59" s="1098"/>
      <c r="T59" s="1098"/>
      <c r="U59" s="1098"/>
      <c r="V59" s="1098"/>
      <c r="W59" s="1098"/>
      <c r="X59" s="1098"/>
      <c r="Y59" s="1098"/>
      <c r="Z59" s="1098"/>
      <c r="AA59" s="1098"/>
      <c r="AB59" s="1098"/>
      <c r="AC59" s="1098"/>
      <c r="AD59" s="1098"/>
      <c r="AE59" s="1098"/>
      <c r="AF59" s="1098"/>
    </row>
    <row r="60" spans="1:32" ht="17.45">
      <c r="A60" s="1098"/>
      <c r="B60" s="1098"/>
      <c r="C60" s="1098"/>
      <c r="D60" s="1098"/>
      <c r="E60" s="1098"/>
      <c r="F60" s="1098"/>
      <c r="G60" s="1098"/>
      <c r="H60" s="1098"/>
      <c r="I60" s="1098"/>
      <c r="J60" s="1098"/>
      <c r="K60" s="1098"/>
      <c r="L60" s="1098"/>
      <c r="M60" s="1098"/>
      <c r="N60" s="1098"/>
      <c r="O60" s="1098"/>
      <c r="P60" s="1098"/>
      <c r="Q60" s="1098"/>
      <c r="R60" s="1098"/>
      <c r="S60" s="1098"/>
      <c r="T60" s="1098"/>
      <c r="U60" s="1098"/>
      <c r="V60" s="1098"/>
      <c r="W60" s="1098"/>
      <c r="X60" s="1098"/>
      <c r="Y60" s="1098"/>
      <c r="Z60" s="1098"/>
      <c r="AA60" s="1098"/>
      <c r="AB60" s="1098"/>
      <c r="AC60" s="1098"/>
      <c r="AD60" s="1098"/>
      <c r="AE60" s="1098"/>
      <c r="AF60" s="1098"/>
    </row>
    <row r="61" spans="1:32" ht="17.45">
      <c r="A61" s="1098"/>
      <c r="B61" s="1098"/>
      <c r="C61" s="1098"/>
      <c r="D61" s="1098"/>
      <c r="E61" s="1098"/>
      <c r="F61" s="1098"/>
      <c r="G61" s="1098"/>
      <c r="H61" s="1098"/>
      <c r="I61" s="1098"/>
      <c r="J61" s="1098"/>
      <c r="K61" s="1098"/>
      <c r="L61" s="1098"/>
      <c r="M61" s="1098"/>
      <c r="N61" s="1098"/>
      <c r="O61" s="1098"/>
      <c r="P61" s="1098"/>
      <c r="Q61" s="1098"/>
      <c r="R61" s="1098"/>
      <c r="S61" s="1098"/>
      <c r="T61" s="1098"/>
      <c r="U61" s="1098"/>
      <c r="V61" s="1098"/>
      <c r="W61" s="1098"/>
      <c r="X61" s="1098"/>
      <c r="Y61" s="1098"/>
      <c r="Z61" s="1098"/>
      <c r="AA61" s="1098"/>
      <c r="AB61" s="1098"/>
      <c r="AC61" s="1098"/>
      <c r="AD61" s="1098"/>
      <c r="AE61" s="1098"/>
      <c r="AF61" s="1098"/>
    </row>
    <row r="62" spans="1:32" ht="17.45">
      <c r="A62" s="1098"/>
      <c r="B62" s="1098"/>
      <c r="C62" s="1098"/>
      <c r="D62" s="1098"/>
      <c r="E62" s="1098"/>
      <c r="F62" s="1098"/>
      <c r="G62" s="1098"/>
      <c r="H62" s="1098"/>
      <c r="I62" s="1098"/>
      <c r="J62" s="1098"/>
      <c r="K62" s="1098"/>
      <c r="L62" s="1098"/>
      <c r="M62" s="1098"/>
      <c r="N62" s="1098"/>
      <c r="O62" s="1098"/>
      <c r="P62" s="1098"/>
      <c r="Q62" s="1098"/>
      <c r="R62" s="1098"/>
      <c r="S62" s="1098"/>
      <c r="T62" s="1098"/>
      <c r="U62" s="1098"/>
      <c r="V62" s="1098"/>
      <c r="W62" s="1098"/>
      <c r="X62" s="1098"/>
      <c r="Y62" s="1098"/>
      <c r="Z62" s="1098"/>
      <c r="AA62" s="1098"/>
      <c r="AB62" s="1098"/>
      <c r="AC62" s="1098"/>
      <c r="AD62" s="1098"/>
      <c r="AE62" s="1098"/>
      <c r="AF62" s="1098"/>
    </row>
    <row r="63" spans="1:32" ht="17.45">
      <c r="A63" s="1098"/>
      <c r="B63" s="1098"/>
      <c r="C63" s="1098"/>
      <c r="D63" s="1098"/>
      <c r="E63" s="1098"/>
      <c r="F63" s="1098"/>
      <c r="G63" s="1098"/>
      <c r="H63" s="1098"/>
      <c r="I63" s="1098"/>
      <c r="J63" s="1098"/>
      <c r="K63" s="1098"/>
      <c r="L63" s="1098"/>
      <c r="M63" s="1098"/>
      <c r="N63" s="1098"/>
      <c r="O63" s="1098"/>
      <c r="P63" s="1098"/>
      <c r="Q63" s="1098"/>
      <c r="R63" s="1098"/>
      <c r="S63" s="1098"/>
      <c r="T63" s="1098"/>
      <c r="U63" s="1098"/>
      <c r="V63" s="1098"/>
      <c r="W63" s="1098"/>
      <c r="X63" s="1098"/>
      <c r="Y63" s="1098"/>
      <c r="Z63" s="1098"/>
      <c r="AA63" s="1098"/>
      <c r="AB63" s="1098"/>
      <c r="AC63" s="1098"/>
      <c r="AD63" s="1098"/>
      <c r="AE63" s="1098"/>
      <c r="AF63" s="1098"/>
    </row>
    <row r="64" spans="1:32" ht="17.45">
      <c r="A64" s="1098"/>
      <c r="B64" s="1098"/>
      <c r="C64" s="1098"/>
      <c r="D64" s="1098"/>
      <c r="E64" s="1098"/>
      <c r="F64" s="1098"/>
      <c r="G64" s="1098"/>
      <c r="H64" s="1098"/>
      <c r="I64" s="1098"/>
      <c r="J64" s="1098"/>
      <c r="K64" s="1098"/>
      <c r="L64" s="1098"/>
      <c r="M64" s="1098"/>
      <c r="N64" s="1098"/>
      <c r="O64" s="1098"/>
      <c r="P64" s="1098"/>
      <c r="Q64" s="1098"/>
      <c r="R64" s="1098"/>
      <c r="S64" s="1098"/>
      <c r="T64" s="1098"/>
      <c r="U64" s="1098"/>
      <c r="V64" s="1098"/>
      <c r="W64" s="1098"/>
      <c r="X64" s="1098"/>
      <c r="Y64" s="1098"/>
      <c r="Z64" s="1098"/>
      <c r="AA64" s="1098"/>
      <c r="AB64" s="1098"/>
      <c r="AC64" s="1098"/>
      <c r="AD64" s="1098"/>
      <c r="AE64" s="1098"/>
      <c r="AF64" s="1098"/>
    </row>
    <row r="65" spans="1:32" ht="17.45">
      <c r="A65" s="1098"/>
      <c r="B65" s="1098"/>
      <c r="C65" s="1098"/>
      <c r="D65" s="1098"/>
      <c r="E65" s="1098"/>
      <c r="F65" s="1098"/>
      <c r="G65" s="1098"/>
      <c r="H65" s="1098"/>
      <c r="I65" s="1098"/>
      <c r="J65" s="1098"/>
      <c r="K65" s="1098"/>
      <c r="L65" s="1098"/>
      <c r="M65" s="1098"/>
      <c r="N65" s="1098"/>
      <c r="O65" s="1098"/>
      <c r="P65" s="1098"/>
      <c r="Q65" s="1098"/>
      <c r="R65" s="1098"/>
      <c r="S65" s="1098"/>
      <c r="T65" s="1098"/>
      <c r="U65" s="1098"/>
      <c r="V65" s="1098"/>
      <c r="W65" s="1098"/>
      <c r="X65" s="1098"/>
      <c r="Y65" s="1098"/>
      <c r="Z65" s="1098"/>
      <c r="AA65" s="1098"/>
      <c r="AB65" s="1098"/>
      <c r="AC65" s="1098"/>
      <c r="AD65" s="1098"/>
      <c r="AE65" s="1098"/>
      <c r="AF65" s="1098"/>
    </row>
    <row r="66" spans="1:32" ht="17.45">
      <c r="A66" s="1098"/>
      <c r="B66" s="1098"/>
      <c r="C66" s="1098"/>
      <c r="D66" s="1098"/>
      <c r="E66" s="1098"/>
      <c r="F66" s="1098"/>
      <c r="G66" s="1098"/>
      <c r="H66" s="1098"/>
      <c r="I66" s="1098"/>
      <c r="J66" s="1098"/>
      <c r="K66" s="1098"/>
      <c r="L66" s="1098"/>
      <c r="M66" s="1098"/>
      <c r="N66" s="1098"/>
      <c r="O66" s="1098"/>
      <c r="P66" s="1098"/>
      <c r="Q66" s="1098"/>
      <c r="R66" s="1098"/>
      <c r="S66" s="1098"/>
      <c r="T66" s="1098"/>
      <c r="U66" s="1098"/>
      <c r="V66" s="1098"/>
      <c r="W66" s="1098"/>
      <c r="X66" s="1098"/>
      <c r="Y66" s="1098"/>
      <c r="Z66" s="1098"/>
      <c r="AA66" s="1098"/>
      <c r="AB66" s="1098"/>
      <c r="AC66" s="1098"/>
      <c r="AD66" s="1098"/>
      <c r="AE66" s="1098"/>
      <c r="AF66" s="1098"/>
    </row>
    <row r="67" spans="1:32" ht="17.45">
      <c r="A67" s="1098"/>
      <c r="B67" s="1098"/>
      <c r="C67" s="1098"/>
      <c r="D67" s="1098"/>
      <c r="E67" s="1098"/>
      <c r="F67" s="1098"/>
      <c r="G67" s="1098"/>
      <c r="H67" s="1098"/>
      <c r="I67" s="1098"/>
      <c r="J67" s="1098"/>
      <c r="K67" s="1098"/>
      <c r="L67" s="1098"/>
      <c r="M67" s="1098"/>
      <c r="N67" s="1098"/>
      <c r="O67" s="1098"/>
      <c r="P67" s="1098"/>
      <c r="Q67" s="1098"/>
      <c r="R67" s="1098"/>
      <c r="S67" s="1098"/>
      <c r="T67" s="1098"/>
      <c r="U67" s="1098"/>
      <c r="V67" s="1098"/>
      <c r="W67" s="1098"/>
      <c r="X67" s="1098"/>
      <c r="Y67" s="1098"/>
      <c r="Z67" s="1098"/>
      <c r="AA67" s="1098"/>
      <c r="AB67" s="1098"/>
      <c r="AC67" s="1098"/>
      <c r="AD67" s="1098"/>
      <c r="AE67" s="1098"/>
      <c r="AF67" s="1098"/>
    </row>
    <row r="68" spans="1:32" ht="17.45">
      <c r="A68" s="1098"/>
      <c r="B68" s="1098"/>
      <c r="C68" s="1098"/>
      <c r="D68" s="1098"/>
      <c r="E68" s="1098"/>
      <c r="F68" s="1098"/>
      <c r="G68" s="1098"/>
      <c r="H68" s="1098"/>
      <c r="I68" s="1098"/>
      <c r="J68" s="1098"/>
      <c r="K68" s="1098"/>
      <c r="L68" s="1098"/>
      <c r="M68" s="1098"/>
      <c r="N68" s="1098"/>
      <c r="O68" s="1098"/>
      <c r="P68" s="1098"/>
      <c r="Q68" s="1098"/>
      <c r="R68" s="1098"/>
      <c r="S68" s="1098"/>
      <c r="T68" s="1098"/>
      <c r="U68" s="1098"/>
      <c r="V68" s="1098"/>
      <c r="W68" s="1098"/>
      <c r="X68" s="1098"/>
      <c r="Y68" s="1098"/>
      <c r="Z68" s="1098"/>
      <c r="AA68" s="1098"/>
      <c r="AB68" s="1098"/>
      <c r="AC68" s="1098"/>
      <c r="AD68" s="1098"/>
      <c r="AE68" s="1098"/>
      <c r="AF68" s="1098"/>
    </row>
    <row r="69" spans="1:32" ht="17.45">
      <c r="A69" s="1098"/>
      <c r="B69" s="1098"/>
      <c r="C69" s="1098"/>
      <c r="D69" s="1098"/>
      <c r="E69" s="1098"/>
      <c r="F69" s="1098"/>
      <c r="G69" s="1098"/>
      <c r="H69" s="1098"/>
      <c r="I69" s="1098"/>
      <c r="J69" s="1098"/>
      <c r="K69" s="1098"/>
      <c r="L69" s="1098"/>
      <c r="M69" s="1098"/>
      <c r="N69" s="1098"/>
      <c r="O69" s="1098"/>
      <c r="P69" s="1098"/>
      <c r="Q69" s="1098"/>
      <c r="R69" s="1098"/>
      <c r="S69" s="1098"/>
      <c r="T69" s="1098"/>
      <c r="U69" s="1098"/>
      <c r="V69" s="1098"/>
      <c r="W69" s="1098"/>
      <c r="X69" s="1098"/>
      <c r="Y69" s="1098"/>
      <c r="Z69" s="1098"/>
      <c r="AA69" s="1098"/>
      <c r="AB69" s="1098"/>
      <c r="AC69" s="1098"/>
      <c r="AD69" s="1098"/>
      <c r="AE69" s="1098"/>
      <c r="AF69" s="1098"/>
    </row>
    <row r="70" spans="1:32" ht="17.45">
      <c r="A70" s="1098"/>
      <c r="B70" s="1098"/>
      <c r="C70" s="1098"/>
      <c r="D70" s="1098"/>
      <c r="E70" s="1098"/>
      <c r="F70" s="1098"/>
      <c r="G70" s="1098"/>
      <c r="H70" s="1098"/>
      <c r="I70" s="1098"/>
      <c r="J70" s="1098"/>
      <c r="K70" s="1098"/>
      <c r="L70" s="1098"/>
      <c r="M70" s="1098"/>
      <c r="N70" s="1098"/>
      <c r="O70" s="1098"/>
      <c r="P70" s="1098"/>
      <c r="Q70" s="1098"/>
      <c r="R70" s="1098"/>
      <c r="S70" s="1098"/>
      <c r="T70" s="1098"/>
      <c r="U70" s="1098"/>
      <c r="V70" s="1098"/>
      <c r="W70" s="1098"/>
      <c r="X70" s="1098"/>
      <c r="Y70" s="1098"/>
      <c r="Z70" s="1098"/>
      <c r="AA70" s="1098"/>
      <c r="AB70" s="1098"/>
      <c r="AC70" s="1098"/>
      <c r="AD70" s="1098"/>
      <c r="AE70" s="1098"/>
      <c r="AF70" s="1098"/>
    </row>
    <row r="71" spans="1:32" ht="17.45">
      <c r="A71" s="1098"/>
      <c r="B71" s="1098"/>
      <c r="C71" s="1098"/>
      <c r="D71" s="1098"/>
      <c r="E71" s="1098"/>
      <c r="F71" s="1098"/>
      <c r="G71" s="1098"/>
      <c r="H71" s="1098"/>
      <c r="I71" s="1098"/>
      <c r="J71" s="1098"/>
      <c r="K71" s="1098"/>
      <c r="L71" s="1098"/>
      <c r="M71" s="1098"/>
      <c r="N71" s="1098"/>
      <c r="O71" s="1098"/>
      <c r="P71" s="1098"/>
      <c r="Q71" s="1098"/>
      <c r="R71" s="1098"/>
      <c r="S71" s="1098"/>
      <c r="T71" s="1098"/>
      <c r="U71" s="1098"/>
      <c r="V71" s="1098"/>
      <c r="W71" s="1098"/>
      <c r="X71" s="1098"/>
      <c r="Y71" s="1098"/>
      <c r="Z71" s="1098"/>
      <c r="AA71" s="1098"/>
      <c r="AB71" s="1098"/>
      <c r="AC71" s="1098"/>
      <c r="AD71" s="1098"/>
      <c r="AE71" s="1098"/>
      <c r="AF71" s="1098"/>
    </row>
    <row r="72" spans="1:32" ht="17.45">
      <c r="A72" s="1098"/>
      <c r="B72" s="1098"/>
      <c r="C72" s="1098"/>
      <c r="D72" s="1098"/>
      <c r="E72" s="1098"/>
      <c r="F72" s="1098"/>
      <c r="G72" s="1098"/>
      <c r="H72" s="1098"/>
      <c r="I72" s="1098"/>
      <c r="J72" s="1098"/>
      <c r="K72" s="1098"/>
      <c r="L72" s="1098"/>
      <c r="M72" s="1098"/>
      <c r="N72" s="1098"/>
      <c r="O72" s="1098"/>
      <c r="P72" s="1098"/>
      <c r="Q72" s="1098"/>
      <c r="R72" s="1098"/>
      <c r="S72" s="1098"/>
      <c r="T72" s="1098"/>
      <c r="U72" s="1098"/>
      <c r="V72" s="1098"/>
      <c r="W72" s="1098"/>
      <c r="X72" s="1098"/>
      <c r="Y72" s="1098"/>
      <c r="Z72" s="1098"/>
      <c r="AA72" s="1098"/>
      <c r="AB72" s="1098"/>
      <c r="AC72" s="1098"/>
      <c r="AD72" s="1098"/>
      <c r="AE72" s="1098"/>
      <c r="AF72" s="1098"/>
    </row>
    <row r="73" spans="1:32" ht="17.45">
      <c r="A73" s="1098"/>
      <c r="B73" s="1098"/>
      <c r="C73" s="1098"/>
      <c r="D73" s="1098"/>
      <c r="E73" s="1098"/>
      <c r="F73" s="1098"/>
      <c r="G73" s="1098"/>
      <c r="H73" s="1098"/>
      <c r="I73" s="1098"/>
      <c r="J73" s="1098"/>
      <c r="K73" s="1098"/>
      <c r="L73" s="1098"/>
      <c r="M73" s="1098"/>
      <c r="N73" s="1098"/>
      <c r="O73" s="1098"/>
      <c r="P73" s="1098"/>
      <c r="Q73" s="1098"/>
      <c r="R73" s="1098"/>
      <c r="S73" s="1098"/>
      <c r="T73" s="1098"/>
      <c r="U73" s="1098"/>
      <c r="V73" s="1098"/>
      <c r="W73" s="1098"/>
      <c r="X73" s="1098"/>
      <c r="Y73" s="1098"/>
      <c r="Z73" s="1098"/>
      <c r="AA73" s="1098"/>
      <c r="AB73" s="1098"/>
      <c r="AC73" s="1098"/>
      <c r="AD73" s="1098"/>
      <c r="AE73" s="1098"/>
      <c r="AF73" s="1098"/>
    </row>
    <row r="74" spans="1:32" ht="17.45">
      <c r="A74" s="1098"/>
      <c r="B74" s="1098"/>
      <c r="C74" s="1098"/>
      <c r="D74" s="1098"/>
      <c r="E74" s="1098"/>
      <c r="F74" s="1098"/>
      <c r="G74" s="1098"/>
      <c r="H74" s="1098"/>
      <c r="I74" s="1098"/>
      <c r="J74" s="1098"/>
      <c r="K74" s="1098"/>
      <c r="L74" s="1098"/>
      <c r="M74" s="1098"/>
      <c r="N74" s="1098"/>
      <c r="O74" s="1098"/>
      <c r="P74" s="1098"/>
      <c r="Q74" s="1098"/>
      <c r="R74" s="1098"/>
      <c r="S74" s="1098"/>
      <c r="T74" s="1098"/>
      <c r="U74" s="1098"/>
      <c r="V74" s="1098"/>
      <c r="W74" s="1098"/>
      <c r="X74" s="1098"/>
      <c r="Y74" s="1098"/>
      <c r="Z74" s="1098"/>
      <c r="AA74" s="1098"/>
      <c r="AB74" s="1098"/>
      <c r="AC74" s="1098"/>
      <c r="AD74" s="1098"/>
      <c r="AE74" s="1098"/>
      <c r="AF74" s="1098"/>
    </row>
    <row r="75" spans="1:32" ht="17.45">
      <c r="A75" s="1098"/>
      <c r="B75" s="1098"/>
      <c r="C75" s="1098"/>
      <c r="D75" s="1098"/>
      <c r="E75" s="1098"/>
      <c r="F75" s="1098"/>
      <c r="G75" s="1098"/>
      <c r="H75" s="1098"/>
      <c r="I75" s="1098"/>
      <c r="J75" s="1098"/>
      <c r="K75" s="1098"/>
      <c r="L75" s="1098"/>
      <c r="M75" s="1098"/>
      <c r="N75" s="1098"/>
      <c r="O75" s="1098"/>
      <c r="P75" s="1098"/>
      <c r="Q75" s="1098"/>
      <c r="R75" s="1098"/>
      <c r="S75" s="1098"/>
      <c r="T75" s="1098"/>
      <c r="U75" s="1098"/>
      <c r="V75" s="1098"/>
      <c r="W75" s="1098"/>
      <c r="X75" s="1098"/>
      <c r="Y75" s="1098"/>
      <c r="Z75" s="1098"/>
      <c r="AA75" s="1098"/>
      <c r="AB75" s="1098"/>
      <c r="AC75" s="1098"/>
      <c r="AD75" s="1098"/>
      <c r="AE75" s="1098"/>
      <c r="AF75" s="1098"/>
    </row>
    <row r="76" spans="1:32" ht="17.45">
      <c r="A76" s="1098"/>
      <c r="B76" s="1098"/>
      <c r="C76" s="1098"/>
      <c r="D76" s="1098"/>
      <c r="E76" s="1098"/>
      <c r="F76" s="1098"/>
      <c r="G76" s="1098"/>
      <c r="H76" s="1098"/>
      <c r="I76" s="1098"/>
      <c r="J76" s="1098"/>
      <c r="K76" s="1098"/>
      <c r="L76" s="1098"/>
      <c r="M76" s="1098"/>
      <c r="N76" s="1098"/>
      <c r="O76" s="1098"/>
      <c r="P76" s="1098"/>
      <c r="Q76" s="1098"/>
      <c r="R76" s="1098"/>
      <c r="S76" s="1098"/>
      <c r="T76" s="1098"/>
      <c r="U76" s="1098"/>
      <c r="V76" s="1098"/>
      <c r="W76" s="1098"/>
      <c r="X76" s="1098"/>
      <c r="Y76" s="1098"/>
      <c r="Z76" s="1098"/>
      <c r="AA76" s="1098"/>
      <c r="AB76" s="1098"/>
      <c r="AC76" s="1098"/>
      <c r="AD76" s="1098"/>
      <c r="AE76" s="1098"/>
      <c r="AF76" s="1098"/>
    </row>
    <row r="77" spans="1:32" ht="17.45">
      <c r="A77" s="1098"/>
      <c r="B77" s="1098"/>
      <c r="C77" s="1098"/>
      <c r="D77" s="1098"/>
      <c r="E77" s="1098"/>
      <c r="F77" s="1098"/>
      <c r="G77" s="1098"/>
      <c r="H77" s="1098"/>
      <c r="I77" s="1098"/>
      <c r="J77" s="1098"/>
      <c r="K77" s="1098"/>
      <c r="L77" s="1098"/>
      <c r="M77" s="1098"/>
      <c r="N77" s="1098"/>
      <c r="O77" s="1098"/>
      <c r="P77" s="1098"/>
      <c r="Q77" s="1098"/>
      <c r="R77" s="1098"/>
      <c r="S77" s="1098"/>
      <c r="T77" s="1098"/>
      <c r="U77" s="1098"/>
      <c r="V77" s="1098"/>
      <c r="W77" s="1098"/>
      <c r="X77" s="1098"/>
      <c r="Y77" s="1098"/>
      <c r="Z77" s="1098"/>
      <c r="AA77" s="1098"/>
      <c r="AB77" s="1098"/>
      <c r="AC77" s="1098"/>
      <c r="AD77" s="1098"/>
      <c r="AE77" s="1098"/>
      <c r="AF77" s="1098"/>
    </row>
    <row r="78" spans="1:32" ht="17.45">
      <c r="A78" s="1098"/>
      <c r="B78" s="1098"/>
      <c r="C78" s="1098"/>
      <c r="D78" s="1098"/>
      <c r="E78" s="1098"/>
      <c r="F78" s="1098"/>
      <c r="G78" s="1098"/>
      <c r="H78" s="1098"/>
      <c r="I78" s="1098"/>
      <c r="J78" s="1098"/>
      <c r="K78" s="1098"/>
      <c r="L78" s="1098"/>
      <c r="M78" s="1098"/>
      <c r="N78" s="1098"/>
      <c r="O78" s="1098"/>
      <c r="P78" s="1098"/>
      <c r="Q78" s="1098"/>
      <c r="R78" s="1098"/>
      <c r="S78" s="1098"/>
      <c r="T78" s="1098"/>
      <c r="U78" s="1098"/>
      <c r="V78" s="1098"/>
      <c r="W78" s="1098"/>
      <c r="X78" s="1098"/>
      <c r="Y78" s="1098"/>
      <c r="Z78" s="1098"/>
      <c r="AA78" s="1098"/>
      <c r="AB78" s="1098"/>
      <c r="AC78" s="1098"/>
      <c r="AD78" s="1098"/>
      <c r="AE78" s="1098"/>
      <c r="AF78" s="1098"/>
    </row>
    <row r="79" spans="1:32" ht="17.45">
      <c r="A79" s="1098"/>
      <c r="B79" s="1098"/>
      <c r="C79" s="1098"/>
      <c r="D79" s="1098"/>
      <c r="E79" s="1098"/>
      <c r="F79" s="1098"/>
      <c r="G79" s="1098"/>
      <c r="H79" s="1098"/>
      <c r="I79" s="1098"/>
      <c r="J79" s="1098"/>
      <c r="K79" s="1098"/>
      <c r="L79" s="1098"/>
      <c r="M79" s="1098"/>
      <c r="N79" s="1098"/>
      <c r="O79" s="1098"/>
      <c r="P79" s="1098"/>
      <c r="Q79" s="1098"/>
      <c r="R79" s="1098"/>
      <c r="S79" s="1098"/>
      <c r="T79" s="1098"/>
      <c r="U79" s="1098"/>
      <c r="V79" s="1098"/>
      <c r="W79" s="1098"/>
      <c r="X79" s="1098"/>
      <c r="Y79" s="1098"/>
      <c r="Z79" s="1098"/>
      <c r="AA79" s="1098"/>
      <c r="AB79" s="1098"/>
      <c r="AC79" s="1098"/>
      <c r="AD79" s="1098"/>
      <c r="AE79" s="1098"/>
      <c r="AF79" s="1098"/>
    </row>
    <row r="80" spans="1:32" ht="17.45">
      <c r="A80" s="1098"/>
      <c r="B80" s="1098"/>
      <c r="C80" s="1098"/>
      <c r="D80" s="1098"/>
      <c r="E80" s="1098"/>
      <c r="F80" s="1098"/>
      <c r="G80" s="1098"/>
      <c r="H80" s="1098"/>
      <c r="I80" s="1098"/>
      <c r="J80" s="1098"/>
      <c r="K80" s="1098"/>
      <c r="L80" s="1098"/>
      <c r="M80" s="1098"/>
      <c r="N80" s="1098"/>
      <c r="O80" s="1098"/>
      <c r="P80" s="1098"/>
      <c r="Q80" s="1098"/>
      <c r="R80" s="1098"/>
      <c r="S80" s="1098"/>
      <c r="T80" s="1098"/>
      <c r="U80" s="1098"/>
      <c r="V80" s="1098"/>
      <c r="W80" s="1098"/>
      <c r="X80" s="1098"/>
      <c r="Y80" s="1098"/>
      <c r="Z80" s="1098"/>
      <c r="AA80" s="1098"/>
      <c r="AB80" s="1098"/>
      <c r="AC80" s="1098"/>
      <c r="AD80" s="1098"/>
      <c r="AE80" s="1098"/>
      <c r="AF80" s="1098"/>
    </row>
    <row r="81" spans="1:32" ht="17.45">
      <c r="A81" s="1098"/>
      <c r="B81" s="1098"/>
      <c r="C81" s="1098"/>
      <c r="D81" s="1098"/>
      <c r="E81" s="1098"/>
      <c r="F81" s="1098"/>
      <c r="G81" s="1098"/>
      <c r="H81" s="1098"/>
      <c r="I81" s="1098"/>
      <c r="J81" s="1098"/>
      <c r="K81" s="1098"/>
      <c r="L81" s="1098"/>
      <c r="M81" s="1098"/>
      <c r="N81" s="1098"/>
      <c r="O81" s="1098"/>
      <c r="P81" s="1098"/>
      <c r="Q81" s="1098"/>
      <c r="R81" s="1098"/>
      <c r="S81" s="1098"/>
      <c r="T81" s="1098"/>
      <c r="U81" s="1098"/>
      <c r="V81" s="1098"/>
      <c r="W81" s="1098"/>
      <c r="X81" s="1098"/>
      <c r="Y81" s="1098"/>
      <c r="Z81" s="1098"/>
      <c r="AA81" s="1098"/>
      <c r="AB81" s="1098"/>
      <c r="AC81" s="1098"/>
      <c r="AD81" s="1098"/>
      <c r="AE81" s="1098"/>
      <c r="AF81" s="1098"/>
    </row>
    <row r="82" spans="1:32" ht="17.45">
      <c r="A82" s="1098"/>
      <c r="B82" s="1098"/>
      <c r="C82" s="1098"/>
      <c r="D82" s="1098"/>
      <c r="E82" s="1098"/>
      <c r="F82" s="1098"/>
      <c r="G82" s="1098"/>
      <c r="H82" s="1098"/>
      <c r="I82" s="1098"/>
      <c r="J82" s="1098"/>
      <c r="K82" s="1098"/>
      <c r="L82" s="1098"/>
      <c r="M82" s="1098"/>
      <c r="N82" s="1098"/>
      <c r="O82" s="1098"/>
      <c r="P82" s="1098"/>
      <c r="Q82" s="1098"/>
      <c r="R82" s="1098"/>
      <c r="S82" s="1098"/>
      <c r="T82" s="1098"/>
      <c r="U82" s="1098"/>
      <c r="V82" s="1098"/>
      <c r="W82" s="1098"/>
      <c r="X82" s="1098"/>
      <c r="Y82" s="1098"/>
      <c r="Z82" s="1098"/>
      <c r="AA82" s="1098"/>
      <c r="AB82" s="1098"/>
      <c r="AC82" s="1098"/>
      <c r="AD82" s="1098"/>
      <c r="AE82" s="1098"/>
      <c r="AF82" s="1098"/>
    </row>
    <row r="83" spans="1:32" ht="17.45">
      <c r="A83" s="1098"/>
      <c r="B83" s="1098"/>
      <c r="C83" s="1098"/>
      <c r="D83" s="1098"/>
      <c r="E83" s="1098"/>
      <c r="F83" s="1098"/>
      <c r="G83" s="1098"/>
      <c r="H83" s="1098"/>
      <c r="I83" s="1098"/>
      <c r="J83" s="1098"/>
      <c r="K83" s="1098"/>
      <c r="L83" s="1098"/>
      <c r="M83" s="1098"/>
      <c r="N83" s="1098"/>
      <c r="O83" s="1098"/>
      <c r="P83" s="1098"/>
      <c r="Q83" s="1098"/>
      <c r="R83" s="1098"/>
      <c r="S83" s="1098"/>
      <c r="T83" s="1098"/>
      <c r="U83" s="1098"/>
      <c r="V83" s="1098"/>
      <c r="W83" s="1098"/>
      <c r="X83" s="1098"/>
      <c r="Y83" s="1098"/>
      <c r="Z83" s="1098"/>
      <c r="AA83" s="1098"/>
      <c r="AB83" s="1098"/>
      <c r="AC83" s="1098"/>
      <c r="AD83" s="1098"/>
      <c r="AE83" s="1098"/>
      <c r="AF83" s="1098"/>
    </row>
    <row r="84" spans="1:32" ht="17.45">
      <c r="A84" s="1098"/>
      <c r="B84" s="1098"/>
      <c r="C84" s="1098"/>
      <c r="D84" s="1098"/>
      <c r="E84" s="1098"/>
      <c r="F84" s="1098"/>
      <c r="G84" s="1098"/>
      <c r="H84" s="1098"/>
      <c r="I84" s="1098"/>
      <c r="J84" s="1098"/>
      <c r="K84" s="1098"/>
      <c r="L84" s="1098"/>
      <c r="M84" s="1098"/>
      <c r="N84" s="1098"/>
      <c r="O84" s="1098"/>
      <c r="P84" s="1098"/>
      <c r="Q84" s="1098"/>
      <c r="R84" s="1098"/>
      <c r="S84" s="1098"/>
      <c r="T84" s="1098"/>
      <c r="U84" s="1098"/>
      <c r="V84" s="1098"/>
      <c r="W84" s="1098"/>
      <c r="X84" s="1098"/>
      <c r="Y84" s="1098"/>
      <c r="Z84" s="1098"/>
      <c r="AA84" s="1098"/>
      <c r="AB84" s="1098"/>
      <c r="AC84" s="1098"/>
      <c r="AD84" s="1098"/>
      <c r="AE84" s="1098"/>
      <c r="AF84" s="1098"/>
    </row>
    <row r="85" spans="1:32" ht="17.45">
      <c r="A85" s="1098"/>
      <c r="B85" s="1098"/>
      <c r="C85" s="1098"/>
      <c r="D85" s="1098"/>
      <c r="E85" s="1098"/>
      <c r="F85" s="1098"/>
      <c r="G85" s="1098"/>
      <c r="H85" s="1098"/>
      <c r="I85" s="1098"/>
      <c r="J85" s="1098"/>
      <c r="K85" s="1098"/>
      <c r="L85" s="1098"/>
      <c r="M85" s="1098"/>
      <c r="N85" s="1098"/>
      <c r="O85" s="1098"/>
      <c r="P85" s="1098"/>
      <c r="Q85" s="1098"/>
      <c r="R85" s="1098"/>
      <c r="S85" s="1098"/>
      <c r="T85" s="1098"/>
      <c r="U85" s="1098"/>
      <c r="V85" s="1098"/>
      <c r="W85" s="1098"/>
      <c r="X85" s="1098"/>
      <c r="Y85" s="1098"/>
      <c r="Z85" s="1098"/>
      <c r="AA85" s="1098"/>
      <c r="AB85" s="1098"/>
      <c r="AC85" s="1098"/>
      <c r="AD85" s="1098"/>
      <c r="AE85" s="1098"/>
      <c r="AF85" s="1098"/>
    </row>
    <row r="86" spans="1:32" ht="17.45">
      <c r="A86" s="1098"/>
      <c r="B86" s="1098"/>
      <c r="C86" s="1098"/>
      <c r="D86" s="1098"/>
      <c r="E86" s="1098"/>
      <c r="F86" s="1098"/>
      <c r="G86" s="1098"/>
      <c r="H86" s="1098"/>
      <c r="I86" s="1098"/>
      <c r="J86" s="1098"/>
      <c r="K86" s="1098"/>
      <c r="L86" s="1098"/>
      <c r="M86" s="1098"/>
      <c r="N86" s="1098"/>
      <c r="O86" s="1098"/>
      <c r="P86" s="1098"/>
      <c r="Q86" s="1098"/>
      <c r="R86" s="1098"/>
      <c r="S86" s="1098"/>
      <c r="T86" s="1098"/>
      <c r="U86" s="1098"/>
      <c r="V86" s="1098"/>
      <c r="W86" s="1098"/>
      <c r="X86" s="1098"/>
      <c r="Y86" s="1098"/>
      <c r="Z86" s="1098"/>
      <c r="AA86" s="1098"/>
      <c r="AB86" s="1098"/>
      <c r="AC86" s="1098"/>
      <c r="AD86" s="1098"/>
      <c r="AE86" s="1098"/>
      <c r="AF86" s="1098"/>
    </row>
    <row r="87" spans="1:32" ht="17.45">
      <c r="A87" s="1098"/>
      <c r="B87" s="1098"/>
      <c r="C87" s="1098"/>
      <c r="D87" s="1098"/>
      <c r="E87" s="1098"/>
      <c r="F87" s="1098"/>
      <c r="G87" s="1098"/>
      <c r="H87" s="1098"/>
      <c r="I87" s="1098"/>
      <c r="J87" s="1098"/>
      <c r="K87" s="1098"/>
      <c r="L87" s="1098"/>
      <c r="M87" s="1098"/>
      <c r="N87" s="1098"/>
      <c r="O87" s="1098"/>
      <c r="P87" s="1098"/>
      <c r="Q87" s="1098"/>
      <c r="R87" s="1098"/>
      <c r="S87" s="1098"/>
      <c r="T87" s="1098"/>
      <c r="U87" s="1098"/>
      <c r="V87" s="1098"/>
      <c r="W87" s="1098"/>
      <c r="X87" s="1098"/>
      <c r="Y87" s="1098"/>
      <c r="Z87" s="1098"/>
      <c r="AA87" s="1098"/>
      <c r="AB87" s="1098"/>
      <c r="AC87" s="1098"/>
      <c r="AD87" s="1098"/>
      <c r="AE87" s="1098"/>
      <c r="AF87" s="1098"/>
    </row>
    <row r="88" spans="1:32" ht="17.45">
      <c r="A88" s="1098"/>
      <c r="B88" s="1098"/>
      <c r="C88" s="1098"/>
      <c r="D88" s="1098"/>
      <c r="E88" s="1098"/>
      <c r="F88" s="1098"/>
      <c r="G88" s="1098"/>
      <c r="H88" s="1098"/>
      <c r="I88" s="1098"/>
      <c r="J88" s="1098"/>
      <c r="K88" s="1098"/>
      <c r="L88" s="1098"/>
      <c r="M88" s="1098"/>
      <c r="N88" s="1098"/>
      <c r="O88" s="1098"/>
      <c r="P88" s="1098"/>
      <c r="Q88" s="1098"/>
      <c r="R88" s="1098"/>
      <c r="S88" s="1098"/>
      <c r="T88" s="1098"/>
      <c r="U88" s="1098"/>
      <c r="V88" s="1098"/>
      <c r="W88" s="1098"/>
      <c r="X88" s="1098"/>
      <c r="Y88" s="1098"/>
      <c r="Z88" s="1098"/>
      <c r="AA88" s="1098"/>
      <c r="AB88" s="1098"/>
      <c r="AC88" s="1098"/>
      <c r="AD88" s="1098"/>
      <c r="AE88" s="1098"/>
      <c r="AF88" s="1098"/>
    </row>
  </sheetData>
  <mergeCells count="2">
    <mergeCell ref="E7:I7"/>
    <mergeCell ref="C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613-FEC7-4AEC-8941-C15B0D0EE570}">
  <dimension ref="A1:AF88"/>
  <sheetViews>
    <sheetView zoomScale="25" zoomScaleNormal="25" workbookViewId="0">
      <selection activeCell="I42" sqref="I42"/>
    </sheetView>
  </sheetViews>
  <sheetFormatPr defaultColWidth="8.7109375" defaultRowHeight="14.45"/>
  <cols>
    <col min="1" max="1" width="3" style="378" customWidth="1"/>
    <col min="2" max="2" width="21" style="378" customWidth="1"/>
    <col min="3" max="9" width="23.7109375" style="378" customWidth="1"/>
    <col min="10" max="10" width="24.42578125" style="378" customWidth="1"/>
    <col min="11" max="11" width="1.7109375" style="378" customWidth="1"/>
    <col min="12" max="12" width="33" style="378" customWidth="1"/>
    <col min="13" max="14" width="23.28515625" style="378" customWidth="1"/>
    <col min="15" max="16384" width="8.7109375" style="378"/>
  </cols>
  <sheetData>
    <row r="1" spans="1:32" ht="23.25" customHeight="1">
      <c r="A1" s="1204"/>
      <c r="B1" s="1204"/>
      <c r="C1" s="377" t="s">
        <v>0</v>
      </c>
      <c r="D1" s="377">
        <v>93.95</v>
      </c>
      <c r="E1" s="1204"/>
      <c r="F1" s="1205"/>
      <c r="G1" s="1204"/>
      <c r="H1" s="1204"/>
      <c r="I1" s="1204"/>
      <c r="J1" s="1204"/>
      <c r="K1" s="1204"/>
      <c r="L1" s="1204"/>
      <c r="M1" s="1204"/>
      <c r="N1" s="1204"/>
      <c r="O1" s="1204"/>
      <c r="P1" s="1204"/>
      <c r="Q1" s="1204"/>
      <c r="R1" s="1204"/>
      <c r="S1" s="1204"/>
      <c r="T1" s="1204"/>
      <c r="U1" s="1204"/>
      <c r="V1" s="1204"/>
      <c r="W1" s="1204"/>
      <c r="X1" s="1204"/>
      <c r="Y1" s="1204"/>
      <c r="Z1" s="1204"/>
      <c r="AA1" s="1204"/>
      <c r="AB1" s="1204"/>
      <c r="AC1" s="1204"/>
      <c r="AD1" s="1204"/>
      <c r="AE1" s="1204"/>
      <c r="AF1" s="1204"/>
    </row>
    <row r="2" spans="1:32" ht="23.25" customHeight="1">
      <c r="A2" s="1204"/>
      <c r="B2" s="379" t="s">
        <v>339</v>
      </c>
      <c r="C2" s="1206" t="s">
        <v>1</v>
      </c>
      <c r="D2" s="1207">
        <f>J8+J16+J24+J32+J40+J48</f>
        <v>70.599999999999994</v>
      </c>
      <c r="E2" s="1208" t="s">
        <v>2</v>
      </c>
      <c r="F2" s="1209">
        <f>J9+J17+J25+J33+J41+J49</f>
        <v>1.7000000000000002</v>
      </c>
      <c r="G2" s="1208" t="s">
        <v>3</v>
      </c>
      <c r="H2" s="1209">
        <f>J10+J18+J26+J34+J42+J50</f>
        <v>0.2</v>
      </c>
      <c r="I2" s="1210"/>
      <c r="J2" s="1211" t="s">
        <v>4</v>
      </c>
      <c r="K2" s="1212"/>
      <c r="L2" s="1211"/>
      <c r="M2" s="1204"/>
      <c r="N2" s="1204"/>
      <c r="O2" s="1204"/>
      <c r="P2" s="1204"/>
      <c r="Q2" s="1204"/>
      <c r="R2" s="1204"/>
      <c r="S2" s="1204"/>
      <c r="T2" s="1204"/>
      <c r="U2" s="1204"/>
      <c r="V2" s="1204"/>
      <c r="W2" s="1204"/>
      <c r="X2" s="1204"/>
      <c r="Y2" s="1204"/>
      <c r="Z2" s="1204"/>
      <c r="AA2" s="1204"/>
      <c r="AB2" s="1204"/>
      <c r="AC2" s="1204"/>
      <c r="AD2" s="1204"/>
      <c r="AE2" s="1204"/>
      <c r="AF2" s="1204"/>
    </row>
    <row r="3" spans="1:32" ht="23.25" customHeight="1">
      <c r="A3" s="1204"/>
      <c r="B3" s="1213" t="s">
        <v>5</v>
      </c>
      <c r="C3" s="380" t="s">
        <v>6</v>
      </c>
      <c r="D3" s="381" t="s">
        <v>7</v>
      </c>
      <c r="E3" s="382" t="s">
        <v>8</v>
      </c>
      <c r="F3" s="383" t="s">
        <v>9</v>
      </c>
      <c r="G3" s="381" t="s">
        <v>10</v>
      </c>
      <c r="H3" s="381" t="s">
        <v>11</v>
      </c>
      <c r="I3" s="384" t="s">
        <v>12</v>
      </c>
      <c r="J3" s="1211" t="s">
        <v>13</v>
      </c>
      <c r="K3" s="1214"/>
      <c r="L3" s="1211"/>
      <c r="M3" s="1204"/>
      <c r="N3" s="1204"/>
      <c r="O3" s="1204"/>
      <c r="P3" s="1204"/>
      <c r="Q3" s="1204"/>
      <c r="R3" s="1204"/>
      <c r="S3" s="1204"/>
      <c r="T3" s="1204"/>
      <c r="U3" s="1204"/>
      <c r="V3" s="1204"/>
      <c r="W3" s="1204"/>
      <c r="X3" s="1204"/>
      <c r="Y3" s="1204"/>
      <c r="Z3" s="1204"/>
      <c r="AA3" s="1204"/>
      <c r="AB3" s="1204"/>
      <c r="AC3" s="1204"/>
      <c r="AD3" s="1204"/>
      <c r="AE3" s="1204"/>
      <c r="AF3" s="1204"/>
    </row>
    <row r="4" spans="1:32" ht="23.25" customHeight="1">
      <c r="A4" s="1204"/>
      <c r="B4" s="1215" t="s">
        <v>14</v>
      </c>
      <c r="C4" s="1216" t="s">
        <v>4</v>
      </c>
      <c r="D4" s="1216" t="s">
        <v>4</v>
      </c>
      <c r="E4" s="1216" t="s">
        <v>4</v>
      </c>
      <c r="F4" s="1216" t="s">
        <v>4</v>
      </c>
      <c r="G4" s="1216">
        <v>1</v>
      </c>
      <c r="H4" s="1217">
        <v>2</v>
      </c>
      <c r="I4" s="1218">
        <v>3</v>
      </c>
      <c r="J4" s="1211" t="s">
        <v>15</v>
      </c>
      <c r="K4" s="1214"/>
      <c r="L4" s="1219"/>
      <c r="M4" s="1204"/>
      <c r="N4" s="1204"/>
      <c r="O4" s="1204"/>
      <c r="P4" s="1204"/>
      <c r="Q4" s="1204"/>
      <c r="R4" s="1204"/>
      <c r="S4" s="1204"/>
      <c r="T4" s="1204"/>
      <c r="U4" s="1204"/>
      <c r="V4" s="1204"/>
      <c r="W4" s="1204"/>
      <c r="X4" s="1204"/>
      <c r="Y4" s="1204"/>
      <c r="Z4" s="1204"/>
      <c r="AA4" s="1204"/>
      <c r="AB4" s="1204"/>
      <c r="AC4" s="1204"/>
      <c r="AD4" s="1204"/>
      <c r="AE4" s="1204"/>
      <c r="AF4" s="1204"/>
    </row>
    <row r="5" spans="1:32" ht="23.25" customHeight="1">
      <c r="A5" s="1204"/>
      <c r="B5" s="1220" t="s">
        <v>16</v>
      </c>
      <c r="C5" s="1221"/>
      <c r="D5" s="1222"/>
      <c r="E5" s="1223"/>
      <c r="F5" s="1222"/>
      <c r="G5" s="1222" t="s">
        <v>50</v>
      </c>
      <c r="H5" s="1222" t="s">
        <v>324</v>
      </c>
      <c r="I5" s="1224" t="s">
        <v>324</v>
      </c>
      <c r="J5" s="1211" t="s">
        <v>17</v>
      </c>
      <c r="K5" s="1214"/>
      <c r="L5" s="1225"/>
      <c r="M5" s="1204"/>
      <c r="N5" s="1204"/>
      <c r="O5" s="1204"/>
      <c r="P5" s="1204"/>
      <c r="Q5" s="1204"/>
      <c r="R5" s="1204"/>
      <c r="S5" s="1204"/>
      <c r="T5" s="1204"/>
      <c r="U5" s="1204"/>
      <c r="V5" s="1204"/>
      <c r="W5" s="1204"/>
      <c r="X5" s="1204"/>
      <c r="Y5" s="1204"/>
      <c r="Z5" s="1204"/>
      <c r="AA5" s="1204"/>
      <c r="AB5" s="1204"/>
      <c r="AC5" s="1204"/>
      <c r="AD5" s="1204"/>
      <c r="AE5" s="1204"/>
      <c r="AF5" s="1204"/>
    </row>
    <row r="6" spans="1:32" ht="23.25" customHeight="1">
      <c r="A6" s="1204"/>
      <c r="B6" s="1226" t="s">
        <v>18</v>
      </c>
      <c r="C6" s="1227" t="s">
        <v>4</v>
      </c>
      <c r="D6" s="1227" t="s">
        <v>4</v>
      </c>
      <c r="E6" s="1228" t="s">
        <v>4</v>
      </c>
      <c r="F6" s="1228" t="s">
        <v>4</v>
      </c>
      <c r="G6" s="1229">
        <v>0.24</v>
      </c>
      <c r="H6" s="1230">
        <v>0.34</v>
      </c>
      <c r="I6" s="1231">
        <v>0.44</v>
      </c>
      <c r="J6" s="1232"/>
      <c r="K6" s="1214"/>
      <c r="L6" s="1204"/>
      <c r="M6" s="1204"/>
      <c r="N6" s="1204"/>
      <c r="O6" s="1204"/>
      <c r="P6" s="1204"/>
      <c r="Q6" s="1204"/>
      <c r="R6" s="1204"/>
      <c r="S6" s="1204"/>
      <c r="T6" s="1204"/>
      <c r="U6" s="1204"/>
      <c r="V6" s="1204"/>
      <c r="W6" s="1204"/>
      <c r="X6" s="1204"/>
      <c r="Y6" s="1204"/>
      <c r="Z6" s="1204"/>
      <c r="AA6" s="1204"/>
      <c r="AB6" s="1204"/>
      <c r="AC6" s="1204"/>
      <c r="AD6" s="1204"/>
      <c r="AE6" s="1204"/>
      <c r="AF6" s="1204"/>
    </row>
    <row r="7" spans="1:32" ht="23.25" customHeight="1">
      <c r="A7" s="1204"/>
      <c r="B7" s="1220" t="s">
        <v>19</v>
      </c>
      <c r="C7" s="1233"/>
      <c r="D7" s="1234"/>
      <c r="E7" s="1235"/>
      <c r="F7" s="1234"/>
      <c r="G7" s="1234" t="s">
        <v>42</v>
      </c>
      <c r="H7" s="1234" t="s">
        <v>340</v>
      </c>
      <c r="I7" s="1236" t="s">
        <v>340</v>
      </c>
      <c r="J7" s="1237" t="s">
        <v>20</v>
      </c>
      <c r="K7" s="1214"/>
      <c r="L7" s="1238"/>
      <c r="M7" s="1204"/>
      <c r="N7" s="1204"/>
      <c r="O7" s="1204"/>
      <c r="P7" s="1204"/>
      <c r="Q7" s="1204"/>
      <c r="R7" s="1204"/>
      <c r="S7" s="1204"/>
      <c r="T7" s="1204"/>
      <c r="U7" s="1204"/>
      <c r="V7" s="1204"/>
      <c r="W7" s="1204"/>
      <c r="X7" s="1204"/>
      <c r="Y7" s="1204"/>
      <c r="Z7" s="1204"/>
      <c r="AA7" s="1204"/>
      <c r="AB7" s="1204"/>
      <c r="AC7" s="1204"/>
      <c r="AD7" s="1204"/>
      <c r="AE7" s="1204"/>
      <c r="AF7" s="1204"/>
    </row>
    <row r="8" spans="1:32" ht="23.25" customHeight="1">
      <c r="A8" s="1204"/>
      <c r="B8" s="1215" t="s">
        <v>21</v>
      </c>
      <c r="C8" s="1239"/>
      <c r="D8" s="1240"/>
      <c r="E8" s="1241"/>
      <c r="F8" s="1240"/>
      <c r="G8" s="1240">
        <v>3.4</v>
      </c>
      <c r="H8" s="1240">
        <v>2.8</v>
      </c>
      <c r="I8" s="1210">
        <v>0</v>
      </c>
      <c r="J8" s="1242" cm="1">
        <f t="array" ref="J8">SUM(IF(ISNUMBER(C8:I8), C8:I8, 0))</f>
        <v>6.1999999999999993</v>
      </c>
      <c r="K8" s="1214"/>
      <c r="L8" s="1243" t="s">
        <v>22</v>
      </c>
      <c r="M8" s="1204"/>
      <c r="N8" s="1204"/>
      <c r="O8" s="1204"/>
      <c r="P8" s="1204"/>
      <c r="Q8" s="1204"/>
      <c r="R8" s="1204"/>
      <c r="S8" s="1204"/>
      <c r="T8" s="1204"/>
      <c r="U8" s="1204"/>
      <c r="V8" s="1204"/>
      <c r="W8" s="1204"/>
      <c r="X8" s="1204"/>
      <c r="Y8" s="1204"/>
      <c r="Z8" s="1204"/>
      <c r="AA8" s="1204"/>
      <c r="AB8" s="1204"/>
      <c r="AC8" s="1204"/>
      <c r="AD8" s="1204"/>
      <c r="AE8" s="1204"/>
      <c r="AF8" s="1204"/>
    </row>
    <row r="9" spans="1:32" ht="23.25" customHeight="1">
      <c r="A9" s="1204"/>
      <c r="B9" s="1215" t="s">
        <v>23</v>
      </c>
      <c r="C9" s="1239"/>
      <c r="D9" s="1240"/>
      <c r="E9" s="1241"/>
      <c r="F9" s="1240"/>
      <c r="G9" s="1240">
        <v>0</v>
      </c>
      <c r="H9" s="1240">
        <v>0</v>
      </c>
      <c r="I9" s="1210"/>
      <c r="J9" s="1242" cm="1">
        <f t="array" ref="J9">SUM(IF(ISNUMBER(B9:I9), B9:I9, 0))</f>
        <v>0</v>
      </c>
      <c r="K9" s="1214"/>
      <c r="L9" s="1243" t="s">
        <v>24</v>
      </c>
      <c r="M9" s="1204"/>
      <c r="N9" s="1204"/>
      <c r="O9" s="1204"/>
      <c r="P9" s="1204"/>
      <c r="Q9" s="1204"/>
      <c r="R9" s="1204"/>
      <c r="S9" s="1204"/>
      <c r="T9" s="1204"/>
      <c r="U9" s="1204"/>
      <c r="V9" s="1204"/>
      <c r="W9" s="1204"/>
      <c r="X9" s="1204"/>
      <c r="Y9" s="1204"/>
      <c r="Z9" s="1204"/>
      <c r="AA9" s="1204"/>
      <c r="AB9" s="1204"/>
      <c r="AC9" s="1204"/>
      <c r="AD9" s="1204"/>
      <c r="AE9" s="1204"/>
      <c r="AF9" s="1204"/>
    </row>
    <row r="10" spans="1:32" ht="23.25" customHeight="1">
      <c r="A10" s="1204"/>
      <c r="B10" s="1215" t="s">
        <v>25</v>
      </c>
      <c r="C10" s="1239"/>
      <c r="D10" s="1240"/>
      <c r="E10" s="1241"/>
      <c r="F10" s="1240"/>
      <c r="G10" s="1240">
        <v>0</v>
      </c>
      <c r="H10" s="1240">
        <v>0</v>
      </c>
      <c r="I10" s="1244"/>
      <c r="J10" s="1245" cm="1">
        <f t="array" ref="J10">SUM(IF(ISNUMBER(B10:I10), B10:I10, 0))</f>
        <v>0</v>
      </c>
      <c r="K10" s="1214"/>
      <c r="L10" s="1243" t="s">
        <v>26</v>
      </c>
      <c r="M10" s="1204"/>
      <c r="N10" s="1204"/>
      <c r="O10" s="1204"/>
      <c r="P10" s="1204"/>
      <c r="Q10" s="1204"/>
      <c r="R10" s="1204"/>
      <c r="S10" s="1204"/>
      <c r="T10" s="1204"/>
      <c r="U10" s="1204"/>
      <c r="V10" s="1204"/>
      <c r="W10" s="1204"/>
      <c r="X10" s="1204"/>
      <c r="Y10" s="1204"/>
      <c r="Z10" s="1204"/>
      <c r="AA10" s="1204"/>
      <c r="AB10" s="1204"/>
      <c r="AC10" s="1204"/>
      <c r="AD10" s="1204"/>
      <c r="AE10" s="1204"/>
      <c r="AF10" s="1204"/>
    </row>
    <row r="11" spans="1:32" ht="23.25" customHeight="1">
      <c r="A11" s="1204"/>
      <c r="B11" s="1246" t="s">
        <v>27</v>
      </c>
      <c r="C11" s="1247" t="s">
        <v>4</v>
      </c>
      <c r="D11" s="1248" t="s">
        <v>4</v>
      </c>
      <c r="E11" s="1249" t="s">
        <v>4</v>
      </c>
      <c r="F11" s="1250" t="s">
        <v>4</v>
      </c>
      <c r="G11" s="1251" t="s">
        <v>341</v>
      </c>
      <c r="H11" s="1252" t="s">
        <v>342</v>
      </c>
      <c r="I11" s="1253" t="s">
        <v>343</v>
      </c>
      <c r="J11" s="1245">
        <v>6.73</v>
      </c>
      <c r="K11" s="1214"/>
      <c r="L11" s="1243" t="s">
        <v>28</v>
      </c>
      <c r="M11" s="1204"/>
      <c r="N11" s="1204"/>
      <c r="O11" s="1204"/>
      <c r="P11" s="1204"/>
      <c r="Q11" s="1204"/>
      <c r="R11" s="1204"/>
      <c r="S11" s="1204"/>
      <c r="T11" s="1204"/>
      <c r="U11" s="1204"/>
      <c r="V11" s="1204"/>
      <c r="W11" s="1204"/>
      <c r="X11" s="1204"/>
      <c r="Y11" s="1204"/>
      <c r="Z11" s="1204"/>
      <c r="AA11" s="1204"/>
      <c r="AB11" s="1204"/>
      <c r="AC11" s="1204"/>
      <c r="AD11" s="1204"/>
      <c r="AE11" s="1204"/>
      <c r="AF11" s="1204"/>
    </row>
    <row r="12" spans="1:32" ht="23.25" customHeight="1">
      <c r="A12" s="1204"/>
      <c r="B12" s="1204" t="s">
        <v>4</v>
      </c>
      <c r="C12" s="1254">
        <v>4</v>
      </c>
      <c r="D12" s="1254">
        <v>5</v>
      </c>
      <c r="E12" s="1254">
        <v>6</v>
      </c>
      <c r="F12" s="1255">
        <v>7</v>
      </c>
      <c r="G12" s="1256">
        <v>8</v>
      </c>
      <c r="H12" s="1257">
        <v>9</v>
      </c>
      <c r="I12" s="1218">
        <v>10</v>
      </c>
      <c r="J12" s="1258"/>
      <c r="K12" s="1214"/>
      <c r="L12" s="1259"/>
      <c r="M12" s="1204"/>
      <c r="N12" s="1204"/>
      <c r="O12" s="1204"/>
      <c r="P12" s="1204"/>
      <c r="Q12" s="1204"/>
      <c r="R12" s="1204"/>
      <c r="S12" s="1204"/>
      <c r="T12" s="1204"/>
      <c r="U12" s="1204"/>
      <c r="V12" s="1204"/>
      <c r="W12" s="1204"/>
      <c r="X12" s="1204"/>
      <c r="Y12" s="1204"/>
      <c r="Z12" s="1204"/>
      <c r="AA12" s="1204"/>
      <c r="AB12" s="1204"/>
      <c r="AC12" s="1204"/>
      <c r="AD12" s="1204"/>
      <c r="AE12" s="1204"/>
      <c r="AF12" s="1204"/>
    </row>
    <row r="13" spans="1:32" ht="23.25" customHeight="1">
      <c r="A13" s="1204"/>
      <c r="B13" s="1204"/>
      <c r="C13" s="1221" t="s">
        <v>324</v>
      </c>
      <c r="D13" s="1222"/>
      <c r="E13" s="1223"/>
      <c r="F13" s="1222"/>
      <c r="G13" s="1234"/>
      <c r="H13" s="1260"/>
      <c r="I13" s="1261"/>
      <c r="J13" s="1258"/>
      <c r="K13" s="1214"/>
      <c r="L13" s="1259"/>
      <c r="M13" s="1204"/>
      <c r="N13" s="1204"/>
      <c r="O13" s="1204"/>
      <c r="P13" s="1204"/>
      <c r="Q13" s="1204"/>
      <c r="R13" s="1204"/>
      <c r="S13" s="1204"/>
      <c r="T13" s="1204"/>
      <c r="U13" s="1204"/>
      <c r="V13" s="1204"/>
      <c r="W13" s="1204"/>
      <c r="X13" s="1204"/>
      <c r="Y13" s="1204"/>
      <c r="Z13" s="1204"/>
      <c r="AA13" s="1204"/>
      <c r="AB13" s="1204"/>
      <c r="AC13" s="1204"/>
      <c r="AD13" s="1204"/>
      <c r="AE13" s="1204"/>
      <c r="AF13" s="1204"/>
    </row>
    <row r="14" spans="1:32" ht="23.25" customHeight="1">
      <c r="A14" s="1204"/>
      <c r="B14" s="1204"/>
      <c r="C14" s="1262">
        <v>0.55000000000000004</v>
      </c>
      <c r="D14" s="1230">
        <v>0.64</v>
      </c>
      <c r="E14" s="1227">
        <v>0.73</v>
      </c>
      <c r="F14" s="1228">
        <v>0.81</v>
      </c>
      <c r="G14" s="1228">
        <v>0.88</v>
      </c>
      <c r="H14" s="1263">
        <v>0.94</v>
      </c>
      <c r="I14" s="1264">
        <v>0.97</v>
      </c>
      <c r="J14" s="1214"/>
      <c r="K14" s="1214"/>
      <c r="L14" s="1259"/>
      <c r="M14" s="1204"/>
      <c r="N14" s="1204"/>
      <c r="O14" s="1204"/>
      <c r="P14" s="1204"/>
      <c r="Q14" s="1204"/>
      <c r="R14" s="1204"/>
      <c r="S14" s="1204"/>
      <c r="T14" s="1204"/>
      <c r="U14" s="1204"/>
      <c r="V14" s="1204"/>
      <c r="W14" s="1204"/>
      <c r="X14" s="1204"/>
      <c r="Y14" s="1204"/>
      <c r="Z14" s="1204"/>
      <c r="AA14" s="1204"/>
      <c r="AB14" s="1204"/>
      <c r="AC14" s="1204"/>
      <c r="AD14" s="1204"/>
      <c r="AE14" s="1204"/>
      <c r="AF14" s="1204"/>
    </row>
    <row r="15" spans="1:32" ht="23.25" customHeight="1">
      <c r="A15" s="1204"/>
      <c r="B15" s="1204"/>
      <c r="C15" s="1233" t="s">
        <v>42</v>
      </c>
      <c r="D15" s="1265"/>
      <c r="E15" s="1234"/>
      <c r="F15" s="1234"/>
      <c r="G15" s="1234"/>
      <c r="H15" s="1260"/>
      <c r="I15" s="1266"/>
      <c r="J15" s="1237" t="s">
        <v>29</v>
      </c>
      <c r="K15" s="1214"/>
      <c r="L15" s="1259"/>
      <c r="M15" s="1204"/>
      <c r="N15" s="1204"/>
      <c r="O15" s="1204"/>
      <c r="P15" s="1204"/>
      <c r="Q15" s="1204"/>
      <c r="R15" s="1204"/>
      <c r="S15" s="1204"/>
      <c r="T15" s="1204"/>
      <c r="U15" s="1204"/>
      <c r="V15" s="1204"/>
      <c r="W15" s="1204"/>
      <c r="X15" s="1204"/>
      <c r="Y15" s="1204"/>
      <c r="Z15" s="1204"/>
      <c r="AA15" s="1204"/>
      <c r="AB15" s="1204"/>
      <c r="AC15" s="1204"/>
      <c r="AD15" s="1204"/>
      <c r="AE15" s="1204"/>
      <c r="AF15" s="1204"/>
    </row>
    <row r="16" spans="1:32" ht="23.25" customHeight="1">
      <c r="A16" s="1204"/>
      <c r="B16" s="1204"/>
      <c r="C16" s="1239">
        <v>0</v>
      </c>
      <c r="D16" s="1240">
        <v>0</v>
      </c>
      <c r="E16" s="1240">
        <v>0</v>
      </c>
      <c r="F16" s="1240">
        <v>0</v>
      </c>
      <c r="G16" s="1240">
        <v>0</v>
      </c>
      <c r="H16" s="1240"/>
      <c r="I16" s="1210"/>
      <c r="J16" s="1242" cm="1">
        <f t="array" ref="J16">SUM(IF(ISNUMBER(B16:I16), B16:I16, 0))</f>
        <v>0</v>
      </c>
      <c r="K16" s="1214"/>
      <c r="L16" s="1267" t="s">
        <v>22</v>
      </c>
      <c r="M16" s="1204"/>
      <c r="N16" s="1204"/>
      <c r="O16" s="1204"/>
      <c r="P16" s="1204"/>
      <c r="Q16" s="1204"/>
      <c r="R16" s="1204"/>
      <c r="S16" s="1204"/>
      <c r="T16" s="1204"/>
      <c r="U16" s="1204"/>
      <c r="V16" s="1204"/>
      <c r="W16" s="1204"/>
      <c r="X16" s="1204"/>
      <c r="Y16" s="1204"/>
      <c r="Z16" s="1204"/>
      <c r="AA16" s="1204"/>
      <c r="AB16" s="1204"/>
      <c r="AC16" s="1204"/>
      <c r="AD16" s="1204"/>
      <c r="AE16" s="1204"/>
      <c r="AF16" s="1204"/>
    </row>
    <row r="17" spans="1:32" ht="23.25" customHeight="1">
      <c r="A17" s="1204"/>
      <c r="B17" s="1204"/>
      <c r="C17" s="1239"/>
      <c r="D17" s="1240"/>
      <c r="E17" s="1240"/>
      <c r="F17" s="1240"/>
      <c r="G17" s="1240"/>
      <c r="H17" s="1240"/>
      <c r="I17" s="1210"/>
      <c r="J17" s="1242" cm="1">
        <f t="array" ref="J17">SUM(IF(ISNUMBER(B17:I17), B17:I17, 0))</f>
        <v>0</v>
      </c>
      <c r="K17" s="1214"/>
      <c r="L17" s="1267" t="s">
        <v>24</v>
      </c>
      <c r="M17" s="1204"/>
      <c r="N17" s="1204"/>
      <c r="O17" s="1204"/>
      <c r="P17" s="1204"/>
      <c r="Q17" s="1204"/>
      <c r="R17" s="1204"/>
      <c r="S17" s="1204"/>
      <c r="T17" s="1204"/>
      <c r="U17" s="1204"/>
      <c r="V17" s="1204"/>
      <c r="W17" s="1204"/>
      <c r="X17" s="1204"/>
      <c r="Y17" s="1204"/>
      <c r="Z17" s="1204"/>
      <c r="AA17" s="1204"/>
      <c r="AB17" s="1204"/>
      <c r="AC17" s="1204"/>
      <c r="AD17" s="1204"/>
      <c r="AE17" s="1204"/>
      <c r="AF17" s="1204"/>
    </row>
    <row r="18" spans="1:32" ht="23.25" customHeight="1">
      <c r="A18" s="1204"/>
      <c r="B18" s="1204"/>
      <c r="C18" s="1239"/>
      <c r="D18" s="1240"/>
      <c r="E18" s="1240"/>
      <c r="F18" s="1240"/>
      <c r="G18" s="1240"/>
      <c r="H18" s="1240"/>
      <c r="I18" s="1210"/>
      <c r="J18" s="1245" cm="1">
        <f t="array" ref="J18">SUM(IF(ISNUMBER(B18:I18), B18:I18, 0))</f>
        <v>0</v>
      </c>
      <c r="K18" s="1214"/>
      <c r="L18" s="1267" t="s">
        <v>26</v>
      </c>
      <c r="M18" s="1204"/>
      <c r="N18" s="1204"/>
      <c r="O18" s="1204"/>
      <c r="P18" s="1204"/>
      <c r="Q18" s="1204"/>
      <c r="R18" s="1204"/>
      <c r="S18" s="1204"/>
      <c r="T18" s="1204"/>
      <c r="U18" s="1204"/>
      <c r="V18" s="1204"/>
      <c r="W18" s="1204"/>
      <c r="X18" s="1204"/>
      <c r="Y18" s="1204"/>
      <c r="Z18" s="1204"/>
      <c r="AA18" s="1204"/>
      <c r="AB18" s="1204"/>
      <c r="AC18" s="1204"/>
      <c r="AD18" s="1204"/>
      <c r="AE18" s="1204"/>
      <c r="AF18" s="1204"/>
    </row>
    <row r="19" spans="1:32" ht="23.25" customHeight="1">
      <c r="A19" s="1204"/>
      <c r="B19" s="1204"/>
      <c r="C19" s="1268" t="s">
        <v>344</v>
      </c>
      <c r="D19" s="1269" t="s">
        <v>345</v>
      </c>
      <c r="E19" s="1248" t="s">
        <v>346</v>
      </c>
      <c r="F19" s="1251" t="s">
        <v>347</v>
      </c>
      <c r="G19" s="1270" t="s">
        <v>348</v>
      </c>
      <c r="H19" s="1271" t="s">
        <v>349</v>
      </c>
      <c r="I19" s="1253" t="s">
        <v>350</v>
      </c>
      <c r="J19" s="1245">
        <v>2.88</v>
      </c>
      <c r="K19" s="1214"/>
      <c r="L19" s="1243" t="s">
        <v>28</v>
      </c>
      <c r="M19" s="1204"/>
      <c r="N19" s="1204"/>
      <c r="O19" s="1204"/>
      <c r="P19" s="1204"/>
      <c r="Q19" s="1204"/>
      <c r="R19" s="1204"/>
      <c r="S19" s="1204"/>
      <c r="T19" s="1204"/>
      <c r="U19" s="1204"/>
      <c r="V19" s="1204"/>
      <c r="W19" s="1204"/>
      <c r="X19" s="1204"/>
      <c r="Y19" s="1204"/>
      <c r="Z19" s="1204"/>
      <c r="AA19" s="1204"/>
      <c r="AB19" s="1204"/>
      <c r="AC19" s="1204"/>
      <c r="AD19" s="1204"/>
      <c r="AE19" s="1204"/>
      <c r="AF19" s="1204"/>
    </row>
    <row r="20" spans="1:32" ht="23.25" customHeight="1">
      <c r="A20" s="1204"/>
      <c r="B20" s="1204"/>
      <c r="C20" s="1272">
        <v>11</v>
      </c>
      <c r="D20" s="1272">
        <v>12</v>
      </c>
      <c r="E20" s="1273">
        <v>13</v>
      </c>
      <c r="F20" s="1274">
        <v>14</v>
      </c>
      <c r="G20" s="1275">
        <v>15</v>
      </c>
      <c r="H20" s="1275">
        <v>16</v>
      </c>
      <c r="I20" s="1276">
        <v>17</v>
      </c>
      <c r="J20" s="1258"/>
      <c r="K20" s="1214"/>
      <c r="L20" s="1259"/>
      <c r="M20" s="1204"/>
      <c r="N20" s="1204"/>
      <c r="O20" s="1204"/>
      <c r="P20" s="1204"/>
      <c r="Q20" s="1204"/>
      <c r="R20" s="1204"/>
      <c r="S20" s="1204"/>
      <c r="T20" s="1204"/>
      <c r="U20" s="1204"/>
      <c r="V20" s="1204"/>
      <c r="W20" s="1204"/>
      <c r="X20" s="1204"/>
      <c r="Y20" s="1204"/>
      <c r="Z20" s="1204"/>
      <c r="AA20" s="1204"/>
      <c r="AB20" s="1204"/>
      <c r="AC20" s="1204"/>
      <c r="AD20" s="1204"/>
      <c r="AE20" s="1204"/>
      <c r="AF20" s="1204"/>
    </row>
    <row r="21" spans="1:32" ht="23.25" customHeight="1">
      <c r="A21" s="1204"/>
      <c r="B21" s="1204"/>
      <c r="C21" s="1277"/>
      <c r="D21" s="1278"/>
      <c r="E21" s="1278"/>
      <c r="F21" s="1278"/>
      <c r="G21" s="1278" t="s">
        <v>53</v>
      </c>
      <c r="H21" s="1234" t="s">
        <v>324</v>
      </c>
      <c r="I21" s="1279" t="s">
        <v>62</v>
      </c>
      <c r="J21" s="1258"/>
      <c r="K21" s="1214"/>
      <c r="L21" s="1259"/>
      <c r="M21" s="1204"/>
      <c r="N21" s="1204"/>
      <c r="O21" s="1204"/>
      <c r="P21" s="1204"/>
      <c r="Q21" s="1204"/>
      <c r="R21" s="1204"/>
      <c r="S21" s="1204"/>
      <c r="T21" s="1204"/>
      <c r="U21" s="1204"/>
      <c r="V21" s="1204"/>
      <c r="W21" s="1204"/>
      <c r="X21" s="1204"/>
      <c r="Y21" s="1204"/>
      <c r="Z21" s="1204"/>
      <c r="AA21" s="1204"/>
      <c r="AB21" s="1204"/>
      <c r="AC21" s="1204"/>
      <c r="AD21" s="1204"/>
      <c r="AE21" s="1204"/>
      <c r="AF21" s="1204"/>
    </row>
    <row r="22" spans="1:32" ht="23.25" customHeight="1">
      <c r="A22" s="1204"/>
      <c r="B22" s="1204"/>
      <c r="C22" s="1280">
        <v>0.99</v>
      </c>
      <c r="D22" s="1228">
        <v>1</v>
      </c>
      <c r="E22" s="1228">
        <v>0.98</v>
      </c>
      <c r="F22" s="1228">
        <v>0.95</v>
      </c>
      <c r="G22" s="1229">
        <v>0.9</v>
      </c>
      <c r="H22" s="1230">
        <v>0.83</v>
      </c>
      <c r="I22" s="1231">
        <v>0.75</v>
      </c>
      <c r="J22" s="1214"/>
      <c r="K22" s="1214"/>
      <c r="L22" s="1259"/>
      <c r="M22" s="1204"/>
      <c r="N22" s="1204"/>
      <c r="O22" s="1204"/>
      <c r="P22" s="1204"/>
      <c r="Q22" s="1204"/>
      <c r="R22" s="1204"/>
      <c r="S22" s="1204"/>
      <c r="T22" s="1204"/>
      <c r="U22" s="1204"/>
      <c r="V22" s="1204"/>
      <c r="W22" s="1204"/>
      <c r="X22" s="1204"/>
      <c r="Y22" s="1204"/>
      <c r="Z22" s="1204"/>
      <c r="AA22" s="1204"/>
      <c r="AB22" s="1204"/>
      <c r="AC22" s="1204"/>
      <c r="AD22" s="1204"/>
      <c r="AE22" s="1204"/>
      <c r="AF22" s="1204"/>
    </row>
    <row r="23" spans="1:32" ht="23.25" customHeight="1">
      <c r="A23" s="1204"/>
      <c r="B23" s="1204"/>
      <c r="C23" s="1277"/>
      <c r="D23" s="1278"/>
      <c r="E23" s="1278"/>
      <c r="F23" s="1278"/>
      <c r="G23" s="1278" t="s">
        <v>253</v>
      </c>
      <c r="H23" s="1265" t="s">
        <v>62</v>
      </c>
      <c r="I23" s="1279" t="s">
        <v>108</v>
      </c>
      <c r="J23" s="1281" t="s">
        <v>30</v>
      </c>
      <c r="K23" s="1214"/>
      <c r="L23" s="1259"/>
      <c r="M23" s="1204"/>
      <c r="N23" s="1204"/>
      <c r="O23" s="1204"/>
      <c r="P23" s="1204"/>
      <c r="Q23" s="1204"/>
      <c r="R23" s="1204"/>
      <c r="S23" s="1204"/>
      <c r="T23" s="1204"/>
      <c r="U23" s="1204"/>
      <c r="V23" s="1204"/>
      <c r="W23" s="1204"/>
      <c r="X23" s="1204"/>
      <c r="Y23" s="1204"/>
      <c r="Z23" s="1204"/>
      <c r="AA23" s="1204"/>
      <c r="AB23" s="1204"/>
      <c r="AC23" s="1204"/>
      <c r="AD23" s="1204"/>
      <c r="AE23" s="1204"/>
      <c r="AF23" s="1204"/>
    </row>
    <row r="24" spans="1:32" ht="23.25" customHeight="1">
      <c r="A24" s="1204"/>
      <c r="B24" s="1204"/>
      <c r="C24" s="1239"/>
      <c r="D24" s="1282"/>
      <c r="E24" s="1240"/>
      <c r="F24" s="1240"/>
      <c r="G24" s="1240"/>
      <c r="H24" s="1240">
        <v>4.5999999999999996</v>
      </c>
      <c r="I24" s="1283">
        <v>0.9</v>
      </c>
      <c r="J24" s="1284" cm="1">
        <f t="array" ref="J24">SUM(IF(ISNUMBER(B24:I24), B24:I24, 0))</f>
        <v>5.5</v>
      </c>
      <c r="K24" s="1214"/>
      <c r="L24" s="1267" t="s">
        <v>22</v>
      </c>
      <c r="M24" s="1204"/>
      <c r="N24" s="1204"/>
      <c r="O24" s="1204"/>
      <c r="P24" s="1204"/>
      <c r="Q24" s="1204"/>
      <c r="R24" s="1204"/>
      <c r="S24" s="1204"/>
      <c r="T24" s="1204"/>
      <c r="U24" s="1204"/>
      <c r="V24" s="1204"/>
      <c r="W24" s="1204"/>
      <c r="X24" s="1204"/>
      <c r="Y24" s="1204"/>
      <c r="Z24" s="1204"/>
      <c r="AA24" s="1204"/>
      <c r="AB24" s="1204"/>
      <c r="AC24" s="1204"/>
      <c r="AD24" s="1204"/>
      <c r="AE24" s="1204"/>
      <c r="AF24" s="1204"/>
    </row>
    <row r="25" spans="1:32" ht="23.25" customHeight="1">
      <c r="A25" s="1204"/>
      <c r="B25" s="1204"/>
      <c r="C25" s="1239"/>
      <c r="D25" s="1282"/>
      <c r="E25" s="1240"/>
      <c r="F25" s="1240"/>
      <c r="G25" s="1240"/>
      <c r="H25" s="1240">
        <v>0</v>
      </c>
      <c r="I25" s="1283">
        <v>0.3</v>
      </c>
      <c r="J25" s="1284" cm="1">
        <f t="array" ref="J25">SUM(IF(ISNUMBER(B25:I25), B25:I25, 0))</f>
        <v>0.3</v>
      </c>
      <c r="K25" s="1214"/>
      <c r="L25" s="1267" t="s">
        <v>24</v>
      </c>
      <c r="M25" s="1204"/>
      <c r="N25" s="1204"/>
      <c r="O25" s="1204"/>
      <c r="P25" s="1204"/>
      <c r="Q25" s="1204"/>
      <c r="R25" s="1204"/>
      <c r="S25" s="1204"/>
      <c r="T25" s="1204"/>
      <c r="U25" s="1204"/>
      <c r="V25" s="1204"/>
      <c r="W25" s="1204"/>
      <c r="X25" s="1204"/>
      <c r="Y25" s="1204"/>
      <c r="Z25" s="1204"/>
      <c r="AA25" s="1204"/>
      <c r="AB25" s="1204"/>
      <c r="AC25" s="1204"/>
      <c r="AD25" s="1204"/>
      <c r="AE25" s="1204"/>
      <c r="AF25" s="1204"/>
    </row>
    <row r="26" spans="1:32" ht="23.25" customHeight="1">
      <c r="A26" s="1204"/>
      <c r="B26" s="1204"/>
      <c r="C26" s="1239"/>
      <c r="D26" s="1285"/>
      <c r="E26" s="1285"/>
      <c r="F26" s="1285"/>
      <c r="G26" s="1285"/>
      <c r="H26" s="1240">
        <v>0</v>
      </c>
      <c r="I26" s="1283">
        <v>0</v>
      </c>
      <c r="J26" s="1286" cm="1">
        <f t="array" ref="J26">SUM(IF(ISNUMBER(B26:I26), B26:I26, 0))</f>
        <v>0</v>
      </c>
      <c r="K26" s="1214"/>
      <c r="L26" s="1267" t="s">
        <v>26</v>
      </c>
      <c r="M26" s="1204"/>
      <c r="N26" s="1204"/>
      <c r="O26" s="1204"/>
      <c r="P26" s="1204"/>
      <c r="Q26" s="1204"/>
      <c r="R26" s="1204"/>
      <c r="S26" s="1204"/>
      <c r="T26" s="1204"/>
      <c r="U26" s="1204"/>
      <c r="V26" s="1204"/>
      <c r="W26" s="1204"/>
      <c r="X26" s="1204"/>
      <c r="Y26" s="1204"/>
      <c r="Z26" s="1204"/>
      <c r="AA26" s="1204"/>
      <c r="AB26" s="1204"/>
      <c r="AC26" s="1204"/>
      <c r="AD26" s="1204"/>
      <c r="AE26" s="1204"/>
      <c r="AF26" s="1204"/>
    </row>
    <row r="27" spans="1:32" ht="23.25" customHeight="1">
      <c r="A27" s="1204"/>
      <c r="B27" s="1204"/>
      <c r="C27" s="1287" t="s">
        <v>351</v>
      </c>
      <c r="D27" s="1248" t="s">
        <v>352</v>
      </c>
      <c r="E27" s="1248" t="s">
        <v>353</v>
      </c>
      <c r="F27" s="1288" t="s">
        <v>354</v>
      </c>
      <c r="G27" s="1248" t="s">
        <v>355</v>
      </c>
      <c r="H27" s="1248" t="s">
        <v>356</v>
      </c>
      <c r="I27" s="1289" t="s">
        <v>357</v>
      </c>
      <c r="J27" s="1245">
        <v>12.12</v>
      </c>
      <c r="K27" s="1214"/>
      <c r="L27" s="1243" t="s">
        <v>28</v>
      </c>
      <c r="M27" s="1204"/>
      <c r="N27" s="1204"/>
      <c r="O27" s="1204"/>
      <c r="P27" s="1204"/>
      <c r="Q27" s="1204"/>
      <c r="R27" s="1204"/>
      <c r="S27" s="1204"/>
      <c r="T27" s="1204"/>
      <c r="U27" s="1204"/>
      <c r="V27" s="1204"/>
      <c r="W27" s="1204"/>
      <c r="X27" s="1204"/>
      <c r="Y27" s="1204"/>
      <c r="Z27" s="1204"/>
      <c r="AA27" s="1204"/>
      <c r="AB27" s="1204"/>
      <c r="AC27" s="1204"/>
      <c r="AD27" s="1204"/>
      <c r="AE27" s="1204"/>
      <c r="AF27" s="1204"/>
    </row>
    <row r="28" spans="1:32" ht="23.25" customHeight="1">
      <c r="A28" s="1204"/>
      <c r="B28" s="1204"/>
      <c r="C28" s="1254">
        <v>18</v>
      </c>
      <c r="D28" s="1254">
        <v>19</v>
      </c>
      <c r="E28" s="1254">
        <v>20</v>
      </c>
      <c r="F28" s="1254">
        <v>21</v>
      </c>
      <c r="G28" s="1254">
        <v>22</v>
      </c>
      <c r="H28" s="1254">
        <v>23</v>
      </c>
      <c r="I28" s="1254">
        <v>24</v>
      </c>
      <c r="J28" s="1290"/>
      <c r="K28" s="1214"/>
      <c r="L28" s="1259"/>
      <c r="M28" s="1204"/>
      <c r="N28" s="1204"/>
      <c r="O28" s="1204"/>
      <c r="P28" s="1204"/>
      <c r="Q28" s="1204"/>
      <c r="R28" s="1204"/>
      <c r="S28" s="1204"/>
      <c r="T28" s="1204"/>
      <c r="U28" s="1204"/>
      <c r="V28" s="1204"/>
      <c r="W28" s="1204"/>
      <c r="X28" s="1204"/>
      <c r="Y28" s="1204"/>
      <c r="Z28" s="1204"/>
      <c r="AA28" s="1204"/>
      <c r="AB28" s="1204"/>
      <c r="AC28" s="1204"/>
      <c r="AD28" s="1204"/>
      <c r="AE28" s="1204"/>
      <c r="AF28" s="1204"/>
    </row>
    <row r="29" spans="1:32" ht="39" customHeight="1">
      <c r="A29" s="1204"/>
      <c r="B29" s="1204"/>
      <c r="C29" s="1221" t="s">
        <v>207</v>
      </c>
      <c r="D29" s="1222" t="s">
        <v>207</v>
      </c>
      <c r="E29" s="1223" t="s">
        <v>358</v>
      </c>
      <c r="F29" s="1291" t="s">
        <v>359</v>
      </c>
      <c r="G29" s="1292" t="s">
        <v>360</v>
      </c>
      <c r="H29" s="1222" t="s">
        <v>324</v>
      </c>
      <c r="I29" s="1224" t="s">
        <v>184</v>
      </c>
      <c r="J29" s="1258"/>
      <c r="K29" s="1214"/>
      <c r="L29" s="1259"/>
      <c r="M29" s="1204"/>
      <c r="N29" s="1204"/>
      <c r="O29" s="1204"/>
      <c r="P29" s="1204"/>
      <c r="Q29" s="1204"/>
      <c r="R29" s="1204"/>
      <c r="S29" s="1204"/>
      <c r="T29" s="1204"/>
      <c r="U29" s="1204"/>
      <c r="V29" s="1204"/>
      <c r="W29" s="1204"/>
      <c r="X29" s="1204"/>
      <c r="Y29" s="1204"/>
      <c r="Z29" s="1204"/>
      <c r="AA29" s="1204"/>
      <c r="AB29" s="1204"/>
      <c r="AC29" s="1204"/>
      <c r="AD29" s="1204"/>
      <c r="AE29" s="1204"/>
      <c r="AF29" s="1204"/>
    </row>
    <row r="30" spans="1:32" ht="23.25" customHeight="1">
      <c r="A30" s="1204"/>
      <c r="B30" s="1204"/>
      <c r="C30" s="1280">
        <v>0.66</v>
      </c>
      <c r="D30" s="1228">
        <v>0.56000000000000005</v>
      </c>
      <c r="E30" s="1228">
        <v>0.45</v>
      </c>
      <c r="F30" s="1228">
        <v>0.34</v>
      </c>
      <c r="G30" s="1228">
        <v>0.23</v>
      </c>
      <c r="H30" s="1228">
        <v>0.14000000000000001</v>
      </c>
      <c r="I30" s="1231">
        <v>7.0000000000000007E-2</v>
      </c>
      <c r="J30" s="1214"/>
      <c r="K30" s="1214"/>
      <c r="L30" s="1259"/>
      <c r="M30" s="1204"/>
      <c r="N30" s="1204"/>
      <c r="O30" s="1204"/>
      <c r="P30" s="1204"/>
      <c r="Q30" s="1204"/>
      <c r="R30" s="1204"/>
      <c r="S30" s="1204"/>
      <c r="T30" s="1204"/>
      <c r="U30" s="1204"/>
      <c r="V30" s="1204"/>
      <c r="W30" s="1204"/>
      <c r="X30" s="1204"/>
      <c r="Y30" s="1204"/>
      <c r="Z30" s="1204"/>
      <c r="AA30" s="1204"/>
      <c r="AB30" s="1204"/>
      <c r="AC30" s="1204"/>
      <c r="AD30" s="1204"/>
      <c r="AE30" s="1204"/>
      <c r="AF30" s="1204"/>
    </row>
    <row r="31" spans="1:32" ht="23.25" customHeight="1">
      <c r="A31" s="1204"/>
      <c r="B31" s="1204"/>
      <c r="C31" s="1233" t="s">
        <v>62</v>
      </c>
      <c r="D31" s="1265" t="s">
        <v>62</v>
      </c>
      <c r="E31" s="1265" t="s">
        <v>253</v>
      </c>
      <c r="F31" s="1234" t="s">
        <v>253</v>
      </c>
      <c r="G31" s="1234" t="s">
        <v>62</v>
      </c>
      <c r="H31" s="1234" t="s">
        <v>253</v>
      </c>
      <c r="I31" s="1279" t="s">
        <v>340</v>
      </c>
      <c r="J31" s="1281" t="s">
        <v>31</v>
      </c>
      <c r="K31" s="1214"/>
      <c r="L31" s="1259"/>
      <c r="M31" s="1204"/>
      <c r="N31" s="1204"/>
      <c r="O31" s="1204"/>
      <c r="P31" s="1204"/>
      <c r="Q31" s="1204"/>
      <c r="R31" s="1204"/>
      <c r="S31" s="1204"/>
      <c r="T31" s="1204"/>
      <c r="U31" s="1204"/>
      <c r="V31" s="1204"/>
      <c r="W31" s="1204"/>
      <c r="X31" s="1204"/>
      <c r="Y31" s="1204"/>
      <c r="Z31" s="1204"/>
      <c r="AA31" s="1204"/>
      <c r="AB31" s="1204"/>
      <c r="AC31" s="1204"/>
      <c r="AD31" s="1204"/>
      <c r="AE31" s="1204"/>
      <c r="AF31" s="1204"/>
    </row>
    <row r="32" spans="1:32" ht="23.25" customHeight="1">
      <c r="A32" s="1204"/>
      <c r="B32" s="1204"/>
      <c r="C32" s="1239" t="s">
        <v>361</v>
      </c>
      <c r="D32" s="1240" t="s">
        <v>361</v>
      </c>
      <c r="E32" s="1240">
        <v>6.5</v>
      </c>
      <c r="F32" s="1240">
        <v>6</v>
      </c>
      <c r="G32" s="1240">
        <v>3.2</v>
      </c>
      <c r="H32" s="1240">
        <v>2.1</v>
      </c>
      <c r="I32" s="1283">
        <v>5.5</v>
      </c>
      <c r="J32" s="1284" cm="1">
        <f t="array" ref="J32">SUM(IF(ISNUMBER(B32:I32), B32:I32, 0))</f>
        <v>23.3</v>
      </c>
      <c r="K32" s="1214"/>
      <c r="L32" s="1267" t="s">
        <v>22</v>
      </c>
      <c r="M32" s="1204"/>
      <c r="N32" s="1204"/>
      <c r="O32" s="1204"/>
      <c r="P32" s="1204"/>
      <c r="Q32" s="1204"/>
      <c r="R32" s="1204"/>
      <c r="S32" s="1204"/>
      <c r="T32" s="1204"/>
      <c r="U32" s="1204"/>
      <c r="V32" s="1204"/>
      <c r="W32" s="1204"/>
      <c r="X32" s="1204"/>
      <c r="Y32" s="1204"/>
      <c r="Z32" s="1204"/>
      <c r="AA32" s="1204"/>
      <c r="AB32" s="1204"/>
      <c r="AC32" s="1204"/>
      <c r="AD32" s="1204"/>
      <c r="AE32" s="1204"/>
      <c r="AF32" s="1204"/>
    </row>
    <row r="33" spans="1:32" ht="23.25" customHeight="1">
      <c r="A33" s="1204"/>
      <c r="B33" s="1204"/>
      <c r="C33" s="1239"/>
      <c r="D33" s="1240"/>
      <c r="E33" s="1240">
        <v>0.7</v>
      </c>
      <c r="F33" s="1240">
        <v>0</v>
      </c>
      <c r="G33" s="1210">
        <v>0</v>
      </c>
      <c r="H33" s="1240">
        <v>0.4</v>
      </c>
      <c r="I33" s="1283">
        <v>0.1</v>
      </c>
      <c r="J33" s="1284" cm="1">
        <f t="array" ref="J33">SUM(IF(ISNUMBER(B33:I33), B33:I33, 0))</f>
        <v>1.2000000000000002</v>
      </c>
      <c r="K33" s="1214"/>
      <c r="L33" s="1267" t="s">
        <v>24</v>
      </c>
      <c r="M33" s="1204"/>
      <c r="N33" s="1204"/>
      <c r="O33" s="1204"/>
      <c r="P33" s="1204"/>
      <c r="Q33" s="1204"/>
      <c r="R33" s="1204"/>
      <c r="S33" s="1204"/>
      <c r="T33" s="1204"/>
      <c r="U33" s="1204"/>
      <c r="V33" s="1204"/>
      <c r="W33" s="1204"/>
      <c r="X33" s="1204"/>
      <c r="Y33" s="1204"/>
      <c r="Z33" s="1204"/>
      <c r="AA33" s="1204"/>
      <c r="AB33" s="1204"/>
      <c r="AC33" s="1204"/>
      <c r="AD33" s="1204"/>
      <c r="AE33" s="1204"/>
      <c r="AF33" s="1204"/>
    </row>
    <row r="34" spans="1:32" ht="23.25" customHeight="1">
      <c r="A34" s="1204"/>
      <c r="B34" s="1204"/>
      <c r="C34" s="1239"/>
      <c r="D34" s="1240"/>
      <c r="E34" s="1240">
        <v>0</v>
      </c>
      <c r="F34" s="1240">
        <v>0</v>
      </c>
      <c r="G34" s="1240">
        <v>0</v>
      </c>
      <c r="H34" s="1240">
        <v>0</v>
      </c>
      <c r="I34" s="1283">
        <v>0</v>
      </c>
      <c r="J34" s="1286" cm="1">
        <f t="array" ref="J34">SUM(IF(ISNUMBER(B34:I34), B34:I34, 0))</f>
        <v>0</v>
      </c>
      <c r="K34" s="1214"/>
      <c r="L34" s="1267" t="s">
        <v>26</v>
      </c>
      <c r="M34" s="1204"/>
      <c r="N34" s="1204"/>
      <c r="O34" s="1204"/>
      <c r="P34" s="1204"/>
      <c r="Q34" s="1204"/>
      <c r="R34" s="1204"/>
      <c r="S34" s="1204"/>
      <c r="T34" s="1204"/>
      <c r="U34" s="1204"/>
      <c r="V34" s="1204"/>
      <c r="W34" s="1204"/>
      <c r="X34" s="1204"/>
      <c r="Y34" s="1204"/>
      <c r="Z34" s="1204"/>
      <c r="AA34" s="1204"/>
      <c r="AB34" s="1204"/>
      <c r="AC34" s="1204"/>
      <c r="AD34" s="1204"/>
      <c r="AE34" s="1204"/>
      <c r="AF34" s="1204"/>
    </row>
    <row r="35" spans="1:32" ht="23.25" customHeight="1">
      <c r="A35" s="1204"/>
      <c r="B35" s="1204"/>
      <c r="C35" s="1268" t="s">
        <v>362</v>
      </c>
      <c r="D35" s="1248" t="s">
        <v>363</v>
      </c>
      <c r="E35" s="1248" t="s">
        <v>364</v>
      </c>
      <c r="F35" s="1248" t="s">
        <v>365</v>
      </c>
      <c r="G35" s="1248" t="s">
        <v>366</v>
      </c>
      <c r="H35" s="1248" t="s">
        <v>367</v>
      </c>
      <c r="I35" s="1293" t="s">
        <v>368</v>
      </c>
      <c r="J35" s="1245">
        <v>41.13</v>
      </c>
      <c r="K35" s="1214"/>
      <c r="L35" s="1243" t="s">
        <v>28</v>
      </c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  <c r="Z35" s="1204"/>
      <c r="AA35" s="1204"/>
      <c r="AB35" s="1204"/>
      <c r="AC35" s="1204"/>
      <c r="AD35" s="1204"/>
      <c r="AE35" s="1204"/>
      <c r="AF35" s="1204"/>
    </row>
    <row r="36" spans="1:32" ht="23.25" customHeight="1">
      <c r="A36" s="1204"/>
      <c r="B36" s="1204"/>
      <c r="C36" s="1254">
        <v>25</v>
      </c>
      <c r="D36" s="1254">
        <v>26</v>
      </c>
      <c r="E36" s="1254">
        <v>27</v>
      </c>
      <c r="F36" s="1254">
        <v>28</v>
      </c>
      <c r="G36" s="1254">
        <v>29</v>
      </c>
      <c r="H36" s="1254">
        <v>30</v>
      </c>
      <c r="I36" s="1254">
        <v>31</v>
      </c>
      <c r="J36" s="1290"/>
      <c r="K36" s="1214"/>
      <c r="L36" s="1259"/>
      <c r="M36" s="1204"/>
      <c r="N36" s="1204"/>
      <c r="O36" s="1204"/>
      <c r="P36" s="1204"/>
      <c r="Q36" s="1204"/>
      <c r="R36" s="1204"/>
      <c r="S36" s="1204"/>
      <c r="T36" s="1204"/>
      <c r="U36" s="1204"/>
      <c r="V36" s="1204"/>
      <c r="W36" s="1204"/>
      <c r="X36" s="1204"/>
      <c r="Y36" s="1204"/>
      <c r="Z36" s="1204"/>
      <c r="AA36" s="1204"/>
      <c r="AB36" s="1204"/>
      <c r="AC36" s="1204"/>
      <c r="AD36" s="1204"/>
      <c r="AE36" s="1204"/>
      <c r="AF36" s="1204"/>
    </row>
    <row r="37" spans="1:32" ht="23.25" customHeight="1">
      <c r="A37" s="1204"/>
      <c r="B37" s="1204"/>
      <c r="C37" s="1294" t="s">
        <v>330</v>
      </c>
      <c r="D37" s="1295" t="s">
        <v>62</v>
      </c>
      <c r="E37" s="1295" t="s">
        <v>369</v>
      </c>
      <c r="F37" s="1295" t="s">
        <v>251</v>
      </c>
      <c r="G37" s="1295" t="s">
        <v>251</v>
      </c>
      <c r="H37" s="1295" t="s">
        <v>305</v>
      </c>
      <c r="I37" s="1224" t="s">
        <v>251</v>
      </c>
      <c r="J37" s="1258"/>
      <c r="K37" s="1214"/>
      <c r="L37" s="1259"/>
      <c r="M37" s="1204"/>
      <c r="N37" s="1204"/>
      <c r="O37" s="1204"/>
      <c r="P37" s="1204"/>
      <c r="Q37" s="1204"/>
      <c r="R37" s="1204"/>
      <c r="S37" s="1204"/>
      <c r="T37" s="1204"/>
      <c r="U37" s="1204"/>
      <c r="V37" s="1204"/>
      <c r="W37" s="1204"/>
      <c r="X37" s="1204"/>
      <c r="Y37" s="1204"/>
      <c r="Z37" s="1204"/>
      <c r="AA37" s="1204"/>
      <c r="AB37" s="1204"/>
      <c r="AC37" s="1204"/>
      <c r="AD37" s="1204"/>
      <c r="AE37" s="1204"/>
      <c r="AF37" s="1204"/>
    </row>
    <row r="38" spans="1:32" ht="23.25" customHeight="1">
      <c r="A38" s="1204"/>
      <c r="B38" s="1204"/>
      <c r="C38" s="1280">
        <v>0.02</v>
      </c>
      <c r="D38" s="1228">
        <v>0</v>
      </c>
      <c r="E38" s="1228">
        <v>0.01</v>
      </c>
      <c r="F38" s="1228">
        <v>0.05</v>
      </c>
      <c r="G38" s="1228">
        <v>0.12</v>
      </c>
      <c r="H38" s="1228">
        <v>0.2</v>
      </c>
      <c r="I38" s="1231">
        <v>0.28999999999999998</v>
      </c>
      <c r="J38" s="1214"/>
      <c r="K38" s="1214"/>
      <c r="L38" s="1259"/>
      <c r="M38" s="1204"/>
      <c r="N38" s="1204"/>
      <c r="O38" s="1204"/>
      <c r="P38" s="1204"/>
      <c r="Q38" s="1204"/>
      <c r="R38" s="1204"/>
      <c r="S38" s="1204"/>
      <c r="T38" s="1204"/>
      <c r="U38" s="1204"/>
      <c r="V38" s="1204"/>
      <c r="W38" s="1204"/>
      <c r="X38" s="1204"/>
      <c r="Y38" s="1204"/>
      <c r="Z38" s="1204"/>
      <c r="AA38" s="1204"/>
      <c r="AB38" s="1204"/>
      <c r="AC38" s="1204"/>
      <c r="AD38" s="1204"/>
      <c r="AE38" s="1204"/>
      <c r="AF38" s="1204"/>
    </row>
    <row r="39" spans="1:32" ht="23.25" customHeight="1">
      <c r="A39" s="1204"/>
      <c r="B39" s="1204"/>
      <c r="C39" s="1233" t="s">
        <v>62</v>
      </c>
      <c r="D39" s="1234" t="s">
        <v>108</v>
      </c>
      <c r="E39" s="1234" t="s">
        <v>253</v>
      </c>
      <c r="F39" s="1234" t="s">
        <v>340</v>
      </c>
      <c r="G39" s="1234" t="s">
        <v>340</v>
      </c>
      <c r="H39" s="1234" t="s">
        <v>42</v>
      </c>
      <c r="I39" s="1236" t="s">
        <v>340</v>
      </c>
      <c r="J39" s="1237" t="s">
        <v>32</v>
      </c>
      <c r="K39" s="1214"/>
      <c r="L39" s="1259"/>
      <c r="M39" s="1204"/>
      <c r="N39" s="1204"/>
      <c r="O39" s="1204"/>
      <c r="P39" s="1204"/>
      <c r="Q39" s="1204"/>
      <c r="R39" s="1204"/>
      <c r="S39" s="1204"/>
      <c r="T39" s="1204"/>
      <c r="U39" s="1204"/>
      <c r="V39" s="1204"/>
      <c r="W39" s="1204"/>
      <c r="X39" s="1204"/>
      <c r="Y39" s="1204"/>
      <c r="Z39" s="1204"/>
      <c r="AA39" s="1204"/>
      <c r="AB39" s="1204"/>
      <c r="AC39" s="1204"/>
      <c r="AD39" s="1204"/>
      <c r="AE39" s="1204"/>
      <c r="AF39" s="1204"/>
    </row>
    <row r="40" spans="1:32" ht="23.25" customHeight="1">
      <c r="A40" s="1204"/>
      <c r="B40" s="1204"/>
      <c r="C40" s="1296">
        <v>6.2</v>
      </c>
      <c r="D40" s="1285">
        <v>6.6</v>
      </c>
      <c r="E40" s="1285">
        <v>6.5</v>
      </c>
      <c r="F40" s="1285">
        <v>4.0999999999999996</v>
      </c>
      <c r="G40" s="1285">
        <v>6.6</v>
      </c>
      <c r="H40" s="1285">
        <v>3.9</v>
      </c>
      <c r="I40" s="1258">
        <v>1.7</v>
      </c>
      <c r="J40" s="1242" cm="1">
        <f t="array" ref="J40">SUM(IF(ISNUMBER(B40:I40), B40:I40, 0))</f>
        <v>35.6</v>
      </c>
      <c r="K40" s="1214"/>
      <c r="L40" s="1267" t="s">
        <v>22</v>
      </c>
      <c r="M40" s="1204"/>
      <c r="N40" s="1204"/>
      <c r="O40" s="1204"/>
      <c r="P40" s="1204"/>
      <c r="Q40" s="1204"/>
      <c r="R40" s="1204"/>
      <c r="S40" s="1204"/>
      <c r="T40" s="1204"/>
      <c r="U40" s="1204"/>
      <c r="V40" s="1204"/>
      <c r="W40" s="1204"/>
      <c r="X40" s="1204"/>
      <c r="Y40" s="1204"/>
      <c r="Z40" s="1204"/>
      <c r="AA40" s="1204"/>
      <c r="AB40" s="1204"/>
      <c r="AC40" s="1204"/>
      <c r="AD40" s="1204"/>
      <c r="AE40" s="1204"/>
      <c r="AF40" s="1204"/>
    </row>
    <row r="41" spans="1:32" ht="23.25" customHeight="1">
      <c r="A41" s="1204"/>
      <c r="B41" s="1204"/>
      <c r="C41" s="1239">
        <v>0</v>
      </c>
      <c r="D41" s="1240">
        <v>0</v>
      </c>
      <c r="E41" s="1240">
        <v>0.2</v>
      </c>
      <c r="F41" s="1240">
        <v>0</v>
      </c>
      <c r="G41" s="1240">
        <v>0</v>
      </c>
      <c r="H41" s="1240">
        <v>0</v>
      </c>
      <c r="I41" s="1210">
        <v>0</v>
      </c>
      <c r="J41" s="1242" cm="1">
        <f t="array" ref="J41">SUM(IF(ISNUMBER(B41:I41), B41:I41, 0))</f>
        <v>0.2</v>
      </c>
      <c r="K41" s="1214"/>
      <c r="L41" s="1267" t="s">
        <v>24</v>
      </c>
      <c r="M41" s="1204"/>
      <c r="N41" s="1204"/>
      <c r="O41" s="1204"/>
      <c r="P41" s="1204"/>
      <c r="Q41" s="1204"/>
      <c r="R41" s="1204"/>
      <c r="S41" s="1204"/>
      <c r="T41" s="1204"/>
      <c r="U41" s="1204"/>
      <c r="V41" s="1204"/>
      <c r="W41" s="1204"/>
      <c r="X41" s="1204"/>
      <c r="Y41" s="1204"/>
      <c r="Z41" s="1204"/>
      <c r="AA41" s="1204"/>
      <c r="AB41" s="1204"/>
      <c r="AC41" s="1204"/>
      <c r="AD41" s="1204"/>
      <c r="AE41" s="1204"/>
      <c r="AF41" s="1204"/>
    </row>
    <row r="42" spans="1:32" ht="23.25" customHeight="1">
      <c r="A42" s="1204"/>
      <c r="B42" s="1204"/>
      <c r="C42" s="1239">
        <v>0.2</v>
      </c>
      <c r="D42" s="1240">
        <v>0</v>
      </c>
      <c r="E42" s="1240">
        <v>0</v>
      </c>
      <c r="F42" s="1240">
        <v>0</v>
      </c>
      <c r="G42" s="1240">
        <v>0</v>
      </c>
      <c r="H42" s="1240">
        <v>0</v>
      </c>
      <c r="I42" s="1210">
        <v>0</v>
      </c>
      <c r="J42" s="1245" cm="1">
        <f t="array" ref="J42">SUM(IF(ISNUMBER(B42:I42), B42:I42, 0))</f>
        <v>0.2</v>
      </c>
      <c r="K42" s="1214"/>
      <c r="L42" s="1267" t="s">
        <v>26</v>
      </c>
      <c r="M42" s="1204"/>
      <c r="N42" s="1204"/>
      <c r="O42" s="1204"/>
      <c r="P42" s="1204"/>
      <c r="Q42" s="1204"/>
      <c r="R42" s="1204"/>
      <c r="S42" s="1204"/>
      <c r="T42" s="1204"/>
      <c r="U42" s="1204"/>
      <c r="V42" s="1204"/>
      <c r="W42" s="1204"/>
      <c r="X42" s="1204"/>
      <c r="Y42" s="1204"/>
      <c r="Z42" s="1204"/>
      <c r="AA42" s="1204"/>
      <c r="AB42" s="1204"/>
      <c r="AC42" s="1204"/>
      <c r="AD42" s="1204"/>
      <c r="AE42" s="1204"/>
      <c r="AF42" s="1204"/>
    </row>
    <row r="43" spans="1:32" ht="23.25" customHeight="1">
      <c r="A43" s="1204"/>
      <c r="B43" s="1204"/>
      <c r="C43" s="1297" t="s">
        <v>370</v>
      </c>
      <c r="D43" s="1251" t="s">
        <v>371</v>
      </c>
      <c r="E43" s="1288" t="s">
        <v>372</v>
      </c>
      <c r="F43" s="1248" t="s">
        <v>373</v>
      </c>
      <c r="G43" s="1248" t="s">
        <v>374</v>
      </c>
      <c r="H43" s="1248" t="s">
        <v>375</v>
      </c>
      <c r="I43" s="1289" t="s">
        <v>376</v>
      </c>
      <c r="J43" s="1245">
        <v>31.08</v>
      </c>
      <c r="K43" s="1214"/>
      <c r="L43" s="1243" t="s">
        <v>28</v>
      </c>
      <c r="M43" s="1204"/>
      <c r="N43" s="1204"/>
      <c r="O43" s="1204"/>
      <c r="P43" s="1204"/>
      <c r="Q43" s="1204"/>
      <c r="R43" s="1204"/>
      <c r="S43" s="1204"/>
      <c r="T43" s="1204"/>
      <c r="U43" s="1204"/>
      <c r="V43" s="1204"/>
      <c r="W43" s="1204"/>
      <c r="X43" s="1204"/>
      <c r="Y43" s="1204"/>
      <c r="Z43" s="1204"/>
      <c r="AA43" s="1204"/>
      <c r="AB43" s="1204"/>
      <c r="AC43" s="1204"/>
      <c r="AD43" s="1204"/>
      <c r="AE43" s="1204"/>
      <c r="AF43" s="1204"/>
    </row>
    <row r="44" spans="1:32" ht="23.25" customHeight="1">
      <c r="A44" s="1204"/>
      <c r="B44" s="1204"/>
      <c r="C44" s="1218"/>
      <c r="D44" s="1298"/>
      <c r="E44" s="1290"/>
      <c r="F44" s="1214"/>
      <c r="G44" s="1214"/>
      <c r="H44" s="1214"/>
      <c r="I44" s="1214"/>
      <c r="J44" s="1214"/>
      <c r="K44" s="1214"/>
      <c r="L44" s="1238"/>
      <c r="M44" s="1204"/>
      <c r="N44" s="1204"/>
      <c r="O44" s="1204"/>
      <c r="P44" s="1204"/>
      <c r="Q44" s="1204"/>
      <c r="R44" s="1204"/>
      <c r="S44" s="1204"/>
      <c r="T44" s="1204"/>
      <c r="U44" s="1204"/>
      <c r="V44" s="1204"/>
      <c r="W44" s="1204"/>
      <c r="X44" s="1204"/>
      <c r="Y44" s="1204"/>
      <c r="Z44" s="1204"/>
      <c r="AA44" s="1204"/>
      <c r="AB44" s="1204"/>
      <c r="AC44" s="1204"/>
      <c r="AD44" s="1204"/>
      <c r="AE44" s="1204"/>
      <c r="AF44" s="1204"/>
    </row>
    <row r="45" spans="1:32" ht="23.25" customHeight="1">
      <c r="A45" s="1204"/>
      <c r="B45" s="1204"/>
      <c r="C45" s="1299"/>
      <c r="D45" s="1300"/>
      <c r="E45" s="1258"/>
      <c r="F45" s="1214"/>
      <c r="G45" s="1214"/>
      <c r="H45" s="1214"/>
      <c r="I45" s="1214"/>
      <c r="J45" s="1214"/>
      <c r="K45" s="1214"/>
      <c r="L45" s="1204"/>
      <c r="M45" s="1204"/>
      <c r="N45" s="1204"/>
      <c r="O45" s="1204"/>
      <c r="P45" s="1204"/>
      <c r="Q45" s="1204"/>
      <c r="R45" s="1204"/>
      <c r="S45" s="1204"/>
      <c r="T45" s="1204"/>
      <c r="U45" s="1204"/>
      <c r="V45" s="1204"/>
      <c r="W45" s="1204"/>
      <c r="X45" s="1204"/>
      <c r="Y45" s="1204"/>
      <c r="Z45" s="1204"/>
      <c r="AA45" s="1204"/>
      <c r="AB45" s="1204"/>
      <c r="AC45" s="1204"/>
      <c r="AD45" s="1204"/>
      <c r="AE45" s="1204"/>
      <c r="AF45" s="1204"/>
    </row>
    <row r="46" spans="1:32" ht="23.25" customHeight="1">
      <c r="A46" s="1204"/>
      <c r="B46" s="1204"/>
      <c r="C46" s="1301"/>
      <c r="D46" s="1302"/>
      <c r="E46" s="1214"/>
      <c r="F46" s="1214"/>
      <c r="G46" s="1214"/>
      <c r="H46" s="1214"/>
      <c r="I46" s="1214"/>
      <c r="J46" s="1214"/>
      <c r="K46" s="1214"/>
      <c r="L46" s="1204"/>
      <c r="M46" s="1204"/>
      <c r="N46" s="1204"/>
      <c r="O46" s="1204"/>
      <c r="P46" s="1204"/>
      <c r="Q46" s="1204"/>
      <c r="R46" s="1204"/>
      <c r="S46" s="1204"/>
      <c r="T46" s="1204"/>
      <c r="U46" s="1204"/>
      <c r="V46" s="1204"/>
      <c r="W46" s="1204"/>
      <c r="X46" s="1204"/>
      <c r="Y46" s="1204"/>
      <c r="Z46" s="1204"/>
      <c r="AA46" s="1204"/>
      <c r="AB46" s="1204"/>
      <c r="AC46" s="1204"/>
      <c r="AD46" s="1204"/>
      <c r="AE46" s="1204"/>
      <c r="AF46" s="1204"/>
    </row>
    <row r="47" spans="1:32" ht="23.25" customHeight="1">
      <c r="A47" s="1204"/>
      <c r="B47" s="1204"/>
      <c r="C47" s="1233"/>
      <c r="D47" s="1300"/>
      <c r="E47" s="1214"/>
      <c r="G47" s="1214"/>
      <c r="H47" s="1214"/>
      <c r="I47" s="1214"/>
      <c r="J47" s="1237" t="s">
        <v>33</v>
      </c>
      <c r="K47" s="1303"/>
      <c r="L47" s="1204"/>
      <c r="M47" s="1204"/>
      <c r="N47" s="1204"/>
      <c r="O47" s="1204"/>
      <c r="P47" s="1204"/>
      <c r="Q47" s="1204"/>
      <c r="R47" s="1204"/>
      <c r="S47" s="1204"/>
      <c r="T47" s="1204"/>
      <c r="U47" s="1204"/>
      <c r="V47" s="1204"/>
      <c r="W47" s="1204"/>
      <c r="X47" s="1204"/>
      <c r="Y47" s="1204"/>
      <c r="Z47" s="1204"/>
      <c r="AA47" s="1204"/>
      <c r="AB47" s="1204"/>
      <c r="AC47" s="1204"/>
      <c r="AD47" s="1204"/>
      <c r="AE47" s="1204"/>
      <c r="AF47" s="1204"/>
    </row>
    <row r="48" spans="1:32" ht="23.25" customHeight="1">
      <c r="A48" s="1204"/>
      <c r="B48" s="1204"/>
      <c r="C48" s="1296"/>
      <c r="D48" s="1302"/>
      <c r="E48" s="1214"/>
      <c r="G48" s="1214"/>
      <c r="H48" s="1214"/>
      <c r="I48" s="1214"/>
      <c r="J48" s="1242" cm="1">
        <f t="array" ref="J48">SUM(IF(ISNUMBER(B48:D48), B48:D48, 0))</f>
        <v>0</v>
      </c>
      <c r="L48" s="1267" t="s">
        <v>22</v>
      </c>
      <c r="M48" s="1204"/>
      <c r="N48" s="1204"/>
      <c r="O48" s="1204"/>
      <c r="P48" s="1204"/>
      <c r="Q48" s="1204"/>
      <c r="R48" s="1204"/>
      <c r="S48" s="1204"/>
      <c r="T48" s="1204"/>
      <c r="U48" s="1204"/>
      <c r="V48" s="1204"/>
      <c r="W48" s="1204"/>
      <c r="X48" s="1204"/>
      <c r="Y48" s="1204"/>
      <c r="Z48" s="1204"/>
      <c r="AA48" s="1204"/>
      <c r="AB48" s="1204"/>
      <c r="AC48" s="1204"/>
      <c r="AD48" s="1204"/>
      <c r="AE48" s="1204"/>
      <c r="AF48" s="1204"/>
    </row>
    <row r="49" spans="1:32" ht="23.25" customHeight="1">
      <c r="A49" s="1204"/>
      <c r="B49" s="1204"/>
      <c r="C49" s="1239"/>
      <c r="D49" s="1302"/>
      <c r="E49" s="1214"/>
      <c r="G49" s="1214"/>
      <c r="H49" s="1214"/>
      <c r="I49" s="1214"/>
      <c r="J49" s="1242" cm="1">
        <f t="array" ref="J49">SUM(IF(ISNUMBER(B49:D49), B49:D49, 0))</f>
        <v>0</v>
      </c>
      <c r="L49" s="1267" t="s">
        <v>24</v>
      </c>
      <c r="M49" s="1204"/>
      <c r="N49" s="1204"/>
      <c r="O49" s="1204"/>
      <c r="P49" s="1204"/>
      <c r="Q49" s="1204"/>
      <c r="R49" s="1204"/>
      <c r="S49" s="1204"/>
      <c r="T49" s="1204"/>
      <c r="U49" s="1204"/>
      <c r="V49" s="1204"/>
      <c r="W49" s="1204"/>
      <c r="X49" s="1204"/>
      <c r="Y49" s="1204"/>
      <c r="Z49" s="1204"/>
      <c r="AA49" s="1204"/>
      <c r="AB49" s="1204"/>
      <c r="AC49" s="1204"/>
      <c r="AD49" s="1204"/>
      <c r="AE49" s="1204"/>
      <c r="AF49" s="1204"/>
    </row>
    <row r="50" spans="1:32" ht="23.25" customHeight="1">
      <c r="A50" s="1204"/>
      <c r="B50" s="1204"/>
      <c r="C50" s="1239"/>
      <c r="D50" s="1302"/>
      <c r="E50" s="1214"/>
      <c r="G50" s="1214"/>
      <c r="H50" s="1214"/>
      <c r="I50" s="1214"/>
      <c r="J50" s="1245" cm="1">
        <f t="array" ref="J50">SUM(IF(ISNUMBER(B50:D50), B50:D50, 0))</f>
        <v>0</v>
      </c>
      <c r="L50" s="1267" t="s">
        <v>26</v>
      </c>
      <c r="M50" s="1204"/>
      <c r="N50" s="1204"/>
      <c r="O50" s="1204"/>
      <c r="P50" s="1204"/>
      <c r="Q50" s="1204"/>
      <c r="R50" s="1204"/>
      <c r="S50" s="1204"/>
      <c r="T50" s="1204"/>
      <c r="U50" s="1204"/>
      <c r="V50" s="1204"/>
      <c r="W50" s="1204"/>
      <c r="X50" s="1204"/>
      <c r="Y50" s="1204"/>
      <c r="Z50" s="1204"/>
      <c r="AA50" s="1204"/>
      <c r="AB50" s="1204"/>
      <c r="AC50" s="1204"/>
      <c r="AD50" s="1204"/>
      <c r="AE50" s="1204"/>
      <c r="AF50" s="1204"/>
    </row>
    <row r="51" spans="1:32" ht="23.25" customHeight="1">
      <c r="A51" s="1204"/>
      <c r="B51" s="1204"/>
      <c r="C51" s="1268"/>
      <c r="D51" s="1289"/>
      <c r="G51" s="1214"/>
      <c r="H51" s="1214"/>
      <c r="I51" s="1214"/>
      <c r="J51" s="1245"/>
      <c r="L51" s="1243" t="s">
        <v>28</v>
      </c>
      <c r="M51" s="1204"/>
      <c r="N51" s="1204"/>
      <c r="O51" s="1204"/>
      <c r="P51" s="1204"/>
      <c r="Q51" s="1204"/>
      <c r="R51" s="1204"/>
      <c r="S51" s="1204"/>
      <c r="T51" s="1204"/>
      <c r="U51" s="1204"/>
      <c r="V51" s="1204"/>
      <c r="W51" s="1204"/>
      <c r="X51" s="1204"/>
      <c r="Y51" s="1204"/>
      <c r="Z51" s="1204"/>
      <c r="AA51" s="1204"/>
      <c r="AB51" s="1204"/>
      <c r="AC51" s="1204"/>
      <c r="AD51" s="1204"/>
      <c r="AE51" s="1204"/>
      <c r="AF51" s="1204"/>
    </row>
    <row r="52" spans="1:32" ht="23.25" customHeight="1">
      <c r="A52" s="1204"/>
      <c r="B52" s="1204"/>
      <c r="C52" s="1214"/>
      <c r="D52" s="1214"/>
      <c r="E52" s="1214"/>
      <c r="F52" s="1214"/>
      <c r="G52" s="1214"/>
      <c r="H52" s="1214"/>
      <c r="I52" s="1214"/>
      <c r="J52" s="1214"/>
      <c r="K52" s="1214"/>
      <c r="L52" s="1204"/>
      <c r="M52" s="1204"/>
      <c r="N52" s="1204"/>
      <c r="O52" s="1204"/>
      <c r="P52" s="1204"/>
      <c r="Q52" s="1204"/>
      <c r="R52" s="1204"/>
      <c r="S52" s="1204"/>
      <c r="T52" s="1204"/>
      <c r="U52" s="1204"/>
      <c r="V52" s="1204"/>
      <c r="W52" s="1204"/>
      <c r="X52" s="1204"/>
      <c r="Y52" s="1204"/>
      <c r="Z52" s="1204"/>
      <c r="AA52" s="1204"/>
      <c r="AB52" s="1204"/>
      <c r="AC52" s="1204"/>
      <c r="AD52" s="1204"/>
      <c r="AE52" s="1204"/>
      <c r="AF52" s="1204"/>
    </row>
    <row r="53" spans="1:32" ht="22.5" customHeight="1">
      <c r="A53" s="1204"/>
      <c r="B53" s="1204"/>
      <c r="C53" s="1204"/>
      <c r="D53" s="1204"/>
      <c r="E53" s="1204"/>
      <c r="F53" s="1204"/>
      <c r="G53" s="1204"/>
      <c r="H53" s="1204"/>
      <c r="I53" s="1204"/>
      <c r="J53" s="1204"/>
      <c r="K53" s="1204"/>
      <c r="L53" s="1204"/>
      <c r="M53" s="1204"/>
      <c r="N53" s="1204"/>
      <c r="O53" s="1204"/>
      <c r="P53" s="1204"/>
      <c r="Q53" s="1204"/>
      <c r="R53" s="1204"/>
      <c r="S53" s="1204"/>
      <c r="T53" s="1204"/>
      <c r="U53" s="1204"/>
      <c r="V53" s="1204"/>
      <c r="W53" s="1204"/>
      <c r="X53" s="1204"/>
      <c r="Y53" s="1204"/>
      <c r="Z53" s="1204"/>
      <c r="AA53" s="1204"/>
      <c r="AB53" s="1204"/>
      <c r="AC53" s="1204"/>
      <c r="AD53" s="1204"/>
      <c r="AE53" s="1204"/>
      <c r="AF53" s="1204"/>
    </row>
    <row r="54" spans="1:32" ht="17.45">
      <c r="A54" s="1204"/>
      <c r="B54" s="1204"/>
      <c r="C54" s="1204"/>
      <c r="D54" s="1204"/>
      <c r="E54" s="1204"/>
      <c r="F54" s="1204"/>
      <c r="G54" s="1204"/>
      <c r="H54" s="1204"/>
      <c r="I54" s="1204"/>
      <c r="J54" s="1204"/>
      <c r="K54" s="1204"/>
      <c r="L54" s="1204"/>
      <c r="M54" s="1204"/>
      <c r="N54" s="1204"/>
      <c r="O54" s="1204"/>
      <c r="P54" s="1204"/>
      <c r="Q54" s="1204"/>
      <c r="R54" s="1204"/>
      <c r="S54" s="1204"/>
      <c r="T54" s="1204"/>
      <c r="U54" s="1204"/>
      <c r="V54" s="1204"/>
      <c r="W54" s="1204"/>
      <c r="X54" s="1204"/>
      <c r="Y54" s="1204"/>
      <c r="Z54" s="1204"/>
      <c r="AA54" s="1204"/>
      <c r="AB54" s="1204"/>
      <c r="AC54" s="1204"/>
      <c r="AD54" s="1204"/>
      <c r="AE54" s="1204"/>
      <c r="AF54" s="1204"/>
    </row>
    <row r="55" spans="1:32" ht="17.45">
      <c r="A55" s="1204"/>
      <c r="B55" s="1204"/>
      <c r="C55" s="1204"/>
      <c r="D55" s="1204"/>
      <c r="E55" s="1204"/>
      <c r="F55" s="1204"/>
      <c r="G55" s="1204"/>
      <c r="H55" s="1204"/>
      <c r="I55" s="1204"/>
      <c r="J55" s="1204"/>
      <c r="K55" s="1204"/>
      <c r="L55" s="1204"/>
      <c r="M55" s="1204"/>
      <c r="N55" s="1204"/>
      <c r="O55" s="1204"/>
      <c r="P55" s="1204"/>
      <c r="Q55" s="1204"/>
      <c r="R55" s="1204"/>
      <c r="S55" s="1204"/>
      <c r="T55" s="1204"/>
      <c r="U55" s="1204"/>
      <c r="V55" s="1204"/>
      <c r="W55" s="1204"/>
      <c r="X55" s="1204"/>
      <c r="Y55" s="1204"/>
      <c r="Z55" s="1204"/>
      <c r="AA55" s="1204"/>
      <c r="AB55" s="1204"/>
      <c r="AC55" s="1204"/>
      <c r="AD55" s="1204"/>
      <c r="AE55" s="1204"/>
      <c r="AF55" s="1204"/>
    </row>
    <row r="56" spans="1:32" ht="17.45">
      <c r="A56" s="1204"/>
      <c r="B56" s="1204"/>
      <c r="C56" s="1204"/>
      <c r="D56" s="1204"/>
      <c r="E56" s="1204"/>
      <c r="F56" s="1204"/>
      <c r="G56" s="1204"/>
      <c r="H56" s="1204"/>
      <c r="I56" s="1204"/>
      <c r="J56" s="1204"/>
      <c r="K56" s="1204"/>
      <c r="L56" s="1204"/>
      <c r="M56" s="1204"/>
      <c r="N56" s="1204"/>
      <c r="O56" s="1204"/>
      <c r="P56" s="1204"/>
      <c r="Q56" s="1204"/>
      <c r="R56" s="1204"/>
      <c r="S56" s="1204"/>
      <c r="T56" s="1204"/>
      <c r="U56" s="1204"/>
      <c r="V56" s="1204"/>
      <c r="W56" s="1204"/>
      <c r="X56" s="1204"/>
      <c r="Y56" s="1204"/>
      <c r="Z56" s="1204"/>
      <c r="AA56" s="1204"/>
      <c r="AB56" s="1204"/>
      <c r="AC56" s="1204"/>
      <c r="AD56" s="1204"/>
      <c r="AE56" s="1204"/>
      <c r="AF56" s="1204"/>
    </row>
    <row r="57" spans="1:32" ht="17.45">
      <c r="A57" s="1204"/>
      <c r="B57" s="1204"/>
      <c r="C57" s="1204"/>
      <c r="D57" s="1204"/>
      <c r="E57" s="1204"/>
      <c r="F57" s="1204"/>
      <c r="G57" s="1204"/>
      <c r="H57" s="1204"/>
      <c r="I57" s="1204"/>
      <c r="J57" s="1204"/>
      <c r="K57" s="1204"/>
      <c r="L57" s="1204"/>
      <c r="M57" s="1204"/>
      <c r="N57" s="1204"/>
      <c r="O57" s="1204"/>
      <c r="P57" s="1204"/>
      <c r="Q57" s="1204"/>
      <c r="R57" s="1204"/>
      <c r="S57" s="1204"/>
      <c r="T57" s="1204"/>
      <c r="U57" s="1204"/>
      <c r="V57" s="1204"/>
      <c r="W57" s="1204"/>
      <c r="X57" s="1204"/>
      <c r="Y57" s="1204"/>
      <c r="Z57" s="1204"/>
      <c r="AA57" s="1204"/>
      <c r="AB57" s="1204"/>
      <c r="AC57" s="1204"/>
      <c r="AD57" s="1204"/>
      <c r="AE57" s="1204"/>
      <c r="AF57" s="1204"/>
    </row>
    <row r="58" spans="1:32" ht="17.45">
      <c r="A58" s="1204"/>
      <c r="B58" s="1204"/>
      <c r="C58" s="1204"/>
      <c r="D58" s="1204"/>
      <c r="E58" s="1204"/>
      <c r="F58" s="1204"/>
      <c r="G58" s="1204"/>
      <c r="H58" s="1204"/>
      <c r="I58" s="1204"/>
      <c r="J58" s="1204"/>
      <c r="K58" s="1204"/>
      <c r="L58" s="1204"/>
      <c r="M58" s="1204"/>
      <c r="N58" s="1204"/>
      <c r="O58" s="1204"/>
      <c r="P58" s="1204"/>
      <c r="Q58" s="1204"/>
      <c r="R58" s="1204"/>
      <c r="S58" s="1204"/>
      <c r="T58" s="1204"/>
      <c r="U58" s="1204"/>
      <c r="V58" s="1204"/>
      <c r="W58" s="1204"/>
      <c r="X58" s="1204"/>
      <c r="Y58" s="1204"/>
      <c r="Z58" s="1204"/>
      <c r="AA58" s="1204"/>
      <c r="AB58" s="1204"/>
      <c r="AC58" s="1204"/>
      <c r="AD58" s="1204"/>
      <c r="AE58" s="1204"/>
      <c r="AF58" s="1204"/>
    </row>
    <row r="59" spans="1:32" ht="17.45">
      <c r="A59" s="1204"/>
      <c r="B59" s="1204"/>
      <c r="C59" s="1204"/>
      <c r="D59" s="1204"/>
      <c r="E59" s="1204"/>
      <c r="F59" s="1204"/>
      <c r="G59" s="1204"/>
      <c r="H59" s="1204"/>
      <c r="I59" s="1204"/>
      <c r="J59" s="1204"/>
      <c r="K59" s="1204"/>
      <c r="L59" s="1204"/>
      <c r="M59" s="1204"/>
      <c r="N59" s="1204"/>
      <c r="O59" s="1204"/>
      <c r="P59" s="1204"/>
      <c r="Q59" s="1204"/>
      <c r="R59" s="1204"/>
      <c r="S59" s="1204"/>
      <c r="T59" s="1204"/>
      <c r="U59" s="1204"/>
      <c r="V59" s="1204"/>
      <c r="W59" s="1204"/>
      <c r="X59" s="1204"/>
      <c r="Y59" s="1204"/>
      <c r="Z59" s="1204"/>
      <c r="AA59" s="1204"/>
      <c r="AB59" s="1204"/>
      <c r="AC59" s="1204"/>
      <c r="AD59" s="1204"/>
      <c r="AE59" s="1204"/>
      <c r="AF59" s="1204"/>
    </row>
    <row r="60" spans="1:32" ht="17.45">
      <c r="A60" s="1204"/>
      <c r="B60" s="1204"/>
      <c r="C60" s="1204"/>
      <c r="D60" s="1204"/>
      <c r="E60" s="1204"/>
      <c r="F60" s="1204"/>
      <c r="G60" s="1204"/>
      <c r="H60" s="1204"/>
      <c r="I60" s="1204"/>
      <c r="J60" s="1204"/>
      <c r="K60" s="1204"/>
      <c r="L60" s="1204"/>
      <c r="M60" s="1204"/>
      <c r="N60" s="1204"/>
      <c r="O60" s="1204"/>
      <c r="P60" s="1204"/>
      <c r="Q60" s="1204"/>
      <c r="R60" s="1204"/>
      <c r="S60" s="1204"/>
      <c r="T60" s="1204"/>
      <c r="U60" s="1204"/>
      <c r="V60" s="1204"/>
      <c r="W60" s="1204"/>
      <c r="X60" s="1204"/>
      <c r="Y60" s="1204"/>
      <c r="Z60" s="1204"/>
      <c r="AA60" s="1204"/>
      <c r="AB60" s="1204"/>
      <c r="AC60" s="1204"/>
      <c r="AD60" s="1204"/>
      <c r="AE60" s="1204"/>
      <c r="AF60" s="1204"/>
    </row>
    <row r="61" spans="1:32" ht="17.45">
      <c r="A61" s="1204"/>
      <c r="B61" s="1204"/>
      <c r="C61" s="1204"/>
      <c r="D61" s="1204"/>
      <c r="E61" s="1204"/>
      <c r="F61" s="1204"/>
      <c r="G61" s="1204"/>
      <c r="H61" s="1204"/>
      <c r="I61" s="1204"/>
      <c r="J61" s="1204"/>
      <c r="K61" s="1204"/>
      <c r="L61" s="1204"/>
      <c r="M61" s="1204"/>
      <c r="N61" s="1204"/>
      <c r="O61" s="1204"/>
      <c r="P61" s="1204"/>
      <c r="Q61" s="1204"/>
      <c r="R61" s="1204"/>
      <c r="S61" s="1204"/>
      <c r="T61" s="1204"/>
      <c r="U61" s="1204"/>
      <c r="V61" s="1204"/>
      <c r="W61" s="1204"/>
      <c r="X61" s="1204"/>
      <c r="Y61" s="1204"/>
      <c r="Z61" s="1204"/>
      <c r="AA61" s="1204"/>
      <c r="AB61" s="1204"/>
      <c r="AC61" s="1204"/>
      <c r="AD61" s="1204"/>
      <c r="AE61" s="1204"/>
      <c r="AF61" s="1204"/>
    </row>
    <row r="62" spans="1:32" ht="17.45">
      <c r="A62" s="1204"/>
      <c r="B62" s="1204"/>
      <c r="C62" s="1204"/>
      <c r="D62" s="1204"/>
      <c r="E62" s="1204"/>
      <c r="F62" s="1204"/>
      <c r="G62" s="1204"/>
      <c r="H62" s="1204"/>
      <c r="I62" s="1204"/>
      <c r="J62" s="1204"/>
      <c r="K62" s="1204"/>
      <c r="L62" s="1204"/>
      <c r="M62" s="1204"/>
      <c r="N62" s="1204"/>
      <c r="O62" s="1204"/>
      <c r="P62" s="1204"/>
      <c r="Q62" s="1204"/>
      <c r="R62" s="1204"/>
      <c r="S62" s="1204"/>
      <c r="T62" s="1204"/>
      <c r="U62" s="1204"/>
      <c r="V62" s="1204"/>
      <c r="W62" s="1204"/>
      <c r="X62" s="1204"/>
      <c r="Y62" s="1204"/>
      <c r="Z62" s="1204"/>
      <c r="AA62" s="1204"/>
      <c r="AB62" s="1204"/>
      <c r="AC62" s="1204"/>
      <c r="AD62" s="1204"/>
      <c r="AE62" s="1204"/>
      <c r="AF62" s="1204"/>
    </row>
    <row r="63" spans="1:32" ht="17.45">
      <c r="A63" s="1204"/>
      <c r="B63" s="1204"/>
      <c r="C63" s="1204"/>
      <c r="D63" s="1204"/>
      <c r="E63" s="1204"/>
      <c r="F63" s="1204"/>
      <c r="G63" s="1204"/>
      <c r="H63" s="1204"/>
      <c r="I63" s="1204"/>
      <c r="J63" s="1204"/>
      <c r="K63" s="1204"/>
      <c r="L63" s="1204"/>
      <c r="M63" s="1204"/>
      <c r="N63" s="1204"/>
      <c r="O63" s="1204"/>
      <c r="P63" s="1204"/>
      <c r="Q63" s="1204"/>
      <c r="R63" s="1204"/>
      <c r="S63" s="1204"/>
      <c r="T63" s="1204"/>
      <c r="U63" s="1204"/>
      <c r="V63" s="1204"/>
      <c r="W63" s="1204"/>
      <c r="X63" s="1204"/>
      <c r="Y63" s="1204"/>
      <c r="Z63" s="1204"/>
      <c r="AA63" s="1204"/>
      <c r="AB63" s="1204"/>
      <c r="AC63" s="1204"/>
      <c r="AD63" s="1204"/>
      <c r="AE63" s="1204"/>
      <c r="AF63" s="1204"/>
    </row>
    <row r="64" spans="1:32" ht="17.45">
      <c r="A64" s="1204"/>
      <c r="B64" s="1204"/>
      <c r="C64" s="1204"/>
      <c r="D64" s="1204"/>
      <c r="E64" s="1204"/>
      <c r="F64" s="1204"/>
      <c r="G64" s="1204"/>
      <c r="H64" s="1204"/>
      <c r="I64" s="1204"/>
      <c r="J64" s="1204"/>
      <c r="K64" s="1204"/>
      <c r="L64" s="1204"/>
      <c r="M64" s="1204"/>
      <c r="N64" s="1204"/>
      <c r="O64" s="1204"/>
      <c r="P64" s="1204"/>
      <c r="Q64" s="1204"/>
      <c r="R64" s="1204"/>
      <c r="S64" s="1204"/>
      <c r="T64" s="1204"/>
      <c r="U64" s="1204"/>
      <c r="V64" s="1204"/>
      <c r="W64" s="1204"/>
      <c r="X64" s="1204"/>
      <c r="Y64" s="1204"/>
      <c r="Z64" s="1204"/>
      <c r="AA64" s="1204"/>
      <c r="AB64" s="1204"/>
      <c r="AC64" s="1204"/>
      <c r="AD64" s="1204"/>
      <c r="AE64" s="1204"/>
      <c r="AF64" s="1204"/>
    </row>
    <row r="65" spans="1:32" ht="17.45">
      <c r="A65" s="1204"/>
      <c r="B65" s="1204"/>
      <c r="C65" s="1204"/>
      <c r="D65" s="1204"/>
      <c r="E65" s="1204"/>
      <c r="F65" s="1204"/>
      <c r="G65" s="1204"/>
      <c r="H65" s="1204"/>
      <c r="I65" s="1204"/>
      <c r="J65" s="1204"/>
      <c r="K65" s="1204"/>
      <c r="L65" s="1204"/>
      <c r="M65" s="1204"/>
      <c r="N65" s="1204"/>
      <c r="O65" s="1204"/>
      <c r="P65" s="1204"/>
      <c r="Q65" s="1204"/>
      <c r="R65" s="1204"/>
      <c r="S65" s="1204"/>
      <c r="T65" s="1204"/>
      <c r="U65" s="1204"/>
      <c r="V65" s="1204"/>
      <c r="W65" s="1204"/>
      <c r="X65" s="1204"/>
      <c r="Y65" s="1204"/>
      <c r="Z65" s="1204"/>
      <c r="AA65" s="1204"/>
      <c r="AB65" s="1204"/>
      <c r="AC65" s="1204"/>
      <c r="AD65" s="1204"/>
      <c r="AE65" s="1204"/>
      <c r="AF65" s="1204"/>
    </row>
    <row r="66" spans="1:32" ht="17.45">
      <c r="A66" s="1204"/>
      <c r="B66" s="1204"/>
      <c r="C66" s="1204"/>
      <c r="D66" s="1204"/>
      <c r="E66" s="1204"/>
      <c r="F66" s="1204"/>
      <c r="G66" s="1204"/>
      <c r="H66" s="1204"/>
      <c r="I66" s="1204"/>
      <c r="J66" s="1204"/>
      <c r="K66" s="1204"/>
      <c r="L66" s="1204"/>
      <c r="M66" s="1204"/>
      <c r="N66" s="1204"/>
      <c r="O66" s="1204"/>
      <c r="P66" s="1204"/>
      <c r="Q66" s="1204"/>
      <c r="R66" s="1204"/>
      <c r="S66" s="1204"/>
      <c r="T66" s="1204"/>
      <c r="U66" s="1204"/>
      <c r="V66" s="1204"/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</row>
    <row r="67" spans="1:32" ht="17.45">
      <c r="A67" s="1204"/>
      <c r="B67" s="1204"/>
      <c r="C67" s="1204"/>
      <c r="D67" s="1204"/>
      <c r="E67" s="1204"/>
      <c r="F67" s="1204"/>
      <c r="G67" s="1204"/>
      <c r="H67" s="1204"/>
      <c r="I67" s="1204"/>
      <c r="J67" s="1204"/>
      <c r="K67" s="1204"/>
      <c r="L67" s="1204"/>
      <c r="M67" s="1204"/>
      <c r="N67" s="1204"/>
      <c r="O67" s="1204"/>
      <c r="P67" s="1204"/>
      <c r="Q67" s="1204"/>
      <c r="R67" s="1204"/>
      <c r="S67" s="1204"/>
      <c r="T67" s="1204"/>
      <c r="U67" s="1204"/>
      <c r="V67" s="1204"/>
      <c r="W67" s="1204"/>
      <c r="X67" s="1204"/>
      <c r="Y67" s="1204"/>
      <c r="Z67" s="1204"/>
      <c r="AA67" s="1204"/>
      <c r="AB67" s="1204"/>
      <c r="AC67" s="1204"/>
      <c r="AD67" s="1204"/>
      <c r="AE67" s="1204"/>
      <c r="AF67" s="1204"/>
    </row>
    <row r="68" spans="1:32" ht="17.45">
      <c r="A68" s="1204"/>
      <c r="B68" s="1204"/>
      <c r="C68" s="1204"/>
      <c r="D68" s="1204"/>
      <c r="E68" s="1204"/>
      <c r="F68" s="1204"/>
      <c r="G68" s="1204"/>
      <c r="H68" s="1204"/>
      <c r="I68" s="1204"/>
      <c r="J68" s="1204"/>
      <c r="K68" s="1204"/>
      <c r="L68" s="1204"/>
      <c r="M68" s="1204"/>
      <c r="N68" s="1204"/>
      <c r="O68" s="1204"/>
      <c r="P68" s="1204"/>
      <c r="Q68" s="1204"/>
      <c r="R68" s="1204"/>
      <c r="S68" s="1204"/>
      <c r="T68" s="1204"/>
      <c r="U68" s="1204"/>
      <c r="V68" s="1204"/>
      <c r="W68" s="1204"/>
      <c r="X68" s="1204"/>
      <c r="Y68" s="1204"/>
      <c r="Z68" s="1204"/>
      <c r="AA68" s="1204"/>
      <c r="AB68" s="1204"/>
      <c r="AC68" s="1204"/>
      <c r="AD68" s="1204"/>
      <c r="AE68" s="1204"/>
      <c r="AF68" s="1204"/>
    </row>
    <row r="69" spans="1:32" ht="17.45">
      <c r="A69" s="1204"/>
      <c r="B69" s="1204"/>
      <c r="C69" s="1204"/>
      <c r="D69" s="1204"/>
      <c r="E69" s="1204"/>
      <c r="F69" s="1204"/>
      <c r="G69" s="1204"/>
      <c r="H69" s="1204"/>
      <c r="I69" s="1204"/>
      <c r="J69" s="1204"/>
      <c r="K69" s="1204"/>
      <c r="L69" s="1204"/>
      <c r="M69" s="1204"/>
      <c r="N69" s="1204"/>
      <c r="O69" s="1204"/>
      <c r="P69" s="1204"/>
      <c r="Q69" s="1204"/>
      <c r="R69" s="1204"/>
      <c r="S69" s="1204"/>
      <c r="T69" s="1204"/>
      <c r="U69" s="1204"/>
      <c r="V69" s="1204"/>
      <c r="W69" s="1204"/>
      <c r="X69" s="1204"/>
      <c r="Y69" s="1204"/>
      <c r="Z69" s="1204"/>
      <c r="AA69" s="1204"/>
      <c r="AB69" s="1204"/>
      <c r="AC69" s="1204"/>
      <c r="AD69" s="1204"/>
      <c r="AE69" s="1204"/>
      <c r="AF69" s="1204"/>
    </row>
    <row r="70" spans="1:32" ht="17.45">
      <c r="A70" s="1204"/>
      <c r="B70" s="1204"/>
      <c r="C70" s="1204"/>
      <c r="D70" s="1204"/>
      <c r="E70" s="1204"/>
      <c r="F70" s="1204"/>
      <c r="G70" s="1204"/>
      <c r="H70" s="1204"/>
      <c r="I70" s="1204"/>
      <c r="J70" s="1204"/>
      <c r="K70" s="1204"/>
      <c r="L70" s="1204"/>
      <c r="M70" s="1204"/>
      <c r="N70" s="1204"/>
      <c r="O70" s="1204"/>
      <c r="P70" s="1204"/>
      <c r="Q70" s="1204"/>
      <c r="R70" s="1204"/>
      <c r="S70" s="1204"/>
      <c r="T70" s="1204"/>
      <c r="U70" s="1204"/>
      <c r="V70" s="1204"/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</row>
    <row r="71" spans="1:32" ht="17.45">
      <c r="A71" s="1204"/>
      <c r="B71" s="1204"/>
      <c r="C71" s="1204"/>
      <c r="D71" s="1204"/>
      <c r="E71" s="1204"/>
      <c r="F71" s="1204"/>
      <c r="G71" s="1204"/>
      <c r="H71" s="1204"/>
      <c r="I71" s="1204"/>
      <c r="J71" s="1204"/>
      <c r="K71" s="1204"/>
      <c r="L71" s="1204"/>
      <c r="M71" s="1204"/>
      <c r="N71" s="1204"/>
      <c r="O71" s="1204"/>
      <c r="P71" s="1204"/>
      <c r="Q71" s="1204"/>
      <c r="R71" s="1204"/>
      <c r="S71" s="1204"/>
      <c r="T71" s="1204"/>
      <c r="U71" s="1204"/>
      <c r="V71" s="1204"/>
      <c r="W71" s="1204"/>
      <c r="X71" s="1204"/>
      <c r="Y71" s="1204"/>
      <c r="Z71" s="1204"/>
      <c r="AA71" s="1204"/>
      <c r="AB71" s="1204"/>
      <c r="AC71" s="1204"/>
      <c r="AD71" s="1204"/>
      <c r="AE71" s="1204"/>
      <c r="AF71" s="1204"/>
    </row>
    <row r="72" spans="1:32" ht="17.45">
      <c r="A72" s="1204"/>
      <c r="B72" s="1204"/>
      <c r="C72" s="1204"/>
      <c r="D72" s="1204"/>
      <c r="E72" s="1204"/>
      <c r="F72" s="1204"/>
      <c r="G72" s="1204"/>
      <c r="H72" s="1204"/>
      <c r="I72" s="1204"/>
      <c r="J72" s="1204"/>
      <c r="K72" s="1204"/>
      <c r="L72" s="1204"/>
      <c r="M72" s="1204"/>
      <c r="N72" s="1204"/>
      <c r="O72" s="1204"/>
      <c r="P72" s="1204"/>
      <c r="Q72" s="1204"/>
      <c r="R72" s="1204"/>
      <c r="S72" s="1204"/>
      <c r="T72" s="1204"/>
      <c r="U72" s="1204"/>
      <c r="V72" s="1204"/>
      <c r="W72" s="1204"/>
      <c r="X72" s="1204"/>
      <c r="Y72" s="1204"/>
      <c r="Z72" s="1204"/>
      <c r="AA72" s="1204"/>
      <c r="AB72" s="1204"/>
      <c r="AC72" s="1204"/>
      <c r="AD72" s="1204"/>
      <c r="AE72" s="1204"/>
      <c r="AF72" s="1204"/>
    </row>
    <row r="73" spans="1:32" ht="17.45">
      <c r="A73" s="1204"/>
      <c r="B73" s="1204"/>
      <c r="C73" s="1204"/>
      <c r="D73" s="1204"/>
      <c r="E73" s="1204"/>
      <c r="F73" s="1204"/>
      <c r="G73" s="1204"/>
      <c r="H73" s="1204"/>
      <c r="I73" s="1204"/>
      <c r="J73" s="1204"/>
      <c r="K73" s="1204"/>
      <c r="L73" s="1204"/>
      <c r="M73" s="1204"/>
      <c r="N73" s="1204"/>
      <c r="O73" s="1204"/>
      <c r="P73" s="1204"/>
      <c r="Q73" s="1204"/>
      <c r="R73" s="1204"/>
      <c r="S73" s="1204"/>
      <c r="T73" s="1204"/>
      <c r="U73" s="1204"/>
      <c r="V73" s="1204"/>
      <c r="W73" s="1204"/>
      <c r="X73" s="1204"/>
      <c r="Y73" s="1204"/>
      <c r="Z73" s="1204"/>
      <c r="AA73" s="1204"/>
      <c r="AB73" s="1204"/>
      <c r="AC73" s="1204"/>
      <c r="AD73" s="1204"/>
      <c r="AE73" s="1204"/>
      <c r="AF73" s="1204"/>
    </row>
    <row r="74" spans="1:32" ht="17.45">
      <c r="A74" s="1204"/>
      <c r="B74" s="1204"/>
      <c r="C74" s="1204"/>
      <c r="D74" s="1204"/>
      <c r="E74" s="1204"/>
      <c r="F74" s="1204"/>
      <c r="G74" s="1204"/>
      <c r="H74" s="1204"/>
      <c r="I74" s="1204"/>
      <c r="J74" s="1204"/>
      <c r="K74" s="1204"/>
      <c r="L74" s="1204"/>
      <c r="M74" s="1204"/>
      <c r="N74" s="1204"/>
      <c r="O74" s="1204"/>
      <c r="P74" s="1204"/>
      <c r="Q74" s="1204"/>
      <c r="R74" s="1204"/>
      <c r="S74" s="1204"/>
      <c r="T74" s="1204"/>
      <c r="U74" s="1204"/>
      <c r="V74" s="1204"/>
      <c r="W74" s="1204"/>
      <c r="X74" s="1204"/>
      <c r="Y74" s="1204"/>
      <c r="Z74" s="1204"/>
      <c r="AA74" s="1204"/>
      <c r="AB74" s="1204"/>
      <c r="AC74" s="1204"/>
      <c r="AD74" s="1204"/>
      <c r="AE74" s="1204"/>
      <c r="AF74" s="1204"/>
    </row>
    <row r="75" spans="1:32" ht="17.45">
      <c r="A75" s="1204"/>
      <c r="B75" s="1204"/>
      <c r="C75" s="1204"/>
      <c r="D75" s="1204"/>
      <c r="E75" s="1204"/>
      <c r="F75" s="1204"/>
      <c r="G75" s="1204"/>
      <c r="H75" s="1204"/>
      <c r="I75" s="1204"/>
      <c r="J75" s="1204"/>
      <c r="K75" s="1204"/>
      <c r="L75" s="1204"/>
      <c r="M75" s="1204"/>
      <c r="N75" s="1204"/>
      <c r="O75" s="1204"/>
      <c r="P75" s="1204"/>
      <c r="Q75" s="1204"/>
      <c r="R75" s="1204"/>
      <c r="S75" s="1204"/>
      <c r="T75" s="1204"/>
      <c r="U75" s="1204"/>
      <c r="V75" s="1204"/>
      <c r="W75" s="1204"/>
      <c r="X75" s="1204"/>
      <c r="Y75" s="1204"/>
      <c r="Z75" s="1204"/>
      <c r="AA75" s="1204"/>
      <c r="AB75" s="1204"/>
      <c r="AC75" s="1204"/>
      <c r="AD75" s="1204"/>
      <c r="AE75" s="1204"/>
      <c r="AF75" s="1204"/>
    </row>
    <row r="76" spans="1:32" ht="17.45">
      <c r="A76" s="1204"/>
      <c r="B76" s="1204"/>
      <c r="C76" s="1204"/>
      <c r="D76" s="1204"/>
      <c r="E76" s="1204"/>
      <c r="F76" s="1204"/>
      <c r="G76" s="1204"/>
      <c r="H76" s="1204"/>
      <c r="I76" s="1204"/>
      <c r="J76" s="1204"/>
      <c r="K76" s="1204"/>
      <c r="L76" s="1204"/>
      <c r="M76" s="1204"/>
      <c r="N76" s="1204"/>
      <c r="O76" s="1204"/>
      <c r="P76" s="1204"/>
      <c r="Q76" s="1204"/>
      <c r="R76" s="1204"/>
      <c r="S76" s="1204"/>
      <c r="T76" s="1204"/>
      <c r="U76" s="1204"/>
      <c r="V76" s="1204"/>
      <c r="W76" s="1204"/>
      <c r="X76" s="1204"/>
      <c r="Y76" s="1204"/>
      <c r="Z76" s="1204"/>
      <c r="AA76" s="1204"/>
      <c r="AB76" s="1204"/>
      <c r="AC76" s="1204"/>
      <c r="AD76" s="1204"/>
      <c r="AE76" s="1204"/>
      <c r="AF76" s="1204"/>
    </row>
    <row r="77" spans="1:32" ht="17.45">
      <c r="A77" s="1204"/>
      <c r="B77" s="1204"/>
      <c r="C77" s="1204"/>
      <c r="D77" s="1204"/>
      <c r="E77" s="1204"/>
      <c r="F77" s="1204"/>
      <c r="G77" s="1204"/>
      <c r="H77" s="1204"/>
      <c r="I77" s="1204"/>
      <c r="J77" s="1204"/>
      <c r="K77" s="1204"/>
      <c r="L77" s="1204"/>
      <c r="M77" s="1204"/>
      <c r="N77" s="1204"/>
      <c r="O77" s="1204"/>
      <c r="P77" s="1204"/>
      <c r="Q77" s="1204"/>
      <c r="R77" s="1204"/>
      <c r="S77" s="1204"/>
      <c r="T77" s="1204"/>
      <c r="U77" s="1204"/>
      <c r="V77" s="1204"/>
      <c r="W77" s="1204"/>
      <c r="X77" s="1204"/>
      <c r="Y77" s="1204"/>
      <c r="Z77" s="1204"/>
      <c r="AA77" s="1204"/>
      <c r="AB77" s="1204"/>
      <c r="AC77" s="1204"/>
      <c r="AD77" s="1204"/>
      <c r="AE77" s="1204"/>
      <c r="AF77" s="1204"/>
    </row>
    <row r="78" spans="1:32" ht="17.45">
      <c r="A78" s="1204"/>
      <c r="B78" s="1204"/>
      <c r="C78" s="1204"/>
      <c r="D78" s="1204"/>
      <c r="E78" s="1204"/>
      <c r="F78" s="1204"/>
      <c r="G78" s="1204"/>
      <c r="H78" s="1204"/>
      <c r="I78" s="1204"/>
      <c r="J78" s="1204"/>
      <c r="K78" s="1204"/>
      <c r="L78" s="1204"/>
      <c r="M78" s="1204"/>
      <c r="N78" s="1204"/>
      <c r="O78" s="1204"/>
      <c r="P78" s="1204"/>
      <c r="Q78" s="1204"/>
      <c r="R78" s="1204"/>
      <c r="S78" s="1204"/>
      <c r="T78" s="1204"/>
      <c r="U78" s="1204"/>
      <c r="V78" s="1204"/>
      <c r="W78" s="1204"/>
      <c r="X78" s="1204"/>
      <c r="Y78" s="1204"/>
      <c r="Z78" s="1204"/>
      <c r="AA78" s="1204"/>
      <c r="AB78" s="1204"/>
      <c r="AC78" s="1204"/>
      <c r="AD78" s="1204"/>
      <c r="AE78" s="1204"/>
      <c r="AF78" s="1204"/>
    </row>
    <row r="79" spans="1:32" ht="17.45">
      <c r="A79" s="1204"/>
      <c r="B79" s="1204"/>
      <c r="C79" s="1204"/>
      <c r="D79" s="1204"/>
      <c r="E79" s="1204"/>
      <c r="F79" s="1204"/>
      <c r="G79" s="1204"/>
      <c r="H79" s="1204"/>
      <c r="I79" s="1204"/>
      <c r="J79" s="1204"/>
      <c r="K79" s="1204"/>
      <c r="L79" s="1204"/>
      <c r="M79" s="1204"/>
      <c r="N79" s="1204"/>
      <c r="O79" s="1204"/>
      <c r="P79" s="1204"/>
      <c r="Q79" s="1204"/>
      <c r="R79" s="1204"/>
      <c r="S79" s="1204"/>
      <c r="T79" s="1204"/>
      <c r="U79" s="1204"/>
      <c r="V79" s="1204"/>
      <c r="W79" s="1204"/>
      <c r="X79" s="1204"/>
      <c r="Y79" s="1204"/>
      <c r="Z79" s="1204"/>
      <c r="AA79" s="1204"/>
      <c r="AB79" s="1204"/>
      <c r="AC79" s="1204"/>
      <c r="AD79" s="1204"/>
      <c r="AE79" s="1204"/>
      <c r="AF79" s="1204"/>
    </row>
    <row r="80" spans="1:32" ht="17.45">
      <c r="A80" s="1204"/>
      <c r="B80" s="1204"/>
      <c r="C80" s="1204"/>
      <c r="D80" s="1204"/>
      <c r="E80" s="1204"/>
      <c r="F80" s="1204"/>
      <c r="G80" s="1204"/>
      <c r="H80" s="1204"/>
      <c r="I80" s="1204"/>
      <c r="J80" s="1204"/>
      <c r="K80" s="1204"/>
      <c r="L80" s="1204"/>
      <c r="M80" s="1204"/>
      <c r="N80" s="1204"/>
      <c r="O80" s="1204"/>
      <c r="P80" s="1204"/>
      <c r="Q80" s="1204"/>
      <c r="R80" s="1204"/>
      <c r="S80" s="1204"/>
      <c r="T80" s="1204"/>
      <c r="U80" s="1204"/>
      <c r="V80" s="1204"/>
      <c r="W80" s="1204"/>
      <c r="X80" s="1204"/>
      <c r="Y80" s="1204"/>
      <c r="Z80" s="1204"/>
      <c r="AA80" s="1204"/>
      <c r="AB80" s="1204"/>
      <c r="AC80" s="1204"/>
      <c r="AD80" s="1204"/>
      <c r="AE80" s="1204"/>
      <c r="AF80" s="1204"/>
    </row>
    <row r="81" spans="1:32" ht="17.45">
      <c r="A81" s="1204"/>
      <c r="B81" s="1204"/>
      <c r="C81" s="1204"/>
      <c r="D81" s="1204"/>
      <c r="E81" s="1204"/>
      <c r="F81" s="1204"/>
      <c r="G81" s="1204"/>
      <c r="H81" s="1204"/>
      <c r="I81" s="1204"/>
      <c r="J81" s="1204"/>
      <c r="K81" s="1204"/>
      <c r="L81" s="1204"/>
      <c r="M81" s="1204"/>
      <c r="N81" s="1204"/>
      <c r="O81" s="1204"/>
      <c r="P81" s="1204"/>
      <c r="Q81" s="1204"/>
      <c r="R81" s="1204"/>
      <c r="S81" s="1204"/>
      <c r="T81" s="1204"/>
      <c r="U81" s="1204"/>
      <c r="V81" s="1204"/>
      <c r="W81" s="1204"/>
      <c r="X81" s="1204"/>
      <c r="Y81" s="1204"/>
      <c r="Z81" s="1204"/>
      <c r="AA81" s="1204"/>
      <c r="AB81" s="1204"/>
      <c r="AC81" s="1204"/>
      <c r="AD81" s="1204"/>
      <c r="AE81" s="1204"/>
      <c r="AF81" s="1204"/>
    </row>
    <row r="82" spans="1:32" ht="17.45">
      <c r="A82" s="1204"/>
      <c r="B82" s="1204"/>
      <c r="C82" s="1204"/>
      <c r="D82" s="1204"/>
      <c r="E82" s="1204"/>
      <c r="F82" s="1204"/>
      <c r="G82" s="1204"/>
      <c r="H82" s="1204"/>
      <c r="I82" s="1204"/>
      <c r="J82" s="1204"/>
      <c r="K82" s="1204"/>
      <c r="L82" s="1204"/>
      <c r="M82" s="1204"/>
      <c r="N82" s="1204"/>
      <c r="O82" s="1204"/>
      <c r="P82" s="1204"/>
      <c r="Q82" s="1204"/>
      <c r="R82" s="1204"/>
      <c r="S82" s="1204"/>
      <c r="T82" s="1204"/>
      <c r="U82" s="1204"/>
      <c r="V82" s="1204"/>
      <c r="W82" s="1204"/>
      <c r="X82" s="1204"/>
      <c r="Y82" s="1204"/>
      <c r="Z82" s="1204"/>
      <c r="AA82" s="1204"/>
      <c r="AB82" s="1204"/>
      <c r="AC82" s="1204"/>
      <c r="AD82" s="1204"/>
      <c r="AE82" s="1204"/>
      <c r="AF82" s="1204"/>
    </row>
    <row r="83" spans="1:32" ht="17.45">
      <c r="A83" s="1204"/>
      <c r="B83" s="1204"/>
      <c r="C83" s="1204"/>
      <c r="D83" s="1204"/>
      <c r="E83" s="1204"/>
      <c r="F83" s="1204"/>
      <c r="G83" s="1204"/>
      <c r="H83" s="1204"/>
      <c r="I83" s="1204"/>
      <c r="J83" s="1204"/>
      <c r="K83" s="1204"/>
      <c r="L83" s="1204"/>
      <c r="M83" s="1204"/>
      <c r="N83" s="1204"/>
      <c r="O83" s="1204"/>
      <c r="P83" s="1204"/>
      <c r="Q83" s="1204"/>
      <c r="R83" s="1204"/>
      <c r="S83" s="1204"/>
      <c r="T83" s="1204"/>
      <c r="U83" s="1204"/>
      <c r="V83" s="1204"/>
      <c r="W83" s="1204"/>
      <c r="X83" s="1204"/>
      <c r="Y83" s="1204"/>
      <c r="Z83" s="1204"/>
      <c r="AA83" s="1204"/>
      <c r="AB83" s="1204"/>
      <c r="AC83" s="1204"/>
      <c r="AD83" s="1204"/>
      <c r="AE83" s="1204"/>
      <c r="AF83" s="1204"/>
    </row>
    <row r="84" spans="1:32" ht="17.45">
      <c r="A84" s="1204"/>
      <c r="B84" s="1204"/>
      <c r="C84" s="1204"/>
      <c r="D84" s="1204"/>
      <c r="E84" s="1204"/>
      <c r="F84" s="1204"/>
      <c r="G84" s="1204"/>
      <c r="H84" s="1204"/>
      <c r="I84" s="1204"/>
      <c r="J84" s="1204"/>
      <c r="K84" s="1204"/>
      <c r="L84" s="1204"/>
      <c r="M84" s="1204"/>
      <c r="N84" s="1204"/>
      <c r="O84" s="1204"/>
      <c r="P84" s="1204"/>
      <c r="Q84" s="1204"/>
      <c r="R84" s="1204"/>
      <c r="S84" s="1204"/>
      <c r="T84" s="1204"/>
      <c r="U84" s="1204"/>
      <c r="V84" s="1204"/>
      <c r="W84" s="1204"/>
      <c r="X84" s="1204"/>
      <c r="Y84" s="1204"/>
      <c r="Z84" s="1204"/>
      <c r="AA84" s="1204"/>
      <c r="AB84" s="1204"/>
      <c r="AC84" s="1204"/>
      <c r="AD84" s="1204"/>
      <c r="AE84" s="1204"/>
      <c r="AF84" s="1204"/>
    </row>
    <row r="85" spans="1:32" ht="17.45">
      <c r="A85" s="1204"/>
      <c r="B85" s="1204"/>
      <c r="C85" s="1204"/>
      <c r="D85" s="1204"/>
      <c r="E85" s="1204"/>
      <c r="F85" s="1204"/>
      <c r="G85" s="1204"/>
      <c r="H85" s="1204"/>
      <c r="I85" s="1204"/>
      <c r="J85" s="1204"/>
      <c r="K85" s="1204"/>
      <c r="L85" s="1204"/>
      <c r="M85" s="1204"/>
      <c r="N85" s="1204"/>
      <c r="O85" s="1204"/>
      <c r="P85" s="1204"/>
      <c r="Q85" s="1204"/>
      <c r="R85" s="1204"/>
      <c r="S85" s="1204"/>
      <c r="T85" s="1204"/>
      <c r="U85" s="1204"/>
      <c r="V85" s="1204"/>
      <c r="W85" s="1204"/>
      <c r="X85" s="1204"/>
      <c r="Y85" s="1204"/>
      <c r="Z85" s="1204"/>
      <c r="AA85" s="1204"/>
      <c r="AB85" s="1204"/>
      <c r="AC85" s="1204"/>
      <c r="AD85" s="1204"/>
      <c r="AE85" s="1204"/>
      <c r="AF85" s="1204"/>
    </row>
    <row r="86" spans="1:32" ht="17.45">
      <c r="A86" s="1204"/>
      <c r="B86" s="1204"/>
      <c r="C86" s="1204"/>
      <c r="D86" s="1204"/>
      <c r="E86" s="1204"/>
      <c r="F86" s="1204"/>
      <c r="G86" s="1204"/>
      <c r="H86" s="1204"/>
      <c r="I86" s="1204"/>
      <c r="J86" s="1204"/>
      <c r="K86" s="1204"/>
      <c r="L86" s="1204"/>
      <c r="M86" s="1204"/>
      <c r="N86" s="1204"/>
      <c r="O86" s="1204"/>
      <c r="P86" s="1204"/>
      <c r="Q86" s="1204"/>
      <c r="R86" s="1204"/>
      <c r="S86" s="1204"/>
      <c r="T86" s="1204"/>
      <c r="U86" s="1204"/>
      <c r="V86" s="1204"/>
      <c r="W86" s="1204"/>
      <c r="X86" s="1204"/>
      <c r="Y86" s="1204"/>
      <c r="Z86" s="1204"/>
      <c r="AA86" s="1204"/>
      <c r="AB86" s="1204"/>
      <c r="AC86" s="1204"/>
      <c r="AD86" s="1204"/>
      <c r="AE86" s="1204"/>
      <c r="AF86" s="1204"/>
    </row>
    <row r="87" spans="1:32" ht="17.45">
      <c r="A87" s="1204"/>
      <c r="B87" s="1204"/>
      <c r="C87" s="1204"/>
      <c r="D87" s="1204"/>
      <c r="E87" s="1204"/>
      <c r="F87" s="1204"/>
      <c r="G87" s="1204"/>
      <c r="H87" s="1204"/>
      <c r="I87" s="1204"/>
      <c r="J87" s="1204"/>
      <c r="K87" s="1204"/>
      <c r="L87" s="1204"/>
      <c r="M87" s="1204"/>
      <c r="N87" s="1204"/>
      <c r="O87" s="1204"/>
      <c r="P87" s="1204"/>
      <c r="Q87" s="1204"/>
      <c r="R87" s="1204"/>
      <c r="S87" s="1204"/>
      <c r="T87" s="1204"/>
      <c r="U87" s="1204"/>
      <c r="V87" s="1204"/>
      <c r="W87" s="1204"/>
      <c r="X87" s="1204"/>
      <c r="Y87" s="1204"/>
      <c r="Z87" s="1204"/>
      <c r="AA87" s="1204"/>
      <c r="AB87" s="1204"/>
      <c r="AC87" s="1204"/>
      <c r="AD87" s="1204"/>
      <c r="AE87" s="1204"/>
      <c r="AF87" s="1204"/>
    </row>
    <row r="88" spans="1:32" ht="17.45">
      <c r="A88" s="1204"/>
      <c r="B88" s="1204"/>
      <c r="C88" s="1204"/>
      <c r="D88" s="1204"/>
      <c r="E88" s="1204"/>
      <c r="F88" s="1204"/>
      <c r="G88" s="1204"/>
      <c r="H88" s="1204"/>
      <c r="I88" s="1204"/>
      <c r="J88" s="1204"/>
      <c r="K88" s="1204"/>
      <c r="L88" s="1204"/>
      <c r="M88" s="1204"/>
      <c r="N88" s="1204"/>
      <c r="O88" s="1204"/>
      <c r="P88" s="1204"/>
      <c r="Q88" s="1204"/>
      <c r="R88" s="1204"/>
      <c r="S88" s="1204"/>
      <c r="T88" s="1204"/>
      <c r="U88" s="1204"/>
      <c r="V88" s="1204"/>
      <c r="W88" s="1204"/>
      <c r="X88" s="1204"/>
      <c r="Y88" s="1204"/>
      <c r="Z88" s="1204"/>
      <c r="AA88" s="1204"/>
      <c r="AB88" s="1204"/>
      <c r="AC88" s="1204"/>
      <c r="AD88" s="1204"/>
      <c r="AE88" s="1204"/>
      <c r="AF88" s="120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C199-F35B-4290-AE37-0466DB7E9824}">
  <dimension ref="A1:AF88"/>
  <sheetViews>
    <sheetView topLeftCell="A3" zoomScale="25" zoomScaleNormal="25" workbookViewId="0">
      <selection activeCell="G42" sqref="G42"/>
    </sheetView>
  </sheetViews>
  <sheetFormatPr defaultColWidth="8.7109375" defaultRowHeight="14.45"/>
  <cols>
    <col min="1" max="1" width="3" style="370" customWidth="1"/>
    <col min="2" max="2" width="21" style="370" customWidth="1"/>
    <col min="3" max="9" width="23.7109375" style="370" customWidth="1"/>
    <col min="10" max="10" width="24.42578125" style="370" customWidth="1"/>
    <col min="11" max="11" width="1.7109375" style="370" customWidth="1"/>
    <col min="12" max="12" width="33" style="370" customWidth="1"/>
    <col min="13" max="14" width="23.28515625" style="370" customWidth="1"/>
    <col min="15" max="16384" width="8.7109375" style="370"/>
  </cols>
  <sheetData>
    <row r="1" spans="1:32" ht="23.25" customHeight="1">
      <c r="A1" s="1304"/>
      <c r="B1" s="1304"/>
      <c r="C1" s="369" t="s">
        <v>377</v>
      </c>
      <c r="D1" s="1305"/>
      <c r="E1" s="1304"/>
      <c r="F1" s="1306"/>
      <c r="G1" s="1304"/>
      <c r="H1" s="1304"/>
      <c r="I1" s="1304"/>
      <c r="J1" s="1304"/>
      <c r="K1" s="1304"/>
      <c r="L1" s="1304"/>
      <c r="M1" s="1304"/>
      <c r="N1" s="1304"/>
      <c r="O1" s="1304"/>
      <c r="P1" s="1304"/>
      <c r="Q1" s="1304"/>
      <c r="R1" s="1304"/>
      <c r="S1" s="1304"/>
      <c r="T1" s="1304"/>
      <c r="U1" s="1304"/>
      <c r="V1" s="1304"/>
      <c r="W1" s="1304"/>
      <c r="X1" s="1304"/>
      <c r="Y1" s="1304"/>
      <c r="Z1" s="1304"/>
      <c r="AA1" s="1304"/>
      <c r="AB1" s="1304"/>
      <c r="AC1" s="1304"/>
      <c r="AD1" s="1304"/>
      <c r="AE1" s="1304"/>
      <c r="AF1" s="1304"/>
    </row>
    <row r="2" spans="1:32" ht="23.25" customHeight="1">
      <c r="A2" s="1304"/>
      <c r="B2" s="371" t="s">
        <v>378</v>
      </c>
      <c r="C2" s="1307" t="s">
        <v>1</v>
      </c>
      <c r="D2" s="1308">
        <f>J8+J16+J24+J32+J40+J48</f>
        <v>66.599999999999994</v>
      </c>
      <c r="E2" s="1309" t="s">
        <v>2</v>
      </c>
      <c r="F2" s="1310">
        <f>J9+J17+J25+J33+J41+J49</f>
        <v>8.1</v>
      </c>
      <c r="G2" s="1309" t="s">
        <v>3</v>
      </c>
      <c r="H2" s="1310">
        <f>J10+J18+J26+J34+J42+J50</f>
        <v>1.7000000000000002</v>
      </c>
      <c r="I2" s="1311"/>
      <c r="J2" s="1312" t="s">
        <v>4</v>
      </c>
      <c r="K2" s="1313"/>
      <c r="L2" s="1312"/>
      <c r="M2" s="1304"/>
      <c r="N2" s="1304"/>
      <c r="O2" s="1304"/>
      <c r="P2" s="1304"/>
      <c r="Q2" s="1304"/>
      <c r="R2" s="1304"/>
      <c r="S2" s="1304"/>
      <c r="T2" s="1304"/>
      <c r="U2" s="1304"/>
      <c r="V2" s="1304"/>
      <c r="W2" s="1304"/>
      <c r="X2" s="1304"/>
      <c r="Y2" s="1304"/>
      <c r="Z2" s="1304"/>
      <c r="AA2" s="1304"/>
      <c r="AB2" s="1304"/>
      <c r="AC2" s="1304"/>
      <c r="AD2" s="1304"/>
      <c r="AE2" s="1304"/>
      <c r="AF2" s="1304"/>
    </row>
    <row r="3" spans="1:32" ht="23.25" customHeight="1">
      <c r="A3" s="1304"/>
      <c r="B3" s="1314" t="s">
        <v>5</v>
      </c>
      <c r="C3" s="372" t="s">
        <v>6</v>
      </c>
      <c r="D3" s="373" t="s">
        <v>7</v>
      </c>
      <c r="E3" s="374" t="s">
        <v>8</v>
      </c>
      <c r="F3" s="375" t="s">
        <v>9</v>
      </c>
      <c r="G3" s="373" t="s">
        <v>10</v>
      </c>
      <c r="H3" s="373" t="s">
        <v>11</v>
      </c>
      <c r="I3" s="376" t="s">
        <v>12</v>
      </c>
      <c r="J3" s="1312" t="s">
        <v>13</v>
      </c>
      <c r="K3" s="1315"/>
      <c r="L3" s="1312"/>
      <c r="M3" s="1304"/>
      <c r="N3" s="1304"/>
      <c r="O3" s="1304"/>
      <c r="P3" s="1304"/>
      <c r="Q3" s="1304"/>
      <c r="R3" s="1304"/>
      <c r="S3" s="1304"/>
      <c r="T3" s="1304"/>
      <c r="U3" s="1304"/>
      <c r="V3" s="1304"/>
      <c r="W3" s="1304"/>
      <c r="X3" s="1304"/>
      <c r="Y3" s="1304"/>
      <c r="Z3" s="1304"/>
      <c r="AA3" s="1304"/>
      <c r="AB3" s="1304"/>
      <c r="AC3" s="1304"/>
      <c r="AD3" s="1304"/>
      <c r="AE3" s="1304"/>
      <c r="AF3" s="1304"/>
    </row>
    <row r="4" spans="1:32" ht="23.25" customHeight="1">
      <c r="A4" s="1304"/>
      <c r="B4" s="1316" t="s">
        <v>14</v>
      </c>
      <c r="C4" s="1317" t="s">
        <v>4</v>
      </c>
      <c r="D4" s="1317" t="s">
        <v>4</v>
      </c>
      <c r="E4" s="1317">
        <v>1</v>
      </c>
      <c r="F4" s="1317">
        <v>2</v>
      </c>
      <c r="G4" s="1317">
        <v>3</v>
      </c>
      <c r="H4" s="1318">
        <v>4</v>
      </c>
      <c r="I4" s="1319">
        <v>5</v>
      </c>
      <c r="J4" s="1312" t="s">
        <v>15</v>
      </c>
      <c r="K4" s="1315"/>
      <c r="L4" s="1320"/>
      <c r="M4" s="1304"/>
      <c r="N4" s="1304"/>
      <c r="O4" s="1304"/>
      <c r="P4" s="1304"/>
      <c r="Q4" s="1304"/>
      <c r="R4" s="1304"/>
      <c r="S4" s="1304"/>
      <c r="T4" s="1304"/>
      <c r="U4" s="1304"/>
      <c r="V4" s="1304"/>
      <c r="W4" s="1304"/>
      <c r="X4" s="1304"/>
      <c r="Y4" s="1304"/>
      <c r="Z4" s="1304"/>
      <c r="AA4" s="1304"/>
      <c r="AB4" s="1304"/>
      <c r="AC4" s="1304"/>
      <c r="AD4" s="1304"/>
      <c r="AE4" s="1304"/>
      <c r="AF4" s="1304"/>
    </row>
    <row r="5" spans="1:32" ht="23.25" customHeight="1">
      <c r="A5" s="1304"/>
      <c r="B5" s="1321" t="s">
        <v>16</v>
      </c>
      <c r="C5" s="1322"/>
      <c r="D5" s="1323"/>
      <c r="E5" s="1324" t="s">
        <v>379</v>
      </c>
      <c r="F5" s="1323" t="s">
        <v>251</v>
      </c>
      <c r="G5" s="1323" t="s">
        <v>379</v>
      </c>
      <c r="H5" s="1323" t="s">
        <v>251</v>
      </c>
      <c r="I5" s="1325" t="s">
        <v>50</v>
      </c>
      <c r="J5" s="1312" t="s">
        <v>17</v>
      </c>
      <c r="K5" s="1315"/>
      <c r="L5" s="1326"/>
      <c r="M5" s="1304"/>
      <c r="N5" s="1304"/>
      <c r="O5" s="1304"/>
      <c r="P5" s="1304"/>
      <c r="Q5" s="1304"/>
      <c r="R5" s="1304"/>
      <c r="S5" s="1304"/>
      <c r="T5" s="1304"/>
      <c r="U5" s="1304"/>
      <c r="V5" s="1304"/>
      <c r="W5" s="1304"/>
      <c r="X5" s="1304"/>
      <c r="Y5" s="1304"/>
      <c r="Z5" s="1304"/>
      <c r="AA5" s="1304"/>
      <c r="AB5" s="1304"/>
      <c r="AC5" s="1304"/>
      <c r="AD5" s="1304"/>
      <c r="AE5" s="1304"/>
      <c r="AF5" s="1304"/>
    </row>
    <row r="6" spans="1:32" ht="23.25" customHeight="1">
      <c r="A6" s="1304"/>
      <c r="B6" s="1327" t="s">
        <v>18</v>
      </c>
      <c r="C6" s="1328" t="s">
        <v>4</v>
      </c>
      <c r="D6" s="1328" t="s">
        <v>4</v>
      </c>
      <c r="E6" s="1329">
        <v>0.18</v>
      </c>
      <c r="F6" s="1329">
        <v>0.28000000000000003</v>
      </c>
      <c r="G6" s="1330">
        <v>0.38</v>
      </c>
      <c r="H6" s="1331">
        <v>0.49</v>
      </c>
      <c r="I6" s="1332">
        <v>0.6</v>
      </c>
      <c r="J6" s="1333"/>
      <c r="K6" s="1315"/>
      <c r="L6" s="1304"/>
      <c r="M6" s="1304"/>
      <c r="N6" s="1304"/>
      <c r="O6" s="1304"/>
      <c r="P6" s="1304"/>
      <c r="Q6" s="1304"/>
      <c r="R6" s="1304"/>
      <c r="S6" s="1304"/>
      <c r="T6" s="1304"/>
      <c r="U6" s="1304"/>
      <c r="V6" s="1304"/>
      <c r="W6" s="1304"/>
      <c r="X6" s="1304"/>
      <c r="Y6" s="1304"/>
      <c r="Z6" s="1304"/>
      <c r="AA6" s="1304"/>
      <c r="AB6" s="1304"/>
      <c r="AC6" s="1304"/>
      <c r="AD6" s="1304"/>
      <c r="AE6" s="1304"/>
      <c r="AF6" s="1304"/>
    </row>
    <row r="7" spans="1:32" ht="23.25" customHeight="1">
      <c r="A7" s="1304"/>
      <c r="B7" s="1321" t="s">
        <v>19</v>
      </c>
      <c r="C7" s="1334"/>
      <c r="D7" s="1335"/>
      <c r="E7" s="1336" t="s">
        <v>62</v>
      </c>
      <c r="F7" s="1335" t="s">
        <v>62</v>
      </c>
      <c r="G7" s="1335" t="s">
        <v>42</v>
      </c>
      <c r="H7" s="1335" t="s">
        <v>42</v>
      </c>
      <c r="I7" s="1337" t="s">
        <v>42</v>
      </c>
      <c r="J7" s="1338" t="s">
        <v>20</v>
      </c>
      <c r="K7" s="1315"/>
      <c r="L7" s="1339"/>
      <c r="M7" s="1304"/>
      <c r="N7" s="1304"/>
      <c r="O7" s="1304"/>
      <c r="P7" s="1304"/>
      <c r="Q7" s="1304"/>
      <c r="R7" s="1304"/>
      <c r="S7" s="1304"/>
      <c r="T7" s="1304"/>
      <c r="U7" s="1304"/>
      <c r="V7" s="1304"/>
      <c r="W7" s="1304"/>
      <c r="X7" s="1304"/>
      <c r="Y7" s="1304"/>
      <c r="Z7" s="1304"/>
      <c r="AA7" s="1304"/>
      <c r="AB7" s="1304"/>
      <c r="AC7" s="1304"/>
      <c r="AD7" s="1304"/>
      <c r="AE7" s="1304"/>
      <c r="AF7" s="1304"/>
    </row>
    <row r="8" spans="1:32" ht="23.25" customHeight="1">
      <c r="A8" s="1304"/>
      <c r="B8" s="1316" t="s">
        <v>21</v>
      </c>
      <c r="C8" s="1340"/>
      <c r="D8" s="1341"/>
      <c r="E8" s="1342" t="s">
        <v>380</v>
      </c>
      <c r="F8" s="1341" t="s">
        <v>380</v>
      </c>
      <c r="G8" s="1341" t="s">
        <v>380</v>
      </c>
      <c r="H8" s="1341" t="s">
        <v>327</v>
      </c>
      <c r="I8" s="1311">
        <v>1</v>
      </c>
      <c r="J8" s="1343" cm="1">
        <f t="array" ref="J8">SUM(IF(ISNUMBER(C8:I8), C8:I8, 0))</f>
        <v>1</v>
      </c>
      <c r="K8" s="1315"/>
      <c r="L8" s="1344" t="s">
        <v>22</v>
      </c>
      <c r="M8" s="1304"/>
      <c r="N8" s="1304"/>
      <c r="O8" s="1304"/>
      <c r="P8" s="1304"/>
      <c r="Q8" s="1304"/>
      <c r="R8" s="1304"/>
      <c r="S8" s="1304"/>
      <c r="T8" s="1304"/>
      <c r="U8" s="1304"/>
      <c r="V8" s="1304"/>
      <c r="W8" s="1304"/>
      <c r="X8" s="1304"/>
      <c r="Y8" s="1304"/>
      <c r="Z8" s="1304"/>
      <c r="AA8" s="1304"/>
      <c r="AB8" s="1304"/>
      <c r="AC8" s="1304"/>
      <c r="AD8" s="1304"/>
      <c r="AE8" s="1304"/>
      <c r="AF8" s="1304"/>
    </row>
    <row r="9" spans="1:32" ht="23.25" customHeight="1">
      <c r="A9" s="1304"/>
      <c r="B9" s="1316" t="s">
        <v>23</v>
      </c>
      <c r="C9" s="1340"/>
      <c r="D9" s="1341"/>
      <c r="E9" s="1342"/>
      <c r="F9" s="1341"/>
      <c r="G9" s="1341"/>
      <c r="H9" s="1341"/>
      <c r="I9" s="1311"/>
      <c r="J9" s="1343" cm="1">
        <f t="array" ref="J9">SUM(IF(ISNUMBER(B9:I9), B9:I9, 0))</f>
        <v>0</v>
      </c>
      <c r="K9" s="1315"/>
      <c r="L9" s="1344" t="s">
        <v>24</v>
      </c>
      <c r="M9" s="1304"/>
      <c r="N9" s="1304"/>
      <c r="O9" s="1304"/>
      <c r="P9" s="1304"/>
      <c r="Q9" s="1304"/>
      <c r="R9" s="1304"/>
      <c r="S9" s="1304"/>
      <c r="T9" s="1304"/>
      <c r="U9" s="1304"/>
      <c r="V9" s="1304"/>
      <c r="W9" s="1304"/>
      <c r="X9" s="1304"/>
      <c r="Y9" s="1304"/>
      <c r="Z9" s="1304"/>
      <c r="AA9" s="1304"/>
      <c r="AB9" s="1304"/>
      <c r="AC9" s="1304"/>
      <c r="AD9" s="1304"/>
      <c r="AE9" s="1304"/>
      <c r="AF9" s="1304"/>
    </row>
    <row r="10" spans="1:32" ht="23.25" customHeight="1">
      <c r="A10" s="1304"/>
      <c r="B10" s="1316" t="s">
        <v>25</v>
      </c>
      <c r="C10" s="1340"/>
      <c r="D10" s="1341"/>
      <c r="E10" s="1342"/>
      <c r="F10" s="1341"/>
      <c r="G10" s="1341"/>
      <c r="H10" s="1341"/>
      <c r="I10" s="1345"/>
      <c r="J10" s="1346" cm="1">
        <f t="array" ref="J10">SUM(IF(ISNUMBER(B10:I10), B10:I10, 0))</f>
        <v>0</v>
      </c>
      <c r="K10" s="1315"/>
      <c r="L10" s="1344" t="s">
        <v>26</v>
      </c>
      <c r="M10" s="1304"/>
      <c r="N10" s="1304"/>
      <c r="O10" s="1304"/>
      <c r="P10" s="1304"/>
      <c r="Q10" s="1304"/>
      <c r="R10" s="1304"/>
      <c r="S10" s="1304"/>
      <c r="T10" s="1304"/>
      <c r="U10" s="1304"/>
      <c r="V10" s="1304"/>
      <c r="W10" s="1304"/>
      <c r="X10" s="1304"/>
      <c r="Y10" s="1304"/>
      <c r="Z10" s="1304"/>
      <c r="AA10" s="1304"/>
      <c r="AB10" s="1304"/>
      <c r="AC10" s="1304"/>
      <c r="AD10" s="1304"/>
      <c r="AE10" s="1304"/>
      <c r="AF10" s="1304"/>
    </row>
    <row r="11" spans="1:32" ht="23.25" customHeight="1">
      <c r="A11" s="1304"/>
      <c r="B11" s="1347" t="s">
        <v>27</v>
      </c>
      <c r="C11" s="1348" t="s">
        <v>4</v>
      </c>
      <c r="D11" s="1349" t="s">
        <v>4</v>
      </c>
      <c r="E11" s="1350" t="s">
        <v>381</v>
      </c>
      <c r="F11" s="1351" t="s">
        <v>382</v>
      </c>
      <c r="G11" s="1352" t="s">
        <v>383</v>
      </c>
      <c r="H11" s="1353" t="s">
        <v>384</v>
      </c>
      <c r="I11" s="1354" t="s">
        <v>385</v>
      </c>
      <c r="J11" s="1346">
        <v>12.38</v>
      </c>
      <c r="K11" s="1315"/>
      <c r="L11" s="1344" t="s">
        <v>28</v>
      </c>
      <c r="M11" s="1304"/>
      <c r="N11" s="1304"/>
      <c r="O11" s="1304"/>
      <c r="P11" s="1304"/>
      <c r="Q11" s="1304"/>
      <c r="R11" s="1304"/>
      <c r="S11" s="1304"/>
      <c r="T11" s="1304"/>
      <c r="U11" s="1304"/>
      <c r="V11" s="1304"/>
      <c r="W11" s="1304"/>
      <c r="X11" s="1304"/>
      <c r="Y11" s="1304"/>
      <c r="Z11" s="1304"/>
      <c r="AA11" s="1304"/>
      <c r="AB11" s="1304"/>
      <c r="AC11" s="1304"/>
      <c r="AD11" s="1304"/>
      <c r="AE11" s="1304"/>
      <c r="AF11" s="1304"/>
    </row>
    <row r="12" spans="1:32" ht="23.25" customHeight="1">
      <c r="A12" s="1304"/>
      <c r="B12" s="1304" t="s">
        <v>4</v>
      </c>
      <c r="C12" s="1355">
        <v>6</v>
      </c>
      <c r="D12" s="1355">
        <v>7</v>
      </c>
      <c r="E12" s="1355">
        <v>8</v>
      </c>
      <c r="F12" s="1356">
        <v>9</v>
      </c>
      <c r="G12" s="1357">
        <v>10</v>
      </c>
      <c r="H12" s="1358">
        <v>11</v>
      </c>
      <c r="I12" s="1319">
        <v>12</v>
      </c>
      <c r="J12" s="1359"/>
      <c r="K12" s="1315"/>
      <c r="L12" s="1360"/>
      <c r="M12" s="1304"/>
      <c r="N12" s="1304"/>
      <c r="O12" s="1304"/>
      <c r="P12" s="1304"/>
      <c r="Q12" s="1304"/>
      <c r="R12" s="1304"/>
      <c r="S12" s="1304"/>
      <c r="T12" s="1304"/>
      <c r="U12" s="1304"/>
      <c r="V12" s="1304"/>
      <c r="W12" s="1304"/>
      <c r="X12" s="1304"/>
      <c r="Y12" s="1304"/>
      <c r="Z12" s="1304"/>
      <c r="AA12" s="1304"/>
      <c r="AB12" s="1304"/>
      <c r="AC12" s="1304"/>
      <c r="AD12" s="1304"/>
      <c r="AE12" s="1304"/>
      <c r="AF12" s="1304"/>
    </row>
    <row r="13" spans="1:32" ht="23.25" customHeight="1">
      <c r="A13" s="1304"/>
      <c r="B13" s="1304"/>
      <c r="C13" s="1322" t="s">
        <v>386</v>
      </c>
      <c r="D13" s="1323" t="s">
        <v>386</v>
      </c>
      <c r="E13" s="1324" t="s">
        <v>207</v>
      </c>
      <c r="F13" s="1361"/>
      <c r="G13" s="1362"/>
      <c r="H13" s="1363"/>
      <c r="I13" s="1364"/>
      <c r="J13" s="1359"/>
      <c r="K13" s="1315"/>
      <c r="L13" s="1360"/>
      <c r="M13" s="1304"/>
      <c r="N13" s="1304"/>
      <c r="O13" s="1304"/>
      <c r="P13" s="1304"/>
      <c r="Q13" s="1304"/>
      <c r="R13" s="1304"/>
      <c r="S13" s="1304"/>
      <c r="T13" s="1304"/>
      <c r="U13" s="1304"/>
      <c r="V13" s="1304"/>
      <c r="W13" s="1304"/>
      <c r="X13" s="1304"/>
      <c r="Y13" s="1304"/>
      <c r="Z13" s="1304"/>
      <c r="AA13" s="1304"/>
      <c r="AB13" s="1304"/>
      <c r="AC13" s="1304"/>
      <c r="AD13" s="1304"/>
      <c r="AE13" s="1304"/>
      <c r="AF13" s="1304"/>
    </row>
    <row r="14" spans="1:32" ht="23.25" customHeight="1">
      <c r="A14" s="1304"/>
      <c r="B14" s="1304"/>
      <c r="C14" s="1365">
        <v>0.7</v>
      </c>
      <c r="D14" s="1331">
        <v>0.78</v>
      </c>
      <c r="E14" s="1328">
        <v>0.86</v>
      </c>
      <c r="F14" s="1329">
        <v>0.92</v>
      </c>
      <c r="G14" s="1329">
        <v>0.96</v>
      </c>
      <c r="H14" s="1366">
        <v>0.99</v>
      </c>
      <c r="I14" s="1367">
        <v>1</v>
      </c>
      <c r="J14" s="1315"/>
      <c r="K14" s="1315"/>
      <c r="L14" s="1360"/>
      <c r="M14" s="1304"/>
      <c r="N14" s="1304"/>
      <c r="O14" s="1304"/>
      <c r="P14" s="1304"/>
      <c r="Q14" s="1304"/>
      <c r="R14" s="1304"/>
      <c r="S14" s="1304"/>
      <c r="T14" s="1304"/>
      <c r="U14" s="1304"/>
      <c r="V14" s="1304"/>
      <c r="W14" s="1304"/>
      <c r="X14" s="1304"/>
      <c r="Y14" s="1304"/>
      <c r="Z14" s="1304"/>
      <c r="AA14" s="1304"/>
      <c r="AB14" s="1304"/>
      <c r="AC14" s="1304"/>
      <c r="AD14" s="1304"/>
      <c r="AE14" s="1304"/>
      <c r="AF14" s="1304"/>
    </row>
    <row r="15" spans="1:32" ht="23.25" customHeight="1">
      <c r="A15" s="1304"/>
      <c r="B15" s="1304"/>
      <c r="C15" s="1334" t="s">
        <v>42</v>
      </c>
      <c r="D15" s="1368" t="s">
        <v>42</v>
      </c>
      <c r="E15" s="1335" t="s">
        <v>42</v>
      </c>
      <c r="F15" s="1362"/>
      <c r="G15" s="1362"/>
      <c r="H15" s="1363"/>
      <c r="I15" s="1369"/>
      <c r="J15" s="1338" t="s">
        <v>29</v>
      </c>
      <c r="K15" s="1315"/>
      <c r="L15" s="1360"/>
      <c r="M15" s="1304"/>
      <c r="N15" s="1304"/>
      <c r="O15" s="1304"/>
      <c r="P15" s="1304"/>
      <c r="Q15" s="1304"/>
      <c r="R15" s="1304"/>
      <c r="S15" s="1304"/>
      <c r="T15" s="1304"/>
      <c r="U15" s="1304"/>
      <c r="V15" s="1304"/>
      <c r="W15" s="1304"/>
      <c r="X15" s="1304"/>
      <c r="Y15" s="1304"/>
      <c r="Z15" s="1304"/>
      <c r="AA15" s="1304"/>
      <c r="AB15" s="1304"/>
      <c r="AC15" s="1304"/>
      <c r="AD15" s="1304"/>
      <c r="AE15" s="1304"/>
      <c r="AF15" s="1304"/>
    </row>
    <row r="16" spans="1:32" ht="23.25" customHeight="1">
      <c r="A16" s="1304"/>
      <c r="B16" s="1304"/>
      <c r="C16" s="1340">
        <v>1.2</v>
      </c>
      <c r="D16" s="1341" t="s">
        <v>387</v>
      </c>
      <c r="E16" s="1341">
        <v>2.9</v>
      </c>
      <c r="F16" s="1341"/>
      <c r="G16" s="1341"/>
      <c r="H16" s="1341"/>
      <c r="I16" s="1311"/>
      <c r="J16" s="1343" cm="1">
        <f t="array" ref="J16">SUM(IF(ISNUMBER(B16:I16), B16:I16, 0))</f>
        <v>4.0999999999999996</v>
      </c>
      <c r="K16" s="1315"/>
      <c r="L16" s="1370" t="s">
        <v>22</v>
      </c>
      <c r="M16" s="1304"/>
      <c r="N16" s="1304"/>
      <c r="O16" s="1304"/>
      <c r="P16" s="1304"/>
      <c r="Q16" s="1304"/>
      <c r="R16" s="1304"/>
      <c r="S16" s="1304"/>
      <c r="T16" s="1304"/>
      <c r="U16" s="1304"/>
      <c r="V16" s="1304"/>
      <c r="W16" s="1304"/>
      <c r="X16" s="1304"/>
      <c r="Y16" s="1304"/>
      <c r="Z16" s="1304"/>
      <c r="AA16" s="1304"/>
      <c r="AB16" s="1304"/>
      <c r="AC16" s="1304"/>
      <c r="AD16" s="1304"/>
      <c r="AE16" s="1304"/>
      <c r="AF16" s="1304"/>
    </row>
    <row r="17" spans="1:32" ht="23.25" customHeight="1">
      <c r="A17" s="1304"/>
      <c r="B17" s="1304"/>
      <c r="C17" s="1340"/>
      <c r="D17" s="1341"/>
      <c r="E17" s="1341">
        <v>0.6</v>
      </c>
      <c r="F17" s="1341"/>
      <c r="G17" s="1341"/>
      <c r="H17" s="1341"/>
      <c r="I17" s="1311"/>
      <c r="J17" s="1343" cm="1">
        <f t="array" ref="J17">SUM(IF(ISNUMBER(B17:I17), B17:I17, 0))</f>
        <v>0.6</v>
      </c>
      <c r="K17" s="1315"/>
      <c r="L17" s="1370" t="s">
        <v>24</v>
      </c>
      <c r="M17" s="1304"/>
      <c r="N17" s="1304"/>
      <c r="O17" s="1304"/>
      <c r="P17" s="1304"/>
      <c r="Q17" s="1304"/>
      <c r="R17" s="1304"/>
      <c r="S17" s="1304"/>
      <c r="T17" s="1304"/>
      <c r="U17" s="1304"/>
      <c r="V17" s="1304"/>
      <c r="W17" s="1304"/>
      <c r="X17" s="1304"/>
      <c r="Y17" s="1304"/>
      <c r="Z17" s="1304"/>
      <c r="AA17" s="1304"/>
      <c r="AB17" s="1304"/>
      <c r="AC17" s="1304"/>
      <c r="AD17" s="1304"/>
      <c r="AE17" s="1304"/>
      <c r="AF17" s="1304"/>
    </row>
    <row r="18" spans="1:32" ht="23.25" customHeight="1">
      <c r="A18" s="1304"/>
      <c r="B18" s="1304"/>
      <c r="C18" s="1340"/>
      <c r="D18" s="1341"/>
      <c r="E18" s="1341">
        <v>0.4</v>
      </c>
      <c r="F18" s="1341"/>
      <c r="G18" s="1341"/>
      <c r="H18" s="1341"/>
      <c r="I18" s="1311"/>
      <c r="J18" s="1346" cm="1">
        <f t="array" ref="J18">SUM(IF(ISNUMBER(B18:I18), B18:I18, 0))</f>
        <v>0.4</v>
      </c>
      <c r="K18" s="1315"/>
      <c r="L18" s="1370" t="s">
        <v>26</v>
      </c>
      <c r="M18" s="1304"/>
      <c r="N18" s="1304"/>
      <c r="O18" s="1304"/>
      <c r="P18" s="1304"/>
      <c r="Q18" s="1304"/>
      <c r="R18" s="1304"/>
      <c r="S18" s="1304"/>
      <c r="T18" s="1304"/>
      <c r="U18" s="1304"/>
      <c r="V18" s="1304"/>
      <c r="W18" s="1304"/>
      <c r="X18" s="1304"/>
      <c r="Y18" s="1304"/>
      <c r="Z18" s="1304"/>
      <c r="AA18" s="1304"/>
      <c r="AB18" s="1304"/>
      <c r="AC18" s="1304"/>
      <c r="AD18" s="1304"/>
      <c r="AE18" s="1304"/>
      <c r="AF18" s="1304"/>
    </row>
    <row r="19" spans="1:32" ht="23.25" customHeight="1">
      <c r="A19" s="1304"/>
      <c r="B19" s="1304"/>
      <c r="C19" s="1371" t="s">
        <v>388</v>
      </c>
      <c r="D19" s="1372" t="s">
        <v>389</v>
      </c>
      <c r="E19" s="1349" t="s">
        <v>390</v>
      </c>
      <c r="F19" s="1352" t="s">
        <v>391</v>
      </c>
      <c r="G19" s="1373" t="s">
        <v>392</v>
      </c>
      <c r="H19" s="1374" t="s">
        <v>393</v>
      </c>
      <c r="I19" s="1354" t="s">
        <v>394</v>
      </c>
      <c r="J19" s="1346">
        <v>3.43</v>
      </c>
      <c r="K19" s="1315"/>
      <c r="L19" s="1344" t="s">
        <v>28</v>
      </c>
      <c r="M19" s="1304"/>
      <c r="N19" s="1304"/>
      <c r="O19" s="1304"/>
      <c r="P19" s="1304"/>
      <c r="Q19" s="1304"/>
      <c r="R19" s="1304"/>
      <c r="S19" s="1304"/>
      <c r="T19" s="1304"/>
      <c r="U19" s="1304"/>
      <c r="V19" s="1304"/>
      <c r="W19" s="1304"/>
      <c r="X19" s="1304"/>
      <c r="Y19" s="1304"/>
      <c r="Z19" s="1304"/>
      <c r="AA19" s="1304"/>
      <c r="AB19" s="1304"/>
      <c r="AC19" s="1304"/>
      <c r="AD19" s="1304"/>
      <c r="AE19" s="1304"/>
      <c r="AF19" s="1304"/>
    </row>
    <row r="20" spans="1:32" ht="23.25" customHeight="1">
      <c r="A20" s="1304"/>
      <c r="B20" s="1304"/>
      <c r="C20" s="1375">
        <v>13</v>
      </c>
      <c r="D20" s="1375">
        <v>14</v>
      </c>
      <c r="E20" s="1376">
        <v>15</v>
      </c>
      <c r="F20" s="1377">
        <v>16</v>
      </c>
      <c r="G20" s="1378">
        <v>17</v>
      </c>
      <c r="H20" s="1378">
        <v>18</v>
      </c>
      <c r="I20" s="1379">
        <v>19</v>
      </c>
      <c r="J20" s="1359"/>
      <c r="K20" s="1315"/>
      <c r="L20" s="1360"/>
      <c r="M20" s="1304"/>
      <c r="N20" s="1304"/>
      <c r="O20" s="1304"/>
      <c r="P20" s="1304"/>
      <c r="Q20" s="1304"/>
      <c r="R20" s="1304"/>
      <c r="S20" s="1304"/>
      <c r="T20" s="1304"/>
      <c r="U20" s="1304"/>
      <c r="V20" s="1304"/>
      <c r="W20" s="1304"/>
      <c r="X20" s="1304"/>
      <c r="Y20" s="1304"/>
      <c r="Z20" s="1304"/>
      <c r="AA20" s="1304"/>
      <c r="AB20" s="1304"/>
      <c r="AC20" s="1304"/>
      <c r="AD20" s="1304"/>
      <c r="AE20" s="1304"/>
      <c r="AF20" s="1304"/>
    </row>
    <row r="21" spans="1:32" ht="23.25" customHeight="1">
      <c r="A21" s="1304"/>
      <c r="B21" s="1304"/>
      <c r="C21" s="1380"/>
      <c r="D21" s="1381"/>
      <c r="E21" s="1381"/>
      <c r="F21" s="1368" t="s">
        <v>50</v>
      </c>
      <c r="G21" s="1368" t="s">
        <v>50</v>
      </c>
      <c r="H21" s="1335" t="s">
        <v>207</v>
      </c>
      <c r="I21" s="1382" t="s">
        <v>386</v>
      </c>
      <c r="J21" s="1359"/>
      <c r="K21" s="1315"/>
      <c r="L21" s="1360"/>
      <c r="M21" s="1304"/>
      <c r="N21" s="1304"/>
      <c r="O21" s="1304"/>
      <c r="P21" s="1304"/>
      <c r="Q21" s="1304"/>
      <c r="R21" s="1304"/>
      <c r="S21" s="1304"/>
      <c r="T21" s="1304"/>
      <c r="U21" s="1304"/>
      <c r="V21" s="1304"/>
      <c r="W21" s="1304"/>
      <c r="X21" s="1304"/>
      <c r="Y21" s="1304"/>
      <c r="Z21" s="1304"/>
      <c r="AA21" s="1304"/>
      <c r="AB21" s="1304"/>
      <c r="AC21" s="1304"/>
      <c r="AD21" s="1304"/>
      <c r="AE21" s="1304"/>
      <c r="AF21" s="1304"/>
    </row>
    <row r="22" spans="1:32" ht="23.25" customHeight="1">
      <c r="A22" s="1304"/>
      <c r="B22" s="1304"/>
      <c r="C22" s="1383">
        <v>0.99</v>
      </c>
      <c r="D22" s="1329">
        <v>0.96</v>
      </c>
      <c r="E22" s="1329">
        <v>0.92</v>
      </c>
      <c r="F22" s="1329">
        <v>0.86</v>
      </c>
      <c r="G22" s="1330">
        <v>0.79</v>
      </c>
      <c r="H22" s="1331">
        <v>0.71</v>
      </c>
      <c r="I22" s="1332">
        <v>0.61</v>
      </c>
      <c r="J22" s="1315"/>
      <c r="K22" s="1315"/>
      <c r="L22" s="1360"/>
      <c r="M22" s="1304"/>
      <c r="N22" s="1304"/>
      <c r="O22" s="1304"/>
      <c r="P22" s="1304"/>
      <c r="Q22" s="1304"/>
      <c r="R22" s="1304"/>
      <c r="S22" s="1304"/>
      <c r="T22" s="1304"/>
      <c r="U22" s="1304"/>
      <c r="V22" s="1304"/>
      <c r="W22" s="1304"/>
      <c r="X22" s="1304"/>
      <c r="Y22" s="1304"/>
      <c r="Z22" s="1304"/>
      <c r="AA22" s="1304"/>
      <c r="AB22" s="1304"/>
      <c r="AC22" s="1304"/>
      <c r="AD22" s="1304"/>
      <c r="AE22" s="1304"/>
      <c r="AF22" s="1304"/>
    </row>
    <row r="23" spans="1:32" ht="23.25" customHeight="1">
      <c r="A23" s="1304"/>
      <c r="B23" s="1304"/>
      <c r="C23" s="1380"/>
      <c r="D23" s="1381"/>
      <c r="E23" s="1381"/>
      <c r="F23" s="1368" t="s">
        <v>340</v>
      </c>
      <c r="G23" s="1368" t="s">
        <v>340</v>
      </c>
      <c r="H23" s="1368" t="s">
        <v>253</v>
      </c>
      <c r="I23" s="1382" t="s">
        <v>253</v>
      </c>
      <c r="J23" s="1384" t="s">
        <v>30</v>
      </c>
      <c r="K23" s="1315"/>
      <c r="L23" s="1360"/>
      <c r="M23" s="1304"/>
      <c r="N23" s="1304"/>
      <c r="O23" s="1304"/>
      <c r="P23" s="1304"/>
      <c r="Q23" s="1304"/>
      <c r="R23" s="1304"/>
      <c r="S23" s="1304"/>
      <c r="T23" s="1304"/>
      <c r="U23" s="1304"/>
      <c r="V23" s="1304"/>
      <c r="W23" s="1304"/>
      <c r="X23" s="1304"/>
      <c r="Y23" s="1304"/>
      <c r="Z23" s="1304"/>
      <c r="AA23" s="1304"/>
      <c r="AB23" s="1304"/>
      <c r="AC23" s="1304"/>
      <c r="AD23" s="1304"/>
      <c r="AE23" s="1304"/>
      <c r="AF23" s="1304"/>
    </row>
    <row r="24" spans="1:32" ht="23.25" customHeight="1">
      <c r="A24" s="1304"/>
      <c r="B24" s="1304"/>
      <c r="C24" s="1340"/>
      <c r="D24" s="1385"/>
      <c r="E24" s="1341"/>
      <c r="F24" s="1341">
        <v>1.8</v>
      </c>
      <c r="G24" s="1341">
        <v>8</v>
      </c>
      <c r="H24" s="1386" t="s">
        <v>395</v>
      </c>
      <c r="I24" s="1387">
        <v>5</v>
      </c>
      <c r="J24" s="1388" cm="1">
        <f t="array" ref="J24">SUM(IF(ISNUMBER(B24:I24), B24:I24, 0))</f>
        <v>14.8</v>
      </c>
      <c r="K24" s="1315"/>
      <c r="L24" s="1370" t="s">
        <v>22</v>
      </c>
      <c r="M24" s="1304"/>
      <c r="N24" s="1304"/>
      <c r="O24" s="1304"/>
      <c r="P24" s="1304"/>
      <c r="Q24" s="1304"/>
      <c r="R24" s="1304"/>
      <c r="S24" s="1304"/>
      <c r="T24" s="1304"/>
      <c r="U24" s="1304"/>
      <c r="V24" s="1304"/>
      <c r="W24" s="1304"/>
      <c r="X24" s="1304"/>
      <c r="Y24" s="1304"/>
      <c r="Z24" s="1304"/>
      <c r="AA24" s="1304"/>
      <c r="AB24" s="1304"/>
      <c r="AC24" s="1304"/>
      <c r="AD24" s="1304"/>
      <c r="AE24" s="1304"/>
      <c r="AF24" s="1304"/>
    </row>
    <row r="25" spans="1:32" ht="23.25" customHeight="1">
      <c r="A25" s="1304"/>
      <c r="B25" s="1304"/>
      <c r="C25" s="1340"/>
      <c r="D25" s="1385"/>
      <c r="E25" s="1341"/>
      <c r="F25" s="1341">
        <v>0.3</v>
      </c>
      <c r="G25" s="1341">
        <v>0.8</v>
      </c>
      <c r="H25" s="1386">
        <v>0</v>
      </c>
      <c r="I25" s="1387">
        <v>0.8</v>
      </c>
      <c r="J25" s="1388" cm="1">
        <f t="array" ref="J25">SUM(IF(ISNUMBER(B25:I25), B25:I25, 0))</f>
        <v>1.9000000000000001</v>
      </c>
      <c r="K25" s="1315"/>
      <c r="L25" s="1370" t="s">
        <v>24</v>
      </c>
      <c r="M25" s="1304"/>
      <c r="N25" s="1304"/>
      <c r="O25" s="1304"/>
      <c r="P25" s="1304"/>
      <c r="Q25" s="1304"/>
      <c r="R25" s="1304"/>
      <c r="S25" s="1304"/>
      <c r="T25" s="1304"/>
      <c r="U25" s="1304"/>
      <c r="V25" s="1304"/>
      <c r="W25" s="1304"/>
      <c r="X25" s="1304"/>
      <c r="Y25" s="1304"/>
      <c r="Z25" s="1304"/>
      <c r="AA25" s="1304"/>
      <c r="AB25" s="1304"/>
      <c r="AC25" s="1304"/>
      <c r="AD25" s="1304"/>
      <c r="AE25" s="1304"/>
      <c r="AF25" s="1304"/>
    </row>
    <row r="26" spans="1:32" ht="23.25" customHeight="1">
      <c r="A26" s="1304"/>
      <c r="B26" s="1304"/>
      <c r="C26" s="1340"/>
      <c r="D26" s="1386"/>
      <c r="E26" s="1386"/>
      <c r="F26" s="1386">
        <v>0</v>
      </c>
      <c r="G26" s="1386">
        <v>0</v>
      </c>
      <c r="H26" s="1386">
        <v>0</v>
      </c>
      <c r="I26" s="1387">
        <v>0</v>
      </c>
      <c r="J26" s="1389" cm="1">
        <f t="array" ref="J26">SUM(IF(ISNUMBER(B26:I26), B26:I26, 0))</f>
        <v>0</v>
      </c>
      <c r="K26" s="1315"/>
      <c r="L26" s="1370" t="s">
        <v>26</v>
      </c>
      <c r="M26" s="1304"/>
      <c r="N26" s="1304"/>
      <c r="O26" s="1304"/>
      <c r="P26" s="1304"/>
      <c r="Q26" s="1304"/>
      <c r="R26" s="1304"/>
      <c r="S26" s="1304"/>
      <c r="T26" s="1304"/>
      <c r="U26" s="1304"/>
      <c r="V26" s="1304"/>
      <c r="W26" s="1304"/>
      <c r="X26" s="1304"/>
      <c r="Y26" s="1304"/>
      <c r="Z26" s="1304"/>
      <c r="AA26" s="1304"/>
      <c r="AB26" s="1304"/>
      <c r="AC26" s="1304"/>
      <c r="AD26" s="1304"/>
      <c r="AE26" s="1304"/>
      <c r="AF26" s="1304"/>
    </row>
    <row r="27" spans="1:32" ht="23.25" customHeight="1">
      <c r="A27" s="1304"/>
      <c r="B27" s="1304"/>
      <c r="C27" s="1390" t="s">
        <v>396</v>
      </c>
      <c r="D27" s="1349" t="s">
        <v>397</v>
      </c>
      <c r="E27" s="1349" t="s">
        <v>398</v>
      </c>
      <c r="F27" s="1391" t="s">
        <v>399</v>
      </c>
      <c r="G27" s="1349" t="s">
        <v>400</v>
      </c>
      <c r="H27" s="1349" t="s">
        <v>401</v>
      </c>
      <c r="I27" s="1392" t="s">
        <v>402</v>
      </c>
      <c r="J27" s="1346">
        <v>29.32</v>
      </c>
      <c r="K27" s="1315"/>
      <c r="L27" s="1344" t="s">
        <v>28</v>
      </c>
      <c r="M27" s="1304"/>
      <c r="N27" s="1304"/>
      <c r="O27" s="1304"/>
      <c r="P27" s="1304"/>
      <c r="Q27" s="1304"/>
      <c r="R27" s="1304"/>
      <c r="S27" s="1304"/>
      <c r="T27" s="1304"/>
      <c r="U27" s="1304"/>
      <c r="V27" s="1304"/>
      <c r="W27" s="1304"/>
      <c r="X27" s="1304"/>
      <c r="Y27" s="1304"/>
      <c r="Z27" s="1304"/>
      <c r="AA27" s="1304"/>
      <c r="AB27" s="1304"/>
      <c r="AC27" s="1304"/>
      <c r="AD27" s="1304"/>
      <c r="AE27" s="1304"/>
      <c r="AF27" s="1304"/>
    </row>
    <row r="28" spans="1:32" ht="23.25" customHeight="1">
      <c r="A28" s="1304"/>
      <c r="B28" s="1304"/>
      <c r="C28" s="1355">
        <v>20</v>
      </c>
      <c r="D28" s="1355">
        <v>21</v>
      </c>
      <c r="E28" s="1355">
        <v>22</v>
      </c>
      <c r="F28" s="1355">
        <v>23</v>
      </c>
      <c r="G28" s="1355">
        <v>24</v>
      </c>
      <c r="H28" s="1355">
        <v>25</v>
      </c>
      <c r="I28" s="1355">
        <v>26</v>
      </c>
      <c r="J28" s="1393"/>
      <c r="K28" s="1315"/>
      <c r="L28" s="1360"/>
      <c r="M28" s="1304"/>
      <c r="N28" s="1304"/>
      <c r="O28" s="1304"/>
      <c r="P28" s="1304"/>
      <c r="Q28" s="1304"/>
      <c r="R28" s="1304"/>
      <c r="S28" s="1304"/>
      <c r="T28" s="1304"/>
      <c r="U28" s="1304"/>
      <c r="V28" s="1304"/>
      <c r="W28" s="1304"/>
      <c r="X28" s="1304"/>
      <c r="Y28" s="1304"/>
      <c r="Z28" s="1304"/>
      <c r="AA28" s="1304"/>
      <c r="AB28" s="1304"/>
      <c r="AC28" s="1304"/>
      <c r="AD28" s="1304"/>
      <c r="AE28" s="1304"/>
      <c r="AF28" s="1304"/>
    </row>
    <row r="29" spans="1:32" ht="23.25" customHeight="1">
      <c r="A29" s="1304"/>
      <c r="B29" s="1304"/>
      <c r="C29" s="1322" t="s">
        <v>50</v>
      </c>
      <c r="D29" s="1323" t="s">
        <v>50</v>
      </c>
      <c r="E29" s="1324" t="s">
        <v>379</v>
      </c>
      <c r="F29" s="1394" t="s">
        <v>50</v>
      </c>
      <c r="G29" s="1323" t="s">
        <v>379</v>
      </c>
      <c r="H29" s="1395" t="s">
        <v>403</v>
      </c>
      <c r="I29" s="1325" t="s">
        <v>324</v>
      </c>
      <c r="J29" s="1359"/>
      <c r="K29" s="1315"/>
      <c r="L29" s="1360"/>
      <c r="M29" s="1304"/>
      <c r="N29" s="1304"/>
      <c r="O29" s="1304"/>
      <c r="P29" s="1304"/>
      <c r="Q29" s="1304"/>
      <c r="R29" s="1304"/>
      <c r="S29" s="1304"/>
      <c r="T29" s="1304"/>
      <c r="U29" s="1304"/>
      <c r="V29" s="1304"/>
      <c r="W29" s="1304"/>
      <c r="X29" s="1304"/>
      <c r="Y29" s="1304"/>
      <c r="Z29" s="1304"/>
      <c r="AA29" s="1304"/>
      <c r="AB29" s="1304"/>
      <c r="AC29" s="1304"/>
      <c r="AD29" s="1304"/>
      <c r="AE29" s="1304"/>
      <c r="AF29" s="1304"/>
    </row>
    <row r="30" spans="1:32" ht="23.25" customHeight="1">
      <c r="A30" s="1304"/>
      <c r="B30" s="1304"/>
      <c r="C30" s="1383">
        <v>0.51</v>
      </c>
      <c r="D30" s="1329">
        <v>0.4</v>
      </c>
      <c r="E30" s="1329">
        <v>0.3</v>
      </c>
      <c r="F30" s="1329">
        <v>0.2</v>
      </c>
      <c r="G30" s="1329">
        <v>0.11</v>
      </c>
      <c r="H30" s="1329">
        <v>0.05</v>
      </c>
      <c r="I30" s="1332">
        <v>0.01</v>
      </c>
      <c r="J30" s="1315"/>
      <c r="K30" s="1315"/>
      <c r="L30" s="1360"/>
      <c r="M30" s="1304"/>
      <c r="N30" s="1304"/>
      <c r="O30" s="1304"/>
      <c r="P30" s="1304"/>
      <c r="Q30" s="1304"/>
      <c r="R30" s="1304"/>
      <c r="S30" s="1304"/>
      <c r="T30" s="1304"/>
      <c r="U30" s="1304"/>
      <c r="V30" s="1304"/>
      <c r="W30" s="1304"/>
      <c r="X30" s="1304"/>
      <c r="Y30" s="1304"/>
      <c r="Z30" s="1304"/>
      <c r="AA30" s="1304"/>
      <c r="AB30" s="1304"/>
      <c r="AC30" s="1304"/>
      <c r="AD30" s="1304"/>
      <c r="AE30" s="1304"/>
      <c r="AF30" s="1304"/>
    </row>
    <row r="31" spans="1:32" ht="23.25" customHeight="1">
      <c r="A31" s="1304"/>
      <c r="B31" s="1304"/>
      <c r="C31" s="1334" t="s">
        <v>62</v>
      </c>
      <c r="D31" s="1368" t="s">
        <v>253</v>
      </c>
      <c r="E31" s="1368" t="s">
        <v>62</v>
      </c>
      <c r="F31" s="1335" t="s">
        <v>340</v>
      </c>
      <c r="G31" s="1335" t="s">
        <v>340</v>
      </c>
      <c r="H31" s="1335" t="s">
        <v>253</v>
      </c>
      <c r="I31" s="1382" t="s">
        <v>340</v>
      </c>
      <c r="J31" s="1384" t="s">
        <v>31</v>
      </c>
      <c r="K31" s="1315"/>
      <c r="L31" s="1360"/>
      <c r="M31" s="1304"/>
      <c r="N31" s="1304"/>
      <c r="O31" s="1304"/>
      <c r="P31" s="1304"/>
      <c r="Q31" s="1304"/>
      <c r="R31" s="1304"/>
      <c r="S31" s="1304"/>
      <c r="T31" s="1304"/>
      <c r="U31" s="1304"/>
      <c r="V31" s="1304"/>
      <c r="W31" s="1304"/>
      <c r="X31" s="1304"/>
      <c r="Y31" s="1304"/>
      <c r="Z31" s="1304"/>
      <c r="AA31" s="1304"/>
      <c r="AB31" s="1304"/>
      <c r="AC31" s="1304"/>
      <c r="AD31" s="1304"/>
      <c r="AE31" s="1304"/>
      <c r="AF31" s="1304"/>
    </row>
    <row r="32" spans="1:32" ht="23.25" customHeight="1">
      <c r="A32" s="1304"/>
      <c r="B32" s="1304"/>
      <c r="C32" s="1340">
        <v>6</v>
      </c>
      <c r="D32" s="1341">
        <v>7.3</v>
      </c>
      <c r="E32" s="1341">
        <v>2</v>
      </c>
      <c r="F32" s="1341">
        <v>8.1999999999999993</v>
      </c>
      <c r="G32" s="1341">
        <v>8</v>
      </c>
      <c r="H32" s="1341">
        <v>7.5</v>
      </c>
      <c r="I32" s="1396">
        <v>7.7</v>
      </c>
      <c r="J32" s="1388" cm="1">
        <f t="array" ref="J32">SUM(IF(ISNUMBER(B32:I32), B32:I32, 0))</f>
        <v>46.7</v>
      </c>
      <c r="K32" s="1315"/>
      <c r="L32" s="1370" t="s">
        <v>22</v>
      </c>
      <c r="M32" s="1304"/>
      <c r="N32" s="1304"/>
      <c r="O32" s="1304"/>
      <c r="P32" s="1304"/>
      <c r="Q32" s="1304"/>
      <c r="R32" s="1304"/>
      <c r="S32" s="1304"/>
      <c r="T32" s="1304"/>
      <c r="U32" s="1304"/>
      <c r="V32" s="1304"/>
      <c r="W32" s="1304"/>
      <c r="X32" s="1304"/>
      <c r="Y32" s="1304"/>
      <c r="Z32" s="1304"/>
      <c r="AA32" s="1304"/>
      <c r="AB32" s="1304"/>
      <c r="AC32" s="1304"/>
      <c r="AD32" s="1304"/>
      <c r="AE32" s="1304"/>
      <c r="AF32" s="1304"/>
    </row>
    <row r="33" spans="1:32" ht="23.25" customHeight="1">
      <c r="A33" s="1304"/>
      <c r="B33" s="1304"/>
      <c r="C33" s="1340">
        <v>0.8</v>
      </c>
      <c r="D33" s="1341">
        <v>0.8</v>
      </c>
      <c r="E33" s="1341">
        <v>0.8</v>
      </c>
      <c r="F33" s="1341">
        <v>0.8</v>
      </c>
      <c r="G33" s="1311">
        <v>0.8</v>
      </c>
      <c r="H33" s="1341">
        <v>0.8</v>
      </c>
      <c r="I33" s="1396">
        <v>0.8</v>
      </c>
      <c r="J33" s="1388" cm="1">
        <f t="array" ref="J33">SUM(IF(ISNUMBER(B33:I33), B33:I33, 0))</f>
        <v>5.6</v>
      </c>
      <c r="K33" s="1315"/>
      <c r="L33" s="1370" t="s">
        <v>24</v>
      </c>
      <c r="M33" s="1304"/>
      <c r="N33" s="1304"/>
      <c r="O33" s="1304"/>
      <c r="P33" s="1304"/>
      <c r="Q33" s="1304"/>
      <c r="R33" s="1304"/>
      <c r="S33" s="1304"/>
      <c r="T33" s="1304"/>
      <c r="U33" s="1304"/>
      <c r="V33" s="1304"/>
      <c r="W33" s="1304"/>
      <c r="X33" s="1304"/>
      <c r="Y33" s="1304"/>
      <c r="Z33" s="1304"/>
      <c r="AA33" s="1304"/>
      <c r="AB33" s="1304"/>
      <c r="AC33" s="1304"/>
      <c r="AD33" s="1304"/>
      <c r="AE33" s="1304"/>
      <c r="AF33" s="1304"/>
    </row>
    <row r="34" spans="1:32" ht="23.25" customHeight="1">
      <c r="A34" s="1304"/>
      <c r="B34" s="1304"/>
      <c r="C34" s="1340">
        <v>0</v>
      </c>
      <c r="D34" s="1341">
        <v>0</v>
      </c>
      <c r="E34" s="1341">
        <v>0.2</v>
      </c>
      <c r="F34" s="1341">
        <v>0.4</v>
      </c>
      <c r="G34" s="1341">
        <v>0.4</v>
      </c>
      <c r="H34" s="1341">
        <v>0</v>
      </c>
      <c r="I34" s="1341">
        <v>0.3</v>
      </c>
      <c r="J34" s="1389" cm="1">
        <f t="array" ref="J34">SUM(IF(ISNUMBER(B34:I34), B34:I34, 0))</f>
        <v>1.3</v>
      </c>
      <c r="K34" s="1315"/>
      <c r="L34" s="1370" t="s">
        <v>26</v>
      </c>
      <c r="M34" s="1304"/>
      <c r="N34" s="1304"/>
      <c r="O34" s="1304"/>
      <c r="P34" s="1304"/>
      <c r="Q34" s="1304"/>
      <c r="R34" s="1304"/>
      <c r="S34" s="1304"/>
      <c r="T34" s="1304"/>
      <c r="U34" s="1304"/>
      <c r="V34" s="1304"/>
      <c r="W34" s="1304"/>
      <c r="X34" s="1304"/>
      <c r="Y34" s="1304"/>
      <c r="Z34" s="1304"/>
      <c r="AA34" s="1304"/>
      <c r="AB34" s="1304"/>
      <c r="AC34" s="1304"/>
      <c r="AD34" s="1304"/>
      <c r="AE34" s="1304"/>
      <c r="AF34" s="1304"/>
    </row>
    <row r="35" spans="1:32" ht="23.25" customHeight="1">
      <c r="A35" s="1304"/>
      <c r="B35" s="1304"/>
      <c r="C35" s="1371" t="s">
        <v>404</v>
      </c>
      <c r="D35" s="1349" t="s">
        <v>405</v>
      </c>
      <c r="E35" s="1349" t="s">
        <v>406</v>
      </c>
      <c r="F35" s="1349" t="s">
        <v>407</v>
      </c>
      <c r="G35" s="1349" t="s">
        <v>408</v>
      </c>
      <c r="H35" s="1349" t="s">
        <v>409</v>
      </c>
      <c r="I35" s="1397" t="s">
        <v>410</v>
      </c>
      <c r="J35" s="1346">
        <v>43.3</v>
      </c>
      <c r="K35" s="1315"/>
      <c r="L35" s="1344" t="s">
        <v>28</v>
      </c>
      <c r="M35" s="1304"/>
      <c r="N35" s="1304"/>
      <c r="O35" s="1304"/>
      <c r="P35" s="1304"/>
      <c r="Q35" s="1304"/>
      <c r="R35" s="1304"/>
      <c r="S35" s="1304"/>
      <c r="T35" s="1304"/>
      <c r="U35" s="1304"/>
      <c r="V35" s="1304"/>
      <c r="W35" s="1304"/>
      <c r="X35" s="1304"/>
      <c r="Y35" s="1304"/>
      <c r="Z35" s="1304"/>
      <c r="AA35" s="1304"/>
      <c r="AB35" s="1304"/>
      <c r="AC35" s="1304"/>
      <c r="AD35" s="1304"/>
      <c r="AE35" s="1304"/>
      <c r="AF35" s="1304"/>
    </row>
    <row r="36" spans="1:32" ht="23.25" customHeight="1">
      <c r="A36" s="1304"/>
      <c r="B36" s="1304"/>
      <c r="C36" s="1355">
        <v>27</v>
      </c>
      <c r="D36" s="1355">
        <v>28</v>
      </c>
      <c r="E36" s="1355">
        <v>29</v>
      </c>
      <c r="F36" s="1355">
        <v>30</v>
      </c>
      <c r="G36" s="1355"/>
      <c r="H36" s="1355"/>
      <c r="I36" s="1355"/>
      <c r="J36" s="1393"/>
      <c r="K36" s="1315"/>
      <c r="L36" s="1360"/>
      <c r="M36" s="1304"/>
      <c r="N36" s="1304"/>
      <c r="O36" s="1304"/>
      <c r="P36" s="1304"/>
      <c r="Q36" s="1304"/>
      <c r="R36" s="1304"/>
      <c r="S36" s="1304"/>
      <c r="T36" s="1304"/>
      <c r="U36" s="1304"/>
      <c r="V36" s="1304"/>
      <c r="W36" s="1304"/>
      <c r="X36" s="1304"/>
      <c r="Y36" s="1304"/>
      <c r="Z36" s="1304"/>
      <c r="AA36" s="1304"/>
      <c r="AB36" s="1304"/>
      <c r="AC36" s="1304"/>
      <c r="AD36" s="1304"/>
      <c r="AE36" s="1304"/>
      <c r="AF36" s="1304"/>
    </row>
    <row r="37" spans="1:32" ht="23.25" customHeight="1">
      <c r="A37" s="1304"/>
      <c r="B37" s="1304"/>
      <c r="C37" s="1398" t="s">
        <v>358</v>
      </c>
      <c r="D37" s="1399" t="s">
        <v>358</v>
      </c>
      <c r="E37" s="1399" t="s">
        <v>207</v>
      </c>
      <c r="F37" s="1399" t="s">
        <v>207</v>
      </c>
      <c r="G37" s="1399"/>
      <c r="H37" s="1399"/>
      <c r="I37" s="1325"/>
      <c r="J37" s="1359"/>
      <c r="K37" s="1315"/>
      <c r="L37" s="1360"/>
      <c r="M37" s="1304"/>
      <c r="N37" s="1304"/>
      <c r="O37" s="1304"/>
      <c r="P37" s="1304"/>
      <c r="Q37" s="1304"/>
      <c r="R37" s="1304"/>
      <c r="S37" s="1304"/>
      <c r="T37" s="1304"/>
      <c r="U37" s="1304"/>
      <c r="V37" s="1304"/>
      <c r="W37" s="1304"/>
      <c r="X37" s="1304"/>
      <c r="Y37" s="1304"/>
      <c r="Z37" s="1304"/>
      <c r="AA37" s="1304"/>
      <c r="AB37" s="1304"/>
      <c r="AC37" s="1304"/>
      <c r="AD37" s="1304"/>
      <c r="AE37" s="1304"/>
      <c r="AF37" s="1304"/>
    </row>
    <row r="38" spans="1:32" ht="23.25" customHeight="1">
      <c r="A38" s="1304"/>
      <c r="B38" s="1304"/>
      <c r="C38" s="1383">
        <v>0</v>
      </c>
      <c r="D38" s="1329">
        <v>0.02</v>
      </c>
      <c r="E38" s="1329">
        <v>7.0000000000000007E-2</v>
      </c>
      <c r="F38" s="1329">
        <v>0.15</v>
      </c>
      <c r="G38" s="1329"/>
      <c r="H38" s="1329"/>
      <c r="I38" s="1332"/>
      <c r="J38" s="1315"/>
      <c r="K38" s="1315"/>
      <c r="L38" s="1360"/>
      <c r="M38" s="1304"/>
      <c r="N38" s="1304"/>
      <c r="O38" s="1304"/>
      <c r="P38" s="1304"/>
      <c r="Q38" s="1304"/>
      <c r="R38" s="1304"/>
      <c r="S38" s="1304"/>
      <c r="T38" s="1304"/>
      <c r="U38" s="1304"/>
      <c r="V38" s="1304"/>
      <c r="W38" s="1304"/>
      <c r="X38" s="1304"/>
      <c r="Y38" s="1304"/>
      <c r="Z38" s="1304"/>
      <c r="AA38" s="1304"/>
      <c r="AB38" s="1304"/>
      <c r="AC38" s="1304"/>
      <c r="AD38" s="1304"/>
      <c r="AE38" s="1304"/>
      <c r="AF38" s="1304"/>
    </row>
    <row r="39" spans="1:32" ht="23.25" customHeight="1">
      <c r="A39" s="1304"/>
      <c r="B39" s="1304"/>
      <c r="C39" s="1334" t="s">
        <v>62</v>
      </c>
      <c r="D39" s="1335" t="s">
        <v>253</v>
      </c>
      <c r="E39" s="1335" t="s">
        <v>62</v>
      </c>
      <c r="F39" s="1335" t="s">
        <v>340</v>
      </c>
      <c r="G39" s="1335"/>
      <c r="H39" s="1335"/>
      <c r="I39" s="1337"/>
      <c r="J39" s="1338" t="s">
        <v>32</v>
      </c>
      <c r="K39" s="1315"/>
      <c r="L39" s="1360"/>
      <c r="M39" s="1304"/>
      <c r="N39" s="1304"/>
      <c r="O39" s="1304"/>
      <c r="P39" s="1304"/>
      <c r="Q39" s="1304"/>
      <c r="R39" s="1304"/>
      <c r="S39" s="1304"/>
      <c r="T39" s="1304"/>
      <c r="U39" s="1304"/>
      <c r="V39" s="1304"/>
      <c r="W39" s="1304"/>
      <c r="X39" s="1304"/>
      <c r="Y39" s="1304"/>
      <c r="Z39" s="1304"/>
      <c r="AA39" s="1304"/>
      <c r="AB39" s="1304"/>
      <c r="AC39" s="1304"/>
      <c r="AD39" s="1304"/>
      <c r="AE39" s="1304"/>
      <c r="AF39" s="1304"/>
    </row>
    <row r="40" spans="1:32" ht="23.25" customHeight="1">
      <c r="A40" s="1304"/>
      <c r="B40" s="1304"/>
      <c r="C40" s="1400" t="s">
        <v>380</v>
      </c>
      <c r="D40" s="1386" t="s">
        <v>380</v>
      </c>
      <c r="E40" s="1386" t="s">
        <v>380</v>
      </c>
      <c r="F40" s="1386" t="s">
        <v>380</v>
      </c>
      <c r="G40" s="1386"/>
      <c r="H40" s="1386"/>
      <c r="I40" s="1359"/>
      <c r="J40" s="1343" cm="1">
        <f t="array" ref="J40">SUM(IF(ISNUMBER(B40:I40), B40:I40, 0))</f>
        <v>0</v>
      </c>
      <c r="K40" s="1315"/>
      <c r="L40" s="1370" t="s">
        <v>22</v>
      </c>
      <c r="M40" s="1304"/>
      <c r="N40" s="1304"/>
      <c r="O40" s="1304"/>
      <c r="P40" s="1304"/>
      <c r="Q40" s="1304"/>
      <c r="R40" s="1304"/>
      <c r="S40" s="1304"/>
      <c r="T40" s="1304"/>
      <c r="U40" s="1304"/>
      <c r="V40" s="1304"/>
      <c r="W40" s="1304"/>
      <c r="X40" s="1304"/>
      <c r="Y40" s="1304"/>
      <c r="Z40" s="1304"/>
      <c r="AA40" s="1304"/>
      <c r="AB40" s="1304"/>
      <c r="AC40" s="1304"/>
      <c r="AD40" s="1304"/>
      <c r="AE40" s="1304"/>
      <c r="AF40" s="1304"/>
    </row>
    <row r="41" spans="1:32" ht="23.25" customHeight="1">
      <c r="A41" s="1304"/>
      <c r="B41" s="1304"/>
      <c r="C41" s="1340"/>
      <c r="D41" s="1341"/>
      <c r="E41" s="1341"/>
      <c r="F41" s="1341"/>
      <c r="G41" s="1341"/>
      <c r="H41" s="1341"/>
      <c r="I41" s="1311"/>
      <c r="J41" s="1343" cm="1">
        <f t="array" ref="J41">SUM(IF(ISNUMBER(B41:I41), B41:I41, 0))</f>
        <v>0</v>
      </c>
      <c r="K41" s="1315"/>
      <c r="L41" s="1370" t="s">
        <v>24</v>
      </c>
      <c r="M41" s="1304"/>
      <c r="N41" s="1304"/>
      <c r="O41" s="1304"/>
      <c r="P41" s="1304"/>
      <c r="Q41" s="1304"/>
      <c r="R41" s="1304"/>
      <c r="S41" s="1304"/>
      <c r="T41" s="1304"/>
      <c r="U41" s="1304"/>
      <c r="V41" s="1304"/>
      <c r="W41" s="1304"/>
      <c r="X41" s="1304"/>
      <c r="Y41" s="1304"/>
      <c r="Z41" s="1304"/>
      <c r="AA41" s="1304"/>
      <c r="AB41" s="1304"/>
      <c r="AC41" s="1304"/>
      <c r="AD41" s="1304"/>
      <c r="AE41" s="1304"/>
      <c r="AF41" s="1304"/>
    </row>
    <row r="42" spans="1:32" ht="23.25" customHeight="1">
      <c r="A42" s="1304"/>
      <c r="B42" s="1304"/>
      <c r="C42" s="1340"/>
      <c r="D42" s="1341"/>
      <c r="E42" s="1341"/>
      <c r="F42" s="1341"/>
      <c r="G42" s="1341"/>
      <c r="H42" s="1341"/>
      <c r="I42" s="1311"/>
      <c r="J42" s="1346" cm="1">
        <f t="array" ref="J42">SUM(IF(ISNUMBER(B42:I42), B42:I42, 0))</f>
        <v>0</v>
      </c>
      <c r="K42" s="1315"/>
      <c r="L42" s="1370" t="s">
        <v>26</v>
      </c>
      <c r="M42" s="1304"/>
      <c r="N42" s="1304"/>
      <c r="O42" s="1304"/>
      <c r="P42" s="1304"/>
      <c r="Q42" s="1304"/>
      <c r="R42" s="1304"/>
      <c r="S42" s="1304"/>
      <c r="T42" s="1304"/>
      <c r="U42" s="1304"/>
      <c r="V42" s="1304"/>
      <c r="W42" s="1304"/>
      <c r="X42" s="1304"/>
      <c r="Y42" s="1304"/>
      <c r="Z42" s="1304"/>
      <c r="AA42" s="1304"/>
      <c r="AB42" s="1304"/>
      <c r="AC42" s="1304"/>
      <c r="AD42" s="1304"/>
      <c r="AE42" s="1304"/>
      <c r="AF42" s="1304"/>
    </row>
    <row r="43" spans="1:32" ht="23.25" customHeight="1">
      <c r="A43" s="1304"/>
      <c r="B43" s="1304"/>
      <c r="C43" s="1401" t="s">
        <v>411</v>
      </c>
      <c r="D43" s="1352" t="s">
        <v>412</v>
      </c>
      <c r="E43" s="1391" t="s">
        <v>413</v>
      </c>
      <c r="F43" s="1349" t="s">
        <v>414</v>
      </c>
      <c r="G43" s="1349" t="s">
        <v>4</v>
      </c>
      <c r="H43" s="1349" t="s">
        <v>4</v>
      </c>
      <c r="I43" s="1392" t="s">
        <v>4</v>
      </c>
      <c r="J43" s="1346">
        <v>29.55</v>
      </c>
      <c r="K43" s="1315"/>
      <c r="L43" s="1344" t="s">
        <v>28</v>
      </c>
      <c r="M43" s="1304"/>
      <c r="N43" s="1304"/>
      <c r="O43" s="1304"/>
      <c r="P43" s="1304"/>
      <c r="Q43" s="1304"/>
      <c r="R43" s="1304"/>
      <c r="S43" s="1304"/>
      <c r="T43" s="1304"/>
      <c r="U43" s="1304"/>
      <c r="V43" s="1304"/>
      <c r="W43" s="1304"/>
      <c r="X43" s="1304"/>
      <c r="Y43" s="1304"/>
      <c r="Z43" s="1304"/>
      <c r="AA43" s="1304"/>
      <c r="AB43" s="1304"/>
      <c r="AC43" s="1304"/>
      <c r="AD43" s="1304"/>
      <c r="AE43" s="1304"/>
      <c r="AF43" s="1304"/>
    </row>
    <row r="44" spans="1:32" ht="23.25" customHeight="1">
      <c r="A44" s="1304"/>
      <c r="B44" s="1304"/>
      <c r="C44" s="1319"/>
      <c r="D44" s="1402"/>
      <c r="E44" s="1393"/>
      <c r="F44" s="1315"/>
      <c r="G44" s="1315"/>
      <c r="H44" s="1315"/>
      <c r="I44" s="1315"/>
      <c r="J44" s="1315"/>
      <c r="K44" s="1315"/>
      <c r="L44" s="1339"/>
      <c r="M44" s="1304"/>
      <c r="N44" s="1304"/>
      <c r="O44" s="1304"/>
      <c r="P44" s="1304"/>
      <c r="Q44" s="1304"/>
      <c r="R44" s="1304"/>
      <c r="S44" s="1304"/>
      <c r="T44" s="1304"/>
      <c r="U44" s="1304"/>
      <c r="V44" s="1304"/>
      <c r="W44" s="1304"/>
      <c r="X44" s="1304"/>
      <c r="Y44" s="1304"/>
      <c r="Z44" s="1304"/>
      <c r="AA44" s="1304"/>
      <c r="AB44" s="1304"/>
      <c r="AC44" s="1304"/>
      <c r="AD44" s="1304"/>
      <c r="AE44" s="1304"/>
      <c r="AF44" s="1304"/>
    </row>
    <row r="45" spans="1:32" ht="23.25" customHeight="1">
      <c r="A45" s="1304"/>
      <c r="B45" s="1304"/>
      <c r="C45" s="1403"/>
      <c r="D45" s="1404"/>
      <c r="E45" s="1359"/>
      <c r="F45" s="1315"/>
      <c r="G45" s="1315"/>
      <c r="H45" s="1315"/>
      <c r="I45" s="1315"/>
      <c r="J45" s="1315"/>
      <c r="K45" s="1315"/>
      <c r="L45" s="1304"/>
      <c r="M45" s="1304"/>
      <c r="N45" s="1304"/>
      <c r="O45" s="1304"/>
      <c r="P45" s="1304"/>
      <c r="Q45" s="1304"/>
      <c r="R45" s="1304"/>
      <c r="S45" s="1304"/>
      <c r="T45" s="1304"/>
      <c r="U45" s="1304"/>
      <c r="V45" s="1304"/>
      <c r="W45" s="1304"/>
      <c r="X45" s="1304"/>
      <c r="Y45" s="1304"/>
      <c r="Z45" s="1304"/>
      <c r="AA45" s="1304"/>
      <c r="AB45" s="1304"/>
      <c r="AC45" s="1304"/>
      <c r="AD45" s="1304"/>
      <c r="AE45" s="1304"/>
      <c r="AF45" s="1304"/>
    </row>
    <row r="46" spans="1:32" ht="23.25" customHeight="1">
      <c r="A46" s="1304"/>
      <c r="B46" s="1304"/>
      <c r="C46" s="1405"/>
      <c r="D46" s="1406"/>
      <c r="E46" s="1315"/>
      <c r="F46" s="1315"/>
      <c r="G46" s="1315"/>
      <c r="H46" s="1315"/>
      <c r="I46" s="1315"/>
      <c r="J46" s="1315"/>
      <c r="K46" s="1315"/>
      <c r="L46" s="1304"/>
      <c r="M46" s="1304"/>
      <c r="N46" s="1304"/>
      <c r="O46" s="1304"/>
      <c r="P46" s="1304"/>
      <c r="Q46" s="1304"/>
      <c r="R46" s="1304"/>
      <c r="S46" s="1304"/>
      <c r="T46" s="1304"/>
      <c r="U46" s="1304"/>
      <c r="V46" s="1304"/>
      <c r="W46" s="1304"/>
      <c r="X46" s="1304"/>
      <c r="Y46" s="1304"/>
      <c r="Z46" s="1304"/>
      <c r="AA46" s="1304"/>
      <c r="AB46" s="1304"/>
      <c r="AC46" s="1304"/>
      <c r="AD46" s="1304"/>
      <c r="AE46" s="1304"/>
      <c r="AF46" s="1304"/>
    </row>
    <row r="47" spans="1:32" ht="23.25" customHeight="1">
      <c r="A47" s="1304"/>
      <c r="B47" s="1304"/>
      <c r="C47" s="1334"/>
      <c r="D47" s="1404"/>
      <c r="E47" s="1315"/>
      <c r="G47" s="1315"/>
      <c r="H47" s="1315"/>
      <c r="I47" s="1315"/>
      <c r="J47" s="1338" t="s">
        <v>33</v>
      </c>
      <c r="K47" s="1407"/>
      <c r="L47" s="1304"/>
      <c r="M47" s="1304"/>
      <c r="N47" s="1304"/>
      <c r="O47" s="1304"/>
      <c r="P47" s="1304"/>
      <c r="Q47" s="1304"/>
      <c r="R47" s="1304"/>
      <c r="S47" s="1304"/>
      <c r="T47" s="1304"/>
      <c r="U47" s="1304"/>
      <c r="V47" s="1304"/>
      <c r="W47" s="1304"/>
      <c r="X47" s="1304"/>
      <c r="Y47" s="1304"/>
      <c r="Z47" s="1304"/>
      <c r="AA47" s="1304"/>
      <c r="AB47" s="1304"/>
      <c r="AC47" s="1304"/>
      <c r="AD47" s="1304"/>
      <c r="AE47" s="1304"/>
      <c r="AF47" s="1304"/>
    </row>
    <row r="48" spans="1:32" ht="23.25" customHeight="1">
      <c r="A48" s="1304"/>
      <c r="B48" s="1304"/>
      <c r="C48" s="1400"/>
      <c r="D48" s="1406"/>
      <c r="E48" s="1315"/>
      <c r="G48" s="1315"/>
      <c r="H48" s="1315"/>
      <c r="I48" s="1315"/>
      <c r="J48" s="1343" cm="1">
        <f t="array" ref="J48">SUM(IF(ISNUMBER(B48:D48), B48:D48, 0))</f>
        <v>0</v>
      </c>
      <c r="L48" s="1370" t="s">
        <v>22</v>
      </c>
      <c r="M48" s="1304"/>
      <c r="N48" s="1304"/>
      <c r="O48" s="1304"/>
      <c r="P48" s="1304"/>
      <c r="Q48" s="1304"/>
      <c r="R48" s="1304"/>
      <c r="S48" s="1304"/>
      <c r="T48" s="1304"/>
      <c r="U48" s="1304"/>
      <c r="V48" s="1304"/>
      <c r="W48" s="1304"/>
      <c r="X48" s="1304"/>
      <c r="Y48" s="1304"/>
      <c r="Z48" s="1304"/>
      <c r="AA48" s="1304"/>
      <c r="AB48" s="1304"/>
      <c r="AC48" s="1304"/>
      <c r="AD48" s="1304"/>
      <c r="AE48" s="1304"/>
      <c r="AF48" s="1304"/>
    </row>
    <row r="49" spans="1:32" ht="23.25" customHeight="1">
      <c r="A49" s="1304"/>
      <c r="B49" s="1304"/>
      <c r="C49" s="1340"/>
      <c r="D49" s="1406"/>
      <c r="E49" s="1315"/>
      <c r="G49" s="1315"/>
      <c r="H49" s="1315"/>
      <c r="I49" s="1315"/>
      <c r="J49" s="1343" cm="1">
        <f t="array" ref="J49">SUM(IF(ISNUMBER(B49:D49), B49:D49, 0))</f>
        <v>0</v>
      </c>
      <c r="L49" s="1370" t="s">
        <v>24</v>
      </c>
      <c r="M49" s="1304"/>
      <c r="N49" s="1304"/>
      <c r="O49" s="1304"/>
      <c r="P49" s="1304"/>
      <c r="Q49" s="1304"/>
      <c r="R49" s="1304"/>
      <c r="S49" s="1304"/>
      <c r="T49" s="1304"/>
      <c r="U49" s="1304"/>
      <c r="V49" s="1304"/>
      <c r="W49" s="1304"/>
      <c r="X49" s="1304"/>
      <c r="Y49" s="1304"/>
      <c r="Z49" s="1304"/>
      <c r="AA49" s="1304"/>
      <c r="AB49" s="1304"/>
      <c r="AC49" s="1304"/>
      <c r="AD49" s="1304"/>
      <c r="AE49" s="1304"/>
      <c r="AF49" s="1304"/>
    </row>
    <row r="50" spans="1:32" ht="23.25" customHeight="1">
      <c r="A50" s="1304"/>
      <c r="B50" s="1304"/>
      <c r="C50" s="1340"/>
      <c r="D50" s="1406"/>
      <c r="E50" s="1315"/>
      <c r="G50" s="1315"/>
      <c r="H50" s="1315"/>
      <c r="I50" s="1315"/>
      <c r="J50" s="1346" cm="1">
        <f t="array" ref="J50">SUM(IF(ISNUMBER(B50:D50), B50:D50, 0))</f>
        <v>0</v>
      </c>
      <c r="L50" s="1370" t="s">
        <v>26</v>
      </c>
      <c r="M50" s="1304"/>
      <c r="N50" s="1304"/>
      <c r="O50" s="1304"/>
      <c r="P50" s="1304"/>
      <c r="Q50" s="1304"/>
      <c r="R50" s="1304"/>
      <c r="S50" s="1304"/>
      <c r="T50" s="1304"/>
      <c r="U50" s="1304"/>
      <c r="V50" s="1304"/>
      <c r="W50" s="1304"/>
      <c r="X50" s="1304"/>
      <c r="Y50" s="1304"/>
      <c r="Z50" s="1304"/>
      <c r="AA50" s="1304"/>
      <c r="AB50" s="1304"/>
      <c r="AC50" s="1304"/>
      <c r="AD50" s="1304"/>
      <c r="AE50" s="1304"/>
      <c r="AF50" s="1304"/>
    </row>
    <row r="51" spans="1:32" ht="23.25" customHeight="1">
      <c r="A51" s="1304"/>
      <c r="B51" s="1304"/>
      <c r="C51" s="1371"/>
      <c r="D51" s="1392"/>
      <c r="G51" s="1315"/>
      <c r="H51" s="1315"/>
      <c r="I51" s="1315"/>
      <c r="J51" s="1346"/>
      <c r="L51" s="1344" t="s">
        <v>28</v>
      </c>
      <c r="M51" s="1304"/>
      <c r="N51" s="1304"/>
      <c r="O51" s="1304"/>
      <c r="P51" s="1304"/>
      <c r="Q51" s="1304"/>
      <c r="R51" s="1304"/>
      <c r="S51" s="1304"/>
      <c r="T51" s="1304"/>
      <c r="U51" s="1304"/>
      <c r="V51" s="1304"/>
      <c r="W51" s="1304"/>
      <c r="X51" s="1304"/>
      <c r="Y51" s="1304"/>
      <c r="Z51" s="1304"/>
      <c r="AA51" s="1304"/>
      <c r="AB51" s="1304"/>
      <c r="AC51" s="1304"/>
      <c r="AD51" s="1304"/>
      <c r="AE51" s="1304"/>
      <c r="AF51" s="1304"/>
    </row>
    <row r="52" spans="1:32" ht="23.25" customHeight="1">
      <c r="A52" s="1304"/>
      <c r="B52" s="1304"/>
      <c r="C52" s="1315"/>
      <c r="D52" s="1315"/>
      <c r="E52" s="1315"/>
      <c r="F52" s="1315"/>
      <c r="G52" s="1315"/>
      <c r="H52" s="1315"/>
      <c r="I52" s="1315"/>
      <c r="J52" s="1315"/>
      <c r="K52" s="1315"/>
      <c r="L52" s="1304"/>
      <c r="M52" s="1304"/>
      <c r="N52" s="1304"/>
      <c r="O52" s="1304"/>
      <c r="P52" s="1304"/>
      <c r="Q52" s="1304"/>
      <c r="R52" s="1304"/>
      <c r="S52" s="1304"/>
      <c r="T52" s="1304"/>
      <c r="U52" s="1304"/>
      <c r="V52" s="1304"/>
      <c r="W52" s="1304"/>
      <c r="X52" s="1304"/>
      <c r="Y52" s="1304"/>
      <c r="Z52" s="1304"/>
      <c r="AA52" s="1304"/>
      <c r="AB52" s="1304"/>
      <c r="AC52" s="1304"/>
      <c r="AD52" s="1304"/>
      <c r="AE52" s="1304"/>
      <c r="AF52" s="1304"/>
    </row>
    <row r="53" spans="1:32" ht="22.5" customHeight="1">
      <c r="A53" s="1304"/>
      <c r="B53" s="1304"/>
      <c r="C53" s="1304"/>
      <c r="D53" s="1304"/>
      <c r="E53" s="1304"/>
      <c r="F53" s="1304"/>
      <c r="G53" s="1304"/>
      <c r="H53" s="1304"/>
      <c r="I53" s="1304"/>
      <c r="J53" s="1304"/>
      <c r="K53" s="1304"/>
      <c r="L53" s="1304"/>
      <c r="M53" s="1304"/>
      <c r="N53" s="1304"/>
      <c r="O53" s="1304"/>
      <c r="P53" s="1304"/>
      <c r="Q53" s="1304"/>
      <c r="R53" s="1304"/>
      <c r="S53" s="1304"/>
      <c r="T53" s="1304"/>
      <c r="U53" s="1304"/>
      <c r="V53" s="1304"/>
      <c r="W53" s="1304"/>
      <c r="X53" s="1304"/>
      <c r="Y53" s="1304"/>
      <c r="Z53" s="1304"/>
      <c r="AA53" s="1304"/>
      <c r="AB53" s="1304"/>
      <c r="AC53" s="1304"/>
      <c r="AD53" s="1304"/>
      <c r="AE53" s="1304"/>
      <c r="AF53" s="1304"/>
    </row>
    <row r="54" spans="1:32" ht="17.45">
      <c r="A54" s="1304"/>
      <c r="B54" s="1304"/>
      <c r="C54" s="1304"/>
      <c r="D54" s="1304"/>
      <c r="E54" s="1304"/>
      <c r="F54" s="1304"/>
      <c r="G54" s="1304"/>
      <c r="H54" s="1304"/>
      <c r="I54" s="1304"/>
      <c r="J54" s="1304"/>
      <c r="K54" s="1304"/>
      <c r="L54" s="1304"/>
      <c r="M54" s="1304"/>
      <c r="N54" s="1304"/>
      <c r="O54" s="1304"/>
      <c r="P54" s="1304"/>
      <c r="Q54" s="1304"/>
      <c r="R54" s="1304"/>
      <c r="S54" s="1304"/>
      <c r="T54" s="1304"/>
      <c r="U54" s="1304"/>
      <c r="V54" s="1304"/>
      <c r="W54" s="1304"/>
      <c r="X54" s="1304"/>
      <c r="Y54" s="1304"/>
      <c r="Z54" s="1304"/>
      <c r="AA54" s="1304"/>
      <c r="AB54" s="1304"/>
      <c r="AC54" s="1304"/>
      <c r="AD54" s="1304"/>
      <c r="AE54" s="1304"/>
      <c r="AF54" s="1304"/>
    </row>
    <row r="55" spans="1:32" ht="17.45">
      <c r="A55" s="1304"/>
      <c r="B55" s="1304"/>
      <c r="C55" s="1304"/>
      <c r="D55" s="1304"/>
      <c r="E55" s="1304"/>
      <c r="F55" s="1304"/>
      <c r="G55" s="1304"/>
      <c r="H55" s="1304"/>
      <c r="I55" s="1304"/>
      <c r="J55" s="1304"/>
      <c r="K55" s="1304"/>
      <c r="L55" s="1304"/>
      <c r="M55" s="1304"/>
      <c r="N55" s="1304"/>
      <c r="O55" s="1304"/>
      <c r="P55" s="1304"/>
      <c r="Q55" s="1304"/>
      <c r="R55" s="1304"/>
      <c r="S55" s="1304"/>
      <c r="T55" s="1304"/>
      <c r="U55" s="1304"/>
      <c r="V55" s="1304"/>
      <c r="W55" s="1304"/>
      <c r="X55" s="1304"/>
      <c r="Y55" s="1304"/>
      <c r="Z55" s="1304"/>
      <c r="AA55" s="1304"/>
      <c r="AB55" s="1304"/>
      <c r="AC55" s="1304"/>
      <c r="AD55" s="1304"/>
      <c r="AE55" s="1304"/>
      <c r="AF55" s="1304"/>
    </row>
    <row r="56" spans="1:32" ht="17.45">
      <c r="A56" s="1304"/>
      <c r="B56" s="1304"/>
      <c r="C56" s="1304"/>
      <c r="D56" s="1304"/>
      <c r="E56" s="1304"/>
      <c r="F56" s="1304"/>
      <c r="G56" s="1304"/>
      <c r="H56" s="1304"/>
      <c r="I56" s="1304"/>
      <c r="J56" s="1304"/>
      <c r="K56" s="1304"/>
      <c r="L56" s="1304"/>
      <c r="M56" s="1304"/>
      <c r="N56" s="1304"/>
      <c r="O56" s="1304"/>
      <c r="P56" s="1304"/>
      <c r="Q56" s="1304"/>
      <c r="R56" s="1304"/>
      <c r="S56" s="1304"/>
      <c r="T56" s="1304"/>
      <c r="U56" s="1304"/>
      <c r="V56" s="1304"/>
      <c r="W56" s="1304"/>
      <c r="X56" s="1304"/>
      <c r="Y56" s="1304"/>
      <c r="Z56" s="1304"/>
      <c r="AA56" s="1304"/>
      <c r="AB56" s="1304"/>
      <c r="AC56" s="1304"/>
      <c r="AD56" s="1304"/>
      <c r="AE56" s="1304"/>
      <c r="AF56" s="1304"/>
    </row>
    <row r="57" spans="1:32" ht="17.45">
      <c r="A57" s="1304"/>
      <c r="B57" s="1304"/>
      <c r="C57" s="1304"/>
      <c r="D57" s="1304"/>
      <c r="E57" s="1304"/>
      <c r="F57" s="1304"/>
      <c r="G57" s="1304"/>
      <c r="H57" s="1304"/>
      <c r="I57" s="1304"/>
      <c r="J57" s="1304"/>
      <c r="K57" s="1304"/>
      <c r="L57" s="1304"/>
      <c r="M57" s="1304"/>
      <c r="N57" s="1304"/>
      <c r="O57" s="1304"/>
      <c r="P57" s="1304"/>
      <c r="Q57" s="1304"/>
      <c r="R57" s="1304"/>
      <c r="S57" s="1304"/>
      <c r="T57" s="1304"/>
      <c r="U57" s="1304"/>
      <c r="V57" s="1304"/>
      <c r="W57" s="1304"/>
      <c r="X57" s="1304"/>
      <c r="Y57" s="1304"/>
      <c r="Z57" s="1304"/>
      <c r="AA57" s="1304"/>
      <c r="AB57" s="1304"/>
      <c r="AC57" s="1304"/>
      <c r="AD57" s="1304"/>
      <c r="AE57" s="1304"/>
      <c r="AF57" s="1304"/>
    </row>
    <row r="58" spans="1:32" ht="17.45">
      <c r="A58" s="1304"/>
      <c r="B58" s="1304"/>
      <c r="C58" s="1304"/>
      <c r="D58" s="1304"/>
      <c r="E58" s="1304"/>
      <c r="F58" s="1304"/>
      <c r="G58" s="1304"/>
      <c r="H58" s="1304"/>
      <c r="I58" s="1304"/>
      <c r="J58" s="1304"/>
      <c r="K58" s="1304"/>
      <c r="L58" s="1304"/>
      <c r="M58" s="1304"/>
      <c r="N58" s="1304"/>
      <c r="O58" s="1304"/>
      <c r="P58" s="1304"/>
      <c r="Q58" s="1304"/>
      <c r="R58" s="1304"/>
      <c r="S58" s="1304"/>
      <c r="T58" s="1304"/>
      <c r="U58" s="1304"/>
      <c r="V58" s="1304"/>
      <c r="W58" s="1304"/>
      <c r="X58" s="1304"/>
      <c r="Y58" s="1304"/>
      <c r="Z58" s="1304"/>
      <c r="AA58" s="1304"/>
      <c r="AB58" s="1304"/>
      <c r="AC58" s="1304"/>
      <c r="AD58" s="1304"/>
      <c r="AE58" s="1304"/>
      <c r="AF58" s="1304"/>
    </row>
    <row r="59" spans="1:32" ht="17.45">
      <c r="A59" s="1304"/>
      <c r="B59" s="1304"/>
      <c r="C59" s="1304"/>
      <c r="D59" s="1304"/>
      <c r="E59" s="1304"/>
      <c r="F59" s="1304"/>
      <c r="G59" s="1304"/>
      <c r="H59" s="1304"/>
      <c r="I59" s="1304"/>
      <c r="J59" s="1304"/>
      <c r="K59" s="1304"/>
      <c r="L59" s="1304"/>
      <c r="M59" s="1304"/>
      <c r="N59" s="1304"/>
      <c r="O59" s="1304"/>
      <c r="P59" s="1304"/>
      <c r="Q59" s="1304"/>
      <c r="R59" s="1304"/>
      <c r="S59" s="1304"/>
      <c r="T59" s="1304"/>
      <c r="U59" s="1304"/>
      <c r="V59" s="1304"/>
      <c r="W59" s="1304"/>
      <c r="X59" s="1304"/>
      <c r="Y59" s="1304"/>
      <c r="Z59" s="1304"/>
      <c r="AA59" s="1304"/>
      <c r="AB59" s="1304"/>
      <c r="AC59" s="1304"/>
      <c r="AD59" s="1304"/>
      <c r="AE59" s="1304"/>
      <c r="AF59" s="1304"/>
    </row>
    <row r="60" spans="1:32" ht="17.45">
      <c r="A60" s="1304"/>
      <c r="B60" s="1304"/>
      <c r="C60" s="1304"/>
      <c r="D60" s="1304"/>
      <c r="E60" s="1304"/>
      <c r="F60" s="1304"/>
      <c r="G60" s="1304"/>
      <c r="H60" s="1304"/>
      <c r="I60" s="1304"/>
      <c r="J60" s="1304"/>
      <c r="K60" s="1304"/>
      <c r="L60" s="1304"/>
      <c r="M60" s="1304"/>
      <c r="N60" s="1304"/>
      <c r="O60" s="1304"/>
      <c r="P60" s="1304"/>
      <c r="Q60" s="1304"/>
      <c r="R60" s="1304"/>
      <c r="S60" s="1304"/>
      <c r="T60" s="1304"/>
      <c r="U60" s="1304"/>
      <c r="V60" s="1304"/>
      <c r="W60" s="1304"/>
      <c r="X60" s="1304"/>
      <c r="Y60" s="1304"/>
      <c r="Z60" s="1304"/>
      <c r="AA60" s="1304"/>
      <c r="AB60" s="1304"/>
      <c r="AC60" s="1304"/>
      <c r="AD60" s="1304"/>
      <c r="AE60" s="1304"/>
      <c r="AF60" s="1304"/>
    </row>
    <row r="61" spans="1:32" ht="17.45">
      <c r="A61" s="1304"/>
      <c r="B61" s="1304"/>
      <c r="C61" s="1304"/>
      <c r="D61" s="1304"/>
      <c r="E61" s="1304"/>
      <c r="F61" s="1304"/>
      <c r="G61" s="1304"/>
      <c r="H61" s="1304"/>
      <c r="I61" s="1304"/>
      <c r="J61" s="1304"/>
      <c r="K61" s="1304"/>
      <c r="L61" s="1304"/>
      <c r="M61" s="1304"/>
      <c r="N61" s="1304"/>
      <c r="O61" s="1304"/>
      <c r="P61" s="1304"/>
      <c r="Q61" s="1304"/>
      <c r="R61" s="1304"/>
      <c r="S61" s="1304"/>
      <c r="T61" s="1304"/>
      <c r="U61" s="1304"/>
      <c r="V61" s="1304"/>
      <c r="W61" s="1304"/>
      <c r="X61" s="1304"/>
      <c r="Y61" s="1304"/>
      <c r="Z61" s="1304"/>
      <c r="AA61" s="1304"/>
      <c r="AB61" s="1304"/>
      <c r="AC61" s="1304"/>
      <c r="AD61" s="1304"/>
      <c r="AE61" s="1304"/>
      <c r="AF61" s="1304"/>
    </row>
    <row r="62" spans="1:32" ht="17.45">
      <c r="A62" s="1304"/>
      <c r="B62" s="1304"/>
      <c r="C62" s="1304"/>
      <c r="D62" s="1304"/>
      <c r="E62" s="1304"/>
      <c r="F62" s="1304"/>
      <c r="G62" s="1304"/>
      <c r="H62" s="1304"/>
      <c r="I62" s="1304"/>
      <c r="J62" s="1304"/>
      <c r="K62" s="1304"/>
      <c r="L62" s="1304"/>
      <c r="M62" s="1304"/>
      <c r="N62" s="1304"/>
      <c r="O62" s="1304"/>
      <c r="P62" s="1304"/>
      <c r="Q62" s="1304"/>
      <c r="R62" s="1304"/>
      <c r="S62" s="1304"/>
      <c r="T62" s="1304"/>
      <c r="U62" s="1304"/>
      <c r="V62" s="1304"/>
      <c r="W62" s="1304"/>
      <c r="X62" s="1304"/>
      <c r="Y62" s="1304"/>
      <c r="Z62" s="1304"/>
      <c r="AA62" s="1304"/>
      <c r="AB62" s="1304"/>
      <c r="AC62" s="1304"/>
      <c r="AD62" s="1304"/>
      <c r="AE62" s="1304"/>
      <c r="AF62" s="1304"/>
    </row>
    <row r="63" spans="1:32" ht="17.45">
      <c r="A63" s="1304"/>
      <c r="B63" s="1304"/>
      <c r="C63" s="1304"/>
      <c r="D63" s="1304"/>
      <c r="E63" s="1304"/>
      <c r="F63" s="1304"/>
      <c r="G63" s="1304"/>
      <c r="H63" s="1304"/>
      <c r="I63" s="1304"/>
      <c r="J63" s="1304"/>
      <c r="K63" s="1304"/>
      <c r="L63" s="1304"/>
      <c r="M63" s="1304"/>
      <c r="N63" s="1304"/>
      <c r="O63" s="1304"/>
      <c r="P63" s="1304"/>
      <c r="Q63" s="1304"/>
      <c r="R63" s="1304"/>
      <c r="S63" s="1304"/>
      <c r="T63" s="1304"/>
      <c r="U63" s="1304"/>
      <c r="V63" s="1304"/>
      <c r="W63" s="1304"/>
      <c r="X63" s="1304"/>
      <c r="Y63" s="1304"/>
      <c r="Z63" s="1304"/>
      <c r="AA63" s="1304"/>
      <c r="AB63" s="1304"/>
      <c r="AC63" s="1304"/>
      <c r="AD63" s="1304"/>
      <c r="AE63" s="1304"/>
      <c r="AF63" s="1304"/>
    </row>
    <row r="64" spans="1:32" ht="17.45">
      <c r="A64" s="1304"/>
      <c r="B64" s="1304"/>
      <c r="C64" s="1304"/>
      <c r="D64" s="1304"/>
      <c r="E64" s="1304"/>
      <c r="F64" s="1304"/>
      <c r="G64" s="1304"/>
      <c r="H64" s="1304"/>
      <c r="I64" s="1304"/>
      <c r="J64" s="1304"/>
      <c r="K64" s="1304"/>
      <c r="L64" s="1304"/>
      <c r="M64" s="1304"/>
      <c r="N64" s="1304"/>
      <c r="O64" s="1304"/>
      <c r="P64" s="1304"/>
      <c r="Q64" s="1304"/>
      <c r="R64" s="1304"/>
      <c r="S64" s="1304"/>
      <c r="T64" s="1304"/>
      <c r="U64" s="1304"/>
      <c r="V64" s="1304"/>
      <c r="W64" s="1304"/>
      <c r="X64" s="1304"/>
      <c r="Y64" s="1304"/>
      <c r="Z64" s="1304"/>
      <c r="AA64" s="1304"/>
      <c r="AB64" s="1304"/>
      <c r="AC64" s="1304"/>
      <c r="AD64" s="1304"/>
      <c r="AE64" s="1304"/>
      <c r="AF64" s="1304"/>
    </row>
    <row r="65" spans="1:32" ht="17.45">
      <c r="A65" s="1304"/>
      <c r="B65" s="1304"/>
      <c r="C65" s="1304"/>
      <c r="D65" s="1304"/>
      <c r="E65" s="1304"/>
      <c r="F65" s="1304"/>
      <c r="G65" s="1304"/>
      <c r="H65" s="1304"/>
      <c r="I65" s="1304"/>
      <c r="J65" s="1304"/>
      <c r="K65" s="1304"/>
      <c r="L65" s="1304"/>
      <c r="M65" s="1304"/>
      <c r="N65" s="1304"/>
      <c r="O65" s="1304"/>
      <c r="P65" s="1304"/>
      <c r="Q65" s="1304"/>
      <c r="R65" s="1304"/>
      <c r="S65" s="1304"/>
      <c r="T65" s="1304"/>
      <c r="U65" s="1304"/>
      <c r="V65" s="1304"/>
      <c r="W65" s="1304"/>
      <c r="X65" s="1304"/>
      <c r="Y65" s="1304"/>
      <c r="Z65" s="1304"/>
      <c r="AA65" s="1304"/>
      <c r="AB65" s="1304"/>
      <c r="AC65" s="1304"/>
      <c r="AD65" s="1304"/>
      <c r="AE65" s="1304"/>
      <c r="AF65" s="1304"/>
    </row>
    <row r="66" spans="1:32" ht="17.45">
      <c r="A66" s="1304"/>
      <c r="B66" s="1304"/>
      <c r="C66" s="1304"/>
      <c r="D66" s="1304"/>
      <c r="E66" s="1304"/>
      <c r="F66" s="1304"/>
      <c r="G66" s="1304"/>
      <c r="H66" s="1304"/>
      <c r="I66" s="1304"/>
      <c r="J66" s="1304"/>
      <c r="K66" s="1304"/>
      <c r="L66" s="1304"/>
      <c r="M66" s="1304"/>
      <c r="N66" s="1304"/>
      <c r="O66" s="1304"/>
      <c r="P66" s="1304"/>
      <c r="Q66" s="1304"/>
      <c r="R66" s="1304"/>
      <c r="S66" s="1304"/>
      <c r="T66" s="1304"/>
      <c r="U66" s="1304"/>
      <c r="V66" s="1304"/>
      <c r="W66" s="1304"/>
      <c r="X66" s="1304"/>
      <c r="Y66" s="1304"/>
      <c r="Z66" s="1304"/>
      <c r="AA66" s="1304"/>
      <c r="AB66" s="1304"/>
      <c r="AC66" s="1304"/>
      <c r="AD66" s="1304"/>
      <c r="AE66" s="1304"/>
      <c r="AF66" s="1304"/>
    </row>
    <row r="67" spans="1:32" ht="17.45">
      <c r="A67" s="1304"/>
      <c r="B67" s="1304"/>
      <c r="C67" s="1304"/>
      <c r="D67" s="1304"/>
      <c r="E67" s="1304"/>
      <c r="F67" s="1304"/>
      <c r="G67" s="1304"/>
      <c r="H67" s="1304"/>
      <c r="I67" s="1304"/>
      <c r="J67" s="1304"/>
      <c r="K67" s="1304"/>
      <c r="L67" s="1304"/>
      <c r="M67" s="1304"/>
      <c r="N67" s="1304"/>
      <c r="O67" s="1304"/>
      <c r="P67" s="1304"/>
      <c r="Q67" s="1304"/>
      <c r="R67" s="1304"/>
      <c r="S67" s="1304"/>
      <c r="T67" s="1304"/>
      <c r="U67" s="1304"/>
      <c r="V67" s="1304"/>
      <c r="W67" s="1304"/>
      <c r="X67" s="1304"/>
      <c r="Y67" s="1304"/>
      <c r="Z67" s="1304"/>
      <c r="AA67" s="1304"/>
      <c r="AB67" s="1304"/>
      <c r="AC67" s="1304"/>
      <c r="AD67" s="1304"/>
      <c r="AE67" s="1304"/>
      <c r="AF67" s="1304"/>
    </row>
    <row r="68" spans="1:32" ht="17.45">
      <c r="A68" s="1304"/>
      <c r="B68" s="1304"/>
      <c r="C68" s="1304"/>
      <c r="D68" s="1304"/>
      <c r="E68" s="1304"/>
      <c r="F68" s="1304"/>
      <c r="G68" s="1304"/>
      <c r="H68" s="1304"/>
      <c r="I68" s="1304"/>
      <c r="J68" s="1304"/>
      <c r="K68" s="1304"/>
      <c r="L68" s="1304"/>
      <c r="M68" s="1304"/>
      <c r="N68" s="1304"/>
      <c r="O68" s="1304"/>
      <c r="P68" s="1304"/>
      <c r="Q68" s="1304"/>
      <c r="R68" s="1304"/>
      <c r="S68" s="1304"/>
      <c r="T68" s="1304"/>
      <c r="U68" s="1304"/>
      <c r="V68" s="1304"/>
      <c r="W68" s="1304"/>
      <c r="X68" s="1304"/>
      <c r="Y68" s="1304"/>
      <c r="Z68" s="1304"/>
      <c r="AA68" s="1304"/>
      <c r="AB68" s="1304"/>
      <c r="AC68" s="1304"/>
      <c r="AD68" s="1304"/>
      <c r="AE68" s="1304"/>
      <c r="AF68" s="1304"/>
    </row>
    <row r="69" spans="1:32" ht="17.45">
      <c r="A69" s="1304"/>
      <c r="B69" s="1304"/>
      <c r="C69" s="1304"/>
      <c r="D69" s="1304"/>
      <c r="E69" s="1304"/>
      <c r="F69" s="1304"/>
      <c r="G69" s="1304"/>
      <c r="H69" s="1304"/>
      <c r="I69" s="1304"/>
      <c r="J69" s="1304"/>
      <c r="K69" s="1304"/>
      <c r="L69" s="1304"/>
      <c r="M69" s="1304"/>
      <c r="N69" s="1304"/>
      <c r="O69" s="1304"/>
      <c r="P69" s="1304"/>
      <c r="Q69" s="1304"/>
      <c r="R69" s="1304"/>
      <c r="S69" s="1304"/>
      <c r="T69" s="1304"/>
      <c r="U69" s="1304"/>
      <c r="V69" s="1304"/>
      <c r="W69" s="1304"/>
      <c r="X69" s="1304"/>
      <c r="Y69" s="1304"/>
      <c r="Z69" s="1304"/>
      <c r="AA69" s="1304"/>
      <c r="AB69" s="1304"/>
      <c r="AC69" s="1304"/>
      <c r="AD69" s="1304"/>
      <c r="AE69" s="1304"/>
      <c r="AF69" s="1304"/>
    </row>
    <row r="70" spans="1:32" ht="17.45">
      <c r="A70" s="1304"/>
      <c r="B70" s="1304"/>
      <c r="C70" s="1304"/>
      <c r="D70" s="1304"/>
      <c r="E70" s="1304"/>
      <c r="F70" s="1304"/>
      <c r="G70" s="1304"/>
      <c r="H70" s="1304"/>
      <c r="I70" s="1304"/>
      <c r="J70" s="1304"/>
      <c r="K70" s="1304"/>
      <c r="L70" s="1304"/>
      <c r="M70" s="1304"/>
      <c r="N70" s="1304"/>
      <c r="O70" s="1304"/>
      <c r="P70" s="1304"/>
      <c r="Q70" s="1304"/>
      <c r="R70" s="1304"/>
      <c r="S70" s="1304"/>
      <c r="T70" s="1304"/>
      <c r="U70" s="1304"/>
      <c r="V70" s="1304"/>
      <c r="W70" s="1304"/>
      <c r="X70" s="1304"/>
      <c r="Y70" s="1304"/>
      <c r="Z70" s="1304"/>
      <c r="AA70" s="1304"/>
      <c r="AB70" s="1304"/>
      <c r="AC70" s="1304"/>
      <c r="AD70" s="1304"/>
      <c r="AE70" s="1304"/>
      <c r="AF70" s="1304"/>
    </row>
    <row r="71" spans="1:32" ht="17.45">
      <c r="A71" s="1304"/>
      <c r="B71" s="1304"/>
      <c r="C71" s="1304"/>
      <c r="D71" s="1304"/>
      <c r="E71" s="1304"/>
      <c r="F71" s="1304"/>
      <c r="G71" s="1304"/>
      <c r="H71" s="1304"/>
      <c r="I71" s="1304"/>
      <c r="J71" s="1304"/>
      <c r="K71" s="1304"/>
      <c r="L71" s="1304"/>
      <c r="M71" s="1304"/>
      <c r="N71" s="1304"/>
      <c r="O71" s="1304"/>
      <c r="P71" s="1304"/>
      <c r="Q71" s="1304"/>
      <c r="R71" s="1304"/>
      <c r="S71" s="1304"/>
      <c r="T71" s="1304"/>
      <c r="U71" s="1304"/>
      <c r="V71" s="1304"/>
      <c r="W71" s="1304"/>
      <c r="X71" s="1304"/>
      <c r="Y71" s="1304"/>
      <c r="Z71" s="1304"/>
      <c r="AA71" s="1304"/>
      <c r="AB71" s="1304"/>
      <c r="AC71" s="1304"/>
      <c r="AD71" s="1304"/>
      <c r="AE71" s="1304"/>
      <c r="AF71" s="1304"/>
    </row>
    <row r="72" spans="1:32" ht="17.45">
      <c r="A72" s="1304"/>
      <c r="B72" s="1304"/>
      <c r="C72" s="1304"/>
      <c r="D72" s="1304"/>
      <c r="E72" s="1304"/>
      <c r="F72" s="1304"/>
      <c r="G72" s="1304"/>
      <c r="H72" s="1304"/>
      <c r="I72" s="1304"/>
      <c r="J72" s="1304"/>
      <c r="K72" s="1304"/>
      <c r="L72" s="1304"/>
      <c r="M72" s="1304"/>
      <c r="N72" s="1304"/>
      <c r="O72" s="1304"/>
      <c r="P72" s="1304"/>
      <c r="Q72" s="1304"/>
      <c r="R72" s="1304"/>
      <c r="S72" s="1304"/>
      <c r="T72" s="1304"/>
      <c r="U72" s="1304"/>
      <c r="V72" s="1304"/>
      <c r="W72" s="1304"/>
      <c r="X72" s="1304"/>
      <c r="Y72" s="1304"/>
      <c r="Z72" s="1304"/>
      <c r="AA72" s="1304"/>
      <c r="AB72" s="1304"/>
      <c r="AC72" s="1304"/>
      <c r="AD72" s="1304"/>
      <c r="AE72" s="1304"/>
      <c r="AF72" s="1304"/>
    </row>
    <row r="73" spans="1:32" ht="17.45">
      <c r="A73" s="1304"/>
      <c r="B73" s="1304"/>
      <c r="C73" s="1304"/>
      <c r="D73" s="1304"/>
      <c r="E73" s="1304"/>
      <c r="F73" s="1304"/>
      <c r="G73" s="1304"/>
      <c r="H73" s="1304"/>
      <c r="I73" s="1304"/>
      <c r="J73" s="1304"/>
      <c r="K73" s="1304"/>
      <c r="L73" s="1304"/>
      <c r="M73" s="1304"/>
      <c r="N73" s="1304"/>
      <c r="O73" s="1304"/>
      <c r="P73" s="1304"/>
      <c r="Q73" s="1304"/>
      <c r="R73" s="1304"/>
      <c r="S73" s="1304"/>
      <c r="T73" s="1304"/>
      <c r="U73" s="1304"/>
      <c r="V73" s="1304"/>
      <c r="W73" s="1304"/>
      <c r="X73" s="1304"/>
      <c r="Y73" s="1304"/>
      <c r="Z73" s="1304"/>
      <c r="AA73" s="1304"/>
      <c r="AB73" s="1304"/>
      <c r="AC73" s="1304"/>
      <c r="AD73" s="1304"/>
      <c r="AE73" s="1304"/>
      <c r="AF73" s="1304"/>
    </row>
    <row r="74" spans="1:32" ht="17.45">
      <c r="A74" s="1304"/>
      <c r="B74" s="1304"/>
      <c r="C74" s="1304"/>
      <c r="D74" s="1304"/>
      <c r="E74" s="1304"/>
      <c r="F74" s="1304"/>
      <c r="G74" s="1304"/>
      <c r="H74" s="1304"/>
      <c r="I74" s="1304"/>
      <c r="J74" s="1304"/>
      <c r="K74" s="1304"/>
      <c r="L74" s="1304"/>
      <c r="M74" s="1304"/>
      <c r="N74" s="1304"/>
      <c r="O74" s="1304"/>
      <c r="P74" s="1304"/>
      <c r="Q74" s="1304"/>
      <c r="R74" s="1304"/>
      <c r="S74" s="1304"/>
      <c r="T74" s="1304"/>
      <c r="U74" s="1304"/>
      <c r="V74" s="1304"/>
      <c r="W74" s="1304"/>
      <c r="X74" s="1304"/>
      <c r="Y74" s="1304"/>
      <c r="Z74" s="1304"/>
      <c r="AA74" s="1304"/>
      <c r="AB74" s="1304"/>
      <c r="AC74" s="1304"/>
      <c r="AD74" s="1304"/>
      <c r="AE74" s="1304"/>
      <c r="AF74" s="1304"/>
    </row>
    <row r="75" spans="1:32" ht="17.45">
      <c r="A75" s="1304"/>
      <c r="B75" s="1304"/>
      <c r="C75" s="1304"/>
      <c r="D75" s="1304"/>
      <c r="E75" s="1304"/>
      <c r="F75" s="1304"/>
      <c r="G75" s="1304"/>
      <c r="H75" s="1304"/>
      <c r="I75" s="1304"/>
      <c r="J75" s="1304"/>
      <c r="K75" s="1304"/>
      <c r="L75" s="1304"/>
      <c r="M75" s="1304"/>
      <c r="N75" s="1304"/>
      <c r="O75" s="1304"/>
      <c r="P75" s="1304"/>
      <c r="Q75" s="1304"/>
      <c r="R75" s="1304"/>
      <c r="S75" s="1304"/>
      <c r="T75" s="1304"/>
      <c r="U75" s="1304"/>
      <c r="V75" s="1304"/>
      <c r="W75" s="1304"/>
      <c r="X75" s="1304"/>
      <c r="Y75" s="1304"/>
      <c r="Z75" s="1304"/>
      <c r="AA75" s="1304"/>
      <c r="AB75" s="1304"/>
      <c r="AC75" s="1304"/>
      <c r="AD75" s="1304"/>
      <c r="AE75" s="1304"/>
      <c r="AF75" s="1304"/>
    </row>
    <row r="76" spans="1:32" ht="17.45">
      <c r="A76" s="1304"/>
      <c r="B76" s="1304"/>
      <c r="C76" s="1304"/>
      <c r="D76" s="1304"/>
      <c r="E76" s="1304"/>
      <c r="F76" s="1304"/>
      <c r="G76" s="1304"/>
      <c r="H76" s="1304"/>
      <c r="I76" s="1304"/>
      <c r="J76" s="1304"/>
      <c r="K76" s="1304"/>
      <c r="L76" s="1304"/>
      <c r="M76" s="1304"/>
      <c r="N76" s="1304"/>
      <c r="O76" s="1304"/>
      <c r="P76" s="1304"/>
      <c r="Q76" s="1304"/>
      <c r="R76" s="1304"/>
      <c r="S76" s="1304"/>
      <c r="T76" s="1304"/>
      <c r="U76" s="1304"/>
      <c r="V76" s="1304"/>
      <c r="W76" s="1304"/>
      <c r="X76" s="1304"/>
      <c r="Y76" s="1304"/>
      <c r="Z76" s="1304"/>
      <c r="AA76" s="1304"/>
      <c r="AB76" s="1304"/>
      <c r="AC76" s="1304"/>
      <c r="AD76" s="1304"/>
      <c r="AE76" s="1304"/>
      <c r="AF76" s="1304"/>
    </row>
    <row r="77" spans="1:32" ht="17.45">
      <c r="A77" s="1304"/>
      <c r="B77" s="1304"/>
      <c r="C77" s="1304"/>
      <c r="D77" s="1304"/>
      <c r="E77" s="1304"/>
      <c r="F77" s="1304"/>
      <c r="G77" s="1304"/>
      <c r="H77" s="1304"/>
      <c r="I77" s="1304"/>
      <c r="J77" s="1304"/>
      <c r="K77" s="1304"/>
      <c r="L77" s="1304"/>
      <c r="M77" s="1304"/>
      <c r="N77" s="1304"/>
      <c r="O77" s="1304"/>
      <c r="P77" s="1304"/>
      <c r="Q77" s="1304"/>
      <c r="R77" s="1304"/>
      <c r="S77" s="1304"/>
      <c r="T77" s="1304"/>
      <c r="U77" s="1304"/>
      <c r="V77" s="1304"/>
      <c r="W77" s="1304"/>
      <c r="X77" s="1304"/>
      <c r="Y77" s="1304"/>
      <c r="Z77" s="1304"/>
      <c r="AA77" s="1304"/>
      <c r="AB77" s="1304"/>
      <c r="AC77" s="1304"/>
      <c r="AD77" s="1304"/>
      <c r="AE77" s="1304"/>
      <c r="AF77" s="1304"/>
    </row>
    <row r="78" spans="1:32" ht="17.45">
      <c r="A78" s="1304"/>
      <c r="B78" s="1304"/>
      <c r="C78" s="1304"/>
      <c r="D78" s="1304"/>
      <c r="E78" s="1304"/>
      <c r="F78" s="1304"/>
      <c r="G78" s="1304"/>
      <c r="H78" s="1304"/>
      <c r="I78" s="1304"/>
      <c r="J78" s="1304"/>
      <c r="K78" s="1304"/>
      <c r="L78" s="1304"/>
      <c r="M78" s="1304"/>
      <c r="N78" s="1304"/>
      <c r="O78" s="1304"/>
      <c r="P78" s="1304"/>
      <c r="Q78" s="1304"/>
      <c r="R78" s="1304"/>
      <c r="S78" s="1304"/>
      <c r="T78" s="1304"/>
      <c r="U78" s="1304"/>
      <c r="V78" s="1304"/>
      <c r="W78" s="1304"/>
      <c r="X78" s="1304"/>
      <c r="Y78" s="1304"/>
      <c r="Z78" s="1304"/>
      <c r="AA78" s="1304"/>
      <c r="AB78" s="1304"/>
      <c r="AC78" s="1304"/>
      <c r="AD78" s="1304"/>
      <c r="AE78" s="1304"/>
      <c r="AF78" s="1304"/>
    </row>
    <row r="79" spans="1:32" ht="17.45">
      <c r="A79" s="1304"/>
      <c r="B79" s="1304"/>
      <c r="C79" s="1304"/>
      <c r="D79" s="1304"/>
      <c r="E79" s="1304"/>
      <c r="F79" s="1304"/>
      <c r="G79" s="1304"/>
      <c r="H79" s="1304"/>
      <c r="I79" s="1304"/>
      <c r="J79" s="1304"/>
      <c r="K79" s="1304"/>
      <c r="L79" s="1304"/>
      <c r="M79" s="1304"/>
      <c r="N79" s="1304"/>
      <c r="O79" s="1304"/>
      <c r="P79" s="1304"/>
      <c r="Q79" s="1304"/>
      <c r="R79" s="1304"/>
      <c r="S79" s="1304"/>
      <c r="T79" s="1304"/>
      <c r="U79" s="1304"/>
      <c r="V79" s="1304"/>
      <c r="W79" s="1304"/>
      <c r="X79" s="1304"/>
      <c r="Y79" s="1304"/>
      <c r="Z79" s="1304"/>
      <c r="AA79" s="1304"/>
      <c r="AB79" s="1304"/>
      <c r="AC79" s="1304"/>
      <c r="AD79" s="1304"/>
      <c r="AE79" s="1304"/>
      <c r="AF79" s="1304"/>
    </row>
    <row r="80" spans="1:32" ht="17.45">
      <c r="A80" s="1304"/>
      <c r="B80" s="1304"/>
      <c r="C80" s="1304"/>
      <c r="D80" s="1304"/>
      <c r="E80" s="1304"/>
      <c r="F80" s="1304"/>
      <c r="G80" s="1304"/>
      <c r="H80" s="1304"/>
      <c r="I80" s="1304"/>
      <c r="J80" s="1304"/>
      <c r="K80" s="1304"/>
      <c r="L80" s="1304"/>
      <c r="M80" s="1304"/>
      <c r="N80" s="1304"/>
      <c r="O80" s="1304"/>
      <c r="P80" s="1304"/>
      <c r="Q80" s="1304"/>
      <c r="R80" s="1304"/>
      <c r="S80" s="1304"/>
      <c r="T80" s="1304"/>
      <c r="U80" s="1304"/>
      <c r="V80" s="1304"/>
      <c r="W80" s="1304"/>
      <c r="X80" s="1304"/>
      <c r="Y80" s="1304"/>
      <c r="Z80" s="1304"/>
      <c r="AA80" s="1304"/>
      <c r="AB80" s="1304"/>
      <c r="AC80" s="1304"/>
      <c r="AD80" s="1304"/>
      <c r="AE80" s="1304"/>
      <c r="AF80" s="1304"/>
    </row>
    <row r="81" spans="1:32" ht="17.45">
      <c r="A81" s="1304"/>
      <c r="B81" s="1304"/>
      <c r="C81" s="1304"/>
      <c r="D81" s="1304"/>
      <c r="E81" s="1304"/>
      <c r="F81" s="1304"/>
      <c r="G81" s="1304"/>
      <c r="H81" s="1304"/>
      <c r="I81" s="1304"/>
      <c r="J81" s="1304"/>
      <c r="K81" s="1304"/>
      <c r="L81" s="1304"/>
      <c r="M81" s="1304"/>
      <c r="N81" s="1304"/>
      <c r="O81" s="1304"/>
      <c r="P81" s="1304"/>
      <c r="Q81" s="1304"/>
      <c r="R81" s="1304"/>
      <c r="S81" s="1304"/>
      <c r="T81" s="1304"/>
      <c r="U81" s="1304"/>
      <c r="V81" s="1304"/>
      <c r="W81" s="1304"/>
      <c r="X81" s="1304"/>
      <c r="Y81" s="1304"/>
      <c r="Z81" s="1304"/>
      <c r="AA81" s="1304"/>
      <c r="AB81" s="1304"/>
      <c r="AC81" s="1304"/>
      <c r="AD81" s="1304"/>
      <c r="AE81" s="1304"/>
      <c r="AF81" s="1304"/>
    </row>
    <row r="82" spans="1:32" ht="17.45">
      <c r="A82" s="1304"/>
      <c r="B82" s="1304"/>
      <c r="C82" s="1304"/>
      <c r="D82" s="1304"/>
      <c r="E82" s="1304"/>
      <c r="F82" s="1304"/>
      <c r="G82" s="1304"/>
      <c r="H82" s="1304"/>
      <c r="I82" s="1304"/>
      <c r="J82" s="1304"/>
      <c r="K82" s="1304"/>
      <c r="L82" s="1304"/>
      <c r="M82" s="1304"/>
      <c r="N82" s="1304"/>
      <c r="O82" s="1304"/>
      <c r="P82" s="1304"/>
      <c r="Q82" s="1304"/>
      <c r="R82" s="1304"/>
      <c r="S82" s="1304"/>
      <c r="T82" s="1304"/>
      <c r="U82" s="1304"/>
      <c r="V82" s="1304"/>
      <c r="W82" s="1304"/>
      <c r="X82" s="1304"/>
      <c r="Y82" s="1304"/>
      <c r="Z82" s="1304"/>
      <c r="AA82" s="1304"/>
      <c r="AB82" s="1304"/>
      <c r="AC82" s="1304"/>
      <c r="AD82" s="1304"/>
      <c r="AE82" s="1304"/>
      <c r="AF82" s="1304"/>
    </row>
    <row r="83" spans="1:32" ht="17.45">
      <c r="A83" s="1304"/>
      <c r="B83" s="1304"/>
      <c r="C83" s="1304"/>
      <c r="D83" s="1304"/>
      <c r="E83" s="1304"/>
      <c r="F83" s="1304"/>
      <c r="G83" s="1304"/>
      <c r="H83" s="1304"/>
      <c r="I83" s="1304"/>
      <c r="J83" s="1304"/>
      <c r="K83" s="1304"/>
      <c r="L83" s="1304"/>
      <c r="M83" s="1304"/>
      <c r="N83" s="1304"/>
      <c r="O83" s="1304"/>
      <c r="P83" s="1304"/>
      <c r="Q83" s="1304"/>
      <c r="R83" s="1304"/>
      <c r="S83" s="1304"/>
      <c r="T83" s="1304"/>
      <c r="U83" s="1304"/>
      <c r="V83" s="1304"/>
      <c r="W83" s="1304"/>
      <c r="X83" s="1304"/>
      <c r="Y83" s="1304"/>
      <c r="Z83" s="1304"/>
      <c r="AA83" s="1304"/>
      <c r="AB83" s="1304"/>
      <c r="AC83" s="1304"/>
      <c r="AD83" s="1304"/>
      <c r="AE83" s="1304"/>
      <c r="AF83" s="1304"/>
    </row>
    <row r="84" spans="1:32" ht="17.45">
      <c r="A84" s="1304"/>
      <c r="B84" s="1304"/>
      <c r="C84" s="1304"/>
      <c r="D84" s="1304"/>
      <c r="E84" s="1304"/>
      <c r="F84" s="1304"/>
      <c r="G84" s="1304"/>
      <c r="H84" s="1304"/>
      <c r="I84" s="1304"/>
      <c r="J84" s="1304"/>
      <c r="K84" s="1304"/>
      <c r="L84" s="1304"/>
      <c r="M84" s="1304"/>
      <c r="N84" s="1304"/>
      <c r="O84" s="1304"/>
      <c r="P84" s="1304"/>
      <c r="Q84" s="1304"/>
      <c r="R84" s="1304"/>
      <c r="S84" s="1304"/>
      <c r="T84" s="1304"/>
      <c r="U84" s="1304"/>
      <c r="V84" s="1304"/>
      <c r="W84" s="1304"/>
      <c r="X84" s="1304"/>
      <c r="Y84" s="1304"/>
      <c r="Z84" s="1304"/>
      <c r="AA84" s="1304"/>
      <c r="AB84" s="1304"/>
      <c r="AC84" s="1304"/>
      <c r="AD84" s="1304"/>
      <c r="AE84" s="1304"/>
      <c r="AF84" s="1304"/>
    </row>
    <row r="85" spans="1:32" ht="17.45">
      <c r="A85" s="1304"/>
      <c r="B85" s="1304"/>
      <c r="C85" s="1304"/>
      <c r="D85" s="1304"/>
      <c r="E85" s="1304"/>
      <c r="F85" s="1304"/>
      <c r="G85" s="1304"/>
      <c r="H85" s="1304"/>
      <c r="I85" s="1304"/>
      <c r="J85" s="1304"/>
      <c r="K85" s="1304"/>
      <c r="L85" s="1304"/>
      <c r="M85" s="1304"/>
      <c r="N85" s="1304"/>
      <c r="O85" s="1304"/>
      <c r="P85" s="1304"/>
      <c r="Q85" s="1304"/>
      <c r="R85" s="1304"/>
      <c r="S85" s="1304"/>
      <c r="T85" s="1304"/>
      <c r="U85" s="1304"/>
      <c r="V85" s="1304"/>
      <c r="W85" s="1304"/>
      <c r="X85" s="1304"/>
      <c r="Y85" s="1304"/>
      <c r="Z85" s="1304"/>
      <c r="AA85" s="1304"/>
      <c r="AB85" s="1304"/>
      <c r="AC85" s="1304"/>
      <c r="AD85" s="1304"/>
      <c r="AE85" s="1304"/>
      <c r="AF85" s="1304"/>
    </row>
    <row r="86" spans="1:32" ht="17.45">
      <c r="A86" s="1304"/>
      <c r="B86" s="1304"/>
      <c r="C86" s="1304"/>
      <c r="D86" s="1304"/>
      <c r="E86" s="1304"/>
      <c r="F86" s="1304"/>
      <c r="G86" s="1304"/>
      <c r="H86" s="1304"/>
      <c r="I86" s="1304"/>
      <c r="J86" s="1304"/>
      <c r="K86" s="1304"/>
      <c r="L86" s="1304"/>
      <c r="M86" s="1304"/>
      <c r="N86" s="1304"/>
      <c r="O86" s="1304"/>
      <c r="P86" s="1304"/>
      <c r="Q86" s="1304"/>
      <c r="R86" s="1304"/>
      <c r="S86" s="1304"/>
      <c r="T86" s="1304"/>
      <c r="U86" s="1304"/>
      <c r="V86" s="1304"/>
      <c r="W86" s="1304"/>
      <c r="X86" s="1304"/>
      <c r="Y86" s="1304"/>
      <c r="Z86" s="1304"/>
      <c r="AA86" s="1304"/>
      <c r="AB86" s="1304"/>
      <c r="AC86" s="1304"/>
      <c r="AD86" s="1304"/>
      <c r="AE86" s="1304"/>
      <c r="AF86" s="1304"/>
    </row>
    <row r="87" spans="1:32" ht="17.45">
      <c r="A87" s="1304"/>
      <c r="B87" s="1304"/>
      <c r="C87" s="1304"/>
      <c r="D87" s="1304"/>
      <c r="E87" s="1304"/>
      <c r="F87" s="1304"/>
      <c r="G87" s="1304"/>
      <c r="H87" s="1304"/>
      <c r="I87" s="1304"/>
      <c r="J87" s="1304"/>
      <c r="K87" s="1304"/>
      <c r="L87" s="1304"/>
      <c r="M87" s="1304"/>
      <c r="N87" s="1304"/>
      <c r="O87" s="1304"/>
      <c r="P87" s="1304"/>
      <c r="Q87" s="1304"/>
      <c r="R87" s="1304"/>
      <c r="S87" s="1304"/>
      <c r="T87" s="1304"/>
      <c r="U87" s="1304"/>
      <c r="V87" s="1304"/>
      <c r="W87" s="1304"/>
      <c r="X87" s="1304"/>
      <c r="Y87" s="1304"/>
      <c r="Z87" s="1304"/>
      <c r="AA87" s="1304"/>
      <c r="AB87" s="1304"/>
      <c r="AC87" s="1304"/>
      <c r="AD87" s="1304"/>
      <c r="AE87" s="1304"/>
      <c r="AF87" s="1304"/>
    </row>
    <row r="88" spans="1:32" ht="17.45">
      <c r="A88" s="1304"/>
      <c r="B88" s="1304"/>
      <c r="C88" s="1304"/>
      <c r="D88" s="1304"/>
      <c r="E88" s="1304"/>
      <c r="F88" s="1304"/>
      <c r="G88" s="1304"/>
      <c r="H88" s="1304"/>
      <c r="I88" s="1304"/>
      <c r="J88" s="1304"/>
      <c r="K88" s="1304"/>
      <c r="L88" s="1304"/>
      <c r="M88" s="1304"/>
      <c r="N88" s="1304"/>
      <c r="O88" s="1304"/>
      <c r="P88" s="1304"/>
      <c r="Q88" s="1304"/>
      <c r="R88" s="1304"/>
      <c r="S88" s="1304"/>
      <c r="T88" s="1304"/>
      <c r="U88" s="1304"/>
      <c r="V88" s="1304"/>
      <c r="W88" s="1304"/>
      <c r="X88" s="1304"/>
      <c r="Y88" s="1304"/>
      <c r="Z88" s="1304"/>
      <c r="AA88" s="1304"/>
      <c r="AB88" s="1304"/>
      <c r="AC88" s="1304"/>
      <c r="AD88" s="1304"/>
      <c r="AE88" s="1304"/>
      <c r="AF88" s="130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9E1F-D164-47A2-893F-50180EEEAF46}">
  <dimension ref="A1:AF88"/>
  <sheetViews>
    <sheetView topLeftCell="B1" zoomScaleNormal="100" workbookViewId="0">
      <selection activeCell="G40" sqref="G40"/>
    </sheetView>
  </sheetViews>
  <sheetFormatPr defaultColWidth="8.7109375" defaultRowHeight="14.45"/>
  <cols>
    <col min="1" max="1" width="3" style="368" customWidth="1"/>
    <col min="2" max="2" width="21" style="368" customWidth="1"/>
    <col min="3" max="9" width="23.7109375" style="368" customWidth="1"/>
    <col min="10" max="10" width="24.42578125" style="368" customWidth="1"/>
    <col min="11" max="11" width="1.7109375" style="368" customWidth="1"/>
    <col min="12" max="12" width="33" style="368" customWidth="1"/>
    <col min="13" max="14" width="23.28515625" style="368" customWidth="1"/>
    <col min="15" max="16384" width="8.7109375" style="368"/>
  </cols>
  <sheetData>
    <row r="1" spans="1:32" ht="23.25" customHeight="1">
      <c r="A1" s="1408"/>
      <c r="B1" s="1408"/>
      <c r="C1" s="1409" t="s">
        <v>0</v>
      </c>
      <c r="D1" s="1410">
        <v>158.97</v>
      </c>
      <c r="E1" s="1408"/>
      <c r="F1" s="1411"/>
      <c r="G1" s="1408"/>
      <c r="H1" s="1408"/>
      <c r="I1" s="1408"/>
      <c r="J1" s="1408"/>
      <c r="K1" s="1408"/>
      <c r="L1" s="1408"/>
      <c r="M1" s="1408"/>
      <c r="N1" s="1408"/>
      <c r="O1" s="1408"/>
      <c r="P1" s="1408"/>
      <c r="Q1" s="1408"/>
      <c r="R1" s="1408"/>
      <c r="S1" s="1408"/>
      <c r="T1" s="1408"/>
      <c r="U1" s="1408"/>
      <c r="V1" s="1408"/>
      <c r="W1" s="1408"/>
      <c r="X1" s="1408"/>
      <c r="Y1" s="1408"/>
      <c r="Z1" s="1408"/>
      <c r="AA1" s="1408"/>
      <c r="AB1" s="1408"/>
      <c r="AC1" s="1408"/>
      <c r="AD1" s="1408"/>
      <c r="AE1" s="1408"/>
      <c r="AF1" s="1408"/>
    </row>
    <row r="2" spans="1:32" ht="23.25" customHeight="1">
      <c r="A2" s="1408"/>
      <c r="B2" s="1412" t="s">
        <v>415</v>
      </c>
      <c r="C2" s="70" t="s">
        <v>1</v>
      </c>
      <c r="D2" s="152">
        <f>J8+J16+J24+J32+J40+J48</f>
        <v>72.62</v>
      </c>
      <c r="E2" s="154" t="s">
        <v>2</v>
      </c>
      <c r="F2" s="204">
        <f>J9+J17+J25+J33+J41+J49</f>
        <v>5.83</v>
      </c>
      <c r="G2" s="154" t="s">
        <v>3</v>
      </c>
      <c r="H2" s="204">
        <f>J10+J18+J26+J34+J42+J50</f>
        <v>7.7</v>
      </c>
      <c r="I2" s="1413"/>
      <c r="J2" s="1414" t="s">
        <v>4</v>
      </c>
      <c r="K2" s="1415"/>
      <c r="L2" s="1414"/>
      <c r="M2" s="1408"/>
      <c r="N2" s="1408"/>
      <c r="O2" s="1408"/>
      <c r="P2" s="1408"/>
      <c r="Q2" s="1408"/>
      <c r="R2" s="1408"/>
      <c r="S2" s="1408"/>
      <c r="T2" s="1408"/>
      <c r="U2" s="1408"/>
      <c r="V2" s="1408"/>
      <c r="W2" s="1408"/>
      <c r="X2" s="1408"/>
      <c r="Y2" s="1408"/>
      <c r="Z2" s="1408"/>
      <c r="AA2" s="1408"/>
      <c r="AB2" s="1408"/>
      <c r="AC2" s="1408"/>
      <c r="AD2" s="1408"/>
      <c r="AE2" s="1408"/>
      <c r="AF2" s="1408"/>
    </row>
    <row r="3" spans="1:32" ht="23.25" customHeight="1">
      <c r="A3" s="1408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10</v>
      </c>
      <c r="H3" s="75" t="s">
        <v>11</v>
      </c>
      <c r="I3" s="175" t="s">
        <v>12</v>
      </c>
      <c r="J3" s="1414" t="s">
        <v>13</v>
      </c>
      <c r="K3" s="1416"/>
      <c r="L3" s="1414"/>
      <c r="M3" s="1408"/>
      <c r="N3" s="1408"/>
      <c r="O3" s="1408"/>
      <c r="P3" s="1408"/>
      <c r="Q3" s="1408"/>
      <c r="R3" s="1408"/>
      <c r="S3" s="1408"/>
      <c r="T3" s="1408"/>
      <c r="U3" s="1408"/>
      <c r="V3" s="1408"/>
      <c r="W3" s="1408"/>
      <c r="X3" s="1408"/>
      <c r="Y3" s="1408"/>
      <c r="Z3" s="1408"/>
      <c r="AA3" s="1408"/>
      <c r="AB3" s="1408"/>
      <c r="AC3" s="1408"/>
      <c r="AD3" s="1408"/>
      <c r="AE3" s="1408"/>
      <c r="AF3" s="1408"/>
    </row>
    <row r="4" spans="1:32" ht="23.25" customHeight="1">
      <c r="A4" s="1408"/>
      <c r="B4" s="93" t="s">
        <v>14</v>
      </c>
      <c r="C4" s="172" t="s">
        <v>4</v>
      </c>
      <c r="D4" s="172" t="s">
        <v>4</v>
      </c>
      <c r="E4" s="172" t="s">
        <v>4</v>
      </c>
      <c r="F4" s="172" t="s">
        <v>4</v>
      </c>
      <c r="G4" s="172" t="s">
        <v>4</v>
      </c>
      <c r="H4" s="173" t="s">
        <v>4</v>
      </c>
      <c r="I4" s="174">
        <v>1</v>
      </c>
      <c r="J4" s="1414" t="s">
        <v>15</v>
      </c>
      <c r="K4" s="1416"/>
      <c r="L4" s="1417"/>
      <c r="M4" s="1408"/>
      <c r="N4" s="1408"/>
      <c r="O4" s="1408"/>
      <c r="P4" s="1408"/>
      <c r="Q4" s="1408"/>
      <c r="R4" s="1408"/>
      <c r="S4" s="1408"/>
      <c r="T4" s="1408"/>
      <c r="U4" s="1408"/>
      <c r="V4" s="1408"/>
      <c r="W4" s="1408"/>
      <c r="X4" s="1408"/>
      <c r="Y4" s="1408"/>
      <c r="Z4" s="1408"/>
      <c r="AA4" s="1408"/>
      <c r="AB4" s="1408"/>
      <c r="AC4" s="1408"/>
      <c r="AD4" s="1408"/>
      <c r="AE4" s="1408"/>
      <c r="AF4" s="1408"/>
    </row>
    <row r="5" spans="1:32" ht="23.25" customHeight="1">
      <c r="A5" s="1408"/>
      <c r="B5" s="94" t="s">
        <v>16</v>
      </c>
      <c r="C5" s="245"/>
      <c r="D5" s="186"/>
      <c r="E5" s="485"/>
      <c r="F5" s="186"/>
      <c r="G5" s="186"/>
      <c r="H5" s="186"/>
      <c r="I5" s="161" t="s">
        <v>207</v>
      </c>
      <c r="J5" s="1414" t="s">
        <v>17</v>
      </c>
      <c r="K5" s="1416"/>
      <c r="L5" s="1418"/>
      <c r="M5" s="1408"/>
      <c r="N5" s="1408"/>
      <c r="O5" s="1408"/>
      <c r="P5" s="1408"/>
      <c r="Q5" s="1408"/>
      <c r="R5" s="1408"/>
      <c r="S5" s="1408"/>
      <c r="T5" s="1408"/>
      <c r="U5" s="1408"/>
      <c r="V5" s="1408"/>
      <c r="W5" s="1408"/>
      <c r="X5" s="1408"/>
      <c r="Y5" s="1408"/>
      <c r="Z5" s="1408"/>
      <c r="AA5" s="1408"/>
      <c r="AB5" s="1408"/>
      <c r="AC5" s="1408"/>
      <c r="AD5" s="1408"/>
      <c r="AE5" s="1408"/>
      <c r="AF5" s="1408"/>
    </row>
    <row r="6" spans="1:32" ht="23.25" customHeight="1">
      <c r="A6" s="1408"/>
      <c r="B6" s="486" t="s">
        <v>18</v>
      </c>
      <c r="C6" s="132" t="s">
        <v>4</v>
      </c>
      <c r="D6" s="132" t="s">
        <v>4</v>
      </c>
      <c r="E6" s="123" t="s">
        <v>4</v>
      </c>
      <c r="F6" s="123" t="s">
        <v>4</v>
      </c>
      <c r="G6" s="487" t="s">
        <v>4</v>
      </c>
      <c r="H6" s="488" t="s">
        <v>4</v>
      </c>
      <c r="I6" s="163">
        <v>0.06</v>
      </c>
      <c r="J6" s="1419"/>
      <c r="K6" s="1416"/>
      <c r="L6" s="1408"/>
      <c r="M6" s="1408"/>
      <c r="N6" s="1408"/>
      <c r="O6" s="1408"/>
      <c r="P6" s="1408"/>
      <c r="Q6" s="1408"/>
      <c r="R6" s="1408"/>
      <c r="S6" s="1408"/>
      <c r="T6" s="1408"/>
      <c r="U6" s="1408"/>
      <c r="V6" s="1408"/>
      <c r="W6" s="1408"/>
      <c r="X6" s="1408"/>
      <c r="Y6" s="1408"/>
      <c r="Z6" s="1408"/>
      <c r="AA6" s="1408"/>
      <c r="AB6" s="1408"/>
      <c r="AC6" s="1408"/>
      <c r="AD6" s="1408"/>
      <c r="AE6" s="1408"/>
      <c r="AF6" s="1408"/>
    </row>
    <row r="7" spans="1:32" ht="23.25" customHeight="1">
      <c r="A7" s="1408"/>
      <c r="B7" s="94" t="s">
        <v>19</v>
      </c>
      <c r="C7" s="164"/>
      <c r="D7" s="122"/>
      <c r="E7" s="131"/>
      <c r="F7" s="122"/>
      <c r="G7" s="122"/>
      <c r="H7" s="122"/>
      <c r="I7" s="158" t="s">
        <v>253</v>
      </c>
      <c r="J7" s="1420" t="s">
        <v>20</v>
      </c>
      <c r="K7" s="1416"/>
      <c r="L7" s="1421"/>
      <c r="M7" s="1408"/>
      <c r="N7" s="1408"/>
      <c r="O7" s="1408"/>
      <c r="P7" s="1408"/>
      <c r="Q7" s="1408"/>
      <c r="R7" s="1408"/>
      <c r="S7" s="1408"/>
      <c r="T7" s="1408"/>
      <c r="U7" s="1408"/>
      <c r="V7" s="1408"/>
      <c r="W7" s="1408"/>
      <c r="X7" s="1408"/>
      <c r="Y7" s="1408"/>
      <c r="Z7" s="1408"/>
      <c r="AA7" s="1408"/>
      <c r="AB7" s="1408"/>
      <c r="AC7" s="1408"/>
      <c r="AD7" s="1408"/>
      <c r="AE7" s="1408"/>
      <c r="AF7" s="1408"/>
    </row>
    <row r="8" spans="1:32" ht="23.25" customHeight="1">
      <c r="A8" s="1408"/>
      <c r="B8" s="93" t="s">
        <v>21</v>
      </c>
      <c r="C8" s="166"/>
      <c r="D8" s="125"/>
      <c r="E8" s="134"/>
      <c r="F8" s="125"/>
      <c r="G8" s="125"/>
      <c r="H8" s="125"/>
      <c r="I8" s="155">
        <v>9.1999999999999993</v>
      </c>
      <c r="J8" s="1422" cm="1">
        <f t="array" ref="J8">SUM(IF(ISNUMBER(C8:I8), C8:I8, 0))</f>
        <v>9.1999999999999993</v>
      </c>
      <c r="K8" s="1416"/>
      <c r="L8" s="1423" t="s">
        <v>22</v>
      </c>
      <c r="M8" s="1408"/>
      <c r="N8" s="1408"/>
      <c r="O8" s="1408"/>
      <c r="P8" s="1408"/>
      <c r="Q8" s="1408"/>
      <c r="R8" s="1408"/>
      <c r="S8" s="1408"/>
      <c r="T8" s="1408"/>
      <c r="U8" s="1408"/>
      <c r="V8" s="1408"/>
      <c r="W8" s="1408"/>
      <c r="X8" s="1408"/>
      <c r="Y8" s="1408"/>
      <c r="Z8" s="1408"/>
      <c r="AA8" s="1408"/>
      <c r="AB8" s="1408"/>
      <c r="AC8" s="1408"/>
      <c r="AD8" s="1408"/>
      <c r="AE8" s="1408"/>
      <c r="AF8" s="1408"/>
    </row>
    <row r="9" spans="1:32" ht="23.25" customHeight="1">
      <c r="A9" s="1408"/>
      <c r="B9" s="93" t="s">
        <v>23</v>
      </c>
      <c r="C9" s="166"/>
      <c r="D9" s="125"/>
      <c r="E9" s="134"/>
      <c r="F9" s="125"/>
      <c r="G9" s="125"/>
      <c r="H9" s="125"/>
      <c r="I9" s="155">
        <v>0.8</v>
      </c>
      <c r="J9" s="1422" cm="1">
        <f t="array" ref="J9">SUM(IF(ISNUMBER(B9:I9), B9:I9, 0))</f>
        <v>0.8</v>
      </c>
      <c r="K9" s="1416"/>
      <c r="L9" s="1423" t="s">
        <v>24</v>
      </c>
      <c r="M9" s="1408"/>
      <c r="N9" s="1408"/>
      <c r="O9" s="1408"/>
      <c r="P9" s="1408"/>
      <c r="Q9" s="1408"/>
      <c r="R9" s="1408"/>
      <c r="S9" s="1408"/>
      <c r="T9" s="1408"/>
      <c r="U9" s="1408"/>
      <c r="V9" s="1408"/>
      <c r="W9" s="1408"/>
      <c r="X9" s="1408"/>
      <c r="Y9" s="1408"/>
      <c r="Z9" s="1408"/>
      <c r="AA9" s="1408"/>
      <c r="AB9" s="1408"/>
      <c r="AC9" s="1408"/>
      <c r="AD9" s="1408"/>
      <c r="AE9" s="1408"/>
      <c r="AF9" s="1408"/>
    </row>
    <row r="10" spans="1:32" ht="23.25" customHeight="1">
      <c r="A10" s="1408"/>
      <c r="B10" s="93" t="s">
        <v>25</v>
      </c>
      <c r="C10" s="166"/>
      <c r="D10" s="125"/>
      <c r="E10" s="134"/>
      <c r="F10" s="125"/>
      <c r="G10" s="125"/>
      <c r="H10" s="125"/>
      <c r="I10" s="155">
        <f>0.8</f>
        <v>0.8</v>
      </c>
      <c r="J10" s="1424" cm="1">
        <f t="array" ref="J10">SUM(IF(ISNUMBER(B10:I10), B10:I10, 0))</f>
        <v>0.8</v>
      </c>
      <c r="K10" s="1416"/>
      <c r="L10" s="1423" t="s">
        <v>26</v>
      </c>
      <c r="M10" s="1408"/>
      <c r="N10" s="1408"/>
      <c r="O10" s="1408"/>
      <c r="P10" s="1408"/>
      <c r="Q10" s="1408"/>
      <c r="R10" s="1408"/>
      <c r="S10" s="1408"/>
      <c r="T10" s="1408"/>
      <c r="U10" s="1408"/>
      <c r="V10" s="1408"/>
      <c r="W10" s="1408"/>
      <c r="X10" s="1408"/>
      <c r="Y10" s="1408"/>
      <c r="Z10" s="1408"/>
      <c r="AA10" s="1408"/>
      <c r="AB10" s="1408"/>
      <c r="AC10" s="1408"/>
      <c r="AD10" s="1408"/>
      <c r="AE10" s="1408"/>
      <c r="AF10" s="1408"/>
    </row>
    <row r="11" spans="1:32" ht="23.25" customHeight="1">
      <c r="A11" s="1408"/>
      <c r="B11" s="95" t="s">
        <v>27</v>
      </c>
      <c r="C11" s="167" t="s">
        <v>4</v>
      </c>
      <c r="D11" s="168" t="s">
        <v>4</v>
      </c>
      <c r="E11" s="169" t="s">
        <v>4</v>
      </c>
      <c r="F11" s="233" t="s">
        <v>4</v>
      </c>
      <c r="G11" s="150" t="s">
        <v>4</v>
      </c>
      <c r="H11" s="489" t="s">
        <v>4</v>
      </c>
      <c r="I11" s="177" t="s">
        <v>416</v>
      </c>
      <c r="J11" s="1424">
        <v>8.4700000000000006</v>
      </c>
      <c r="K11" s="1416"/>
      <c r="L11" s="1423" t="s">
        <v>28</v>
      </c>
      <c r="M11" s="1408"/>
      <c r="N11" s="1408"/>
      <c r="O11" s="1408"/>
      <c r="P11" s="1408"/>
      <c r="Q11" s="1408"/>
      <c r="R11" s="1408"/>
      <c r="S11" s="1408"/>
      <c r="T11" s="1408"/>
      <c r="U11" s="1408"/>
      <c r="V11" s="1408"/>
      <c r="W11" s="1408"/>
      <c r="X11" s="1408"/>
      <c r="Y11" s="1408"/>
      <c r="Z11" s="1408"/>
      <c r="AA11" s="1408"/>
      <c r="AB11" s="1408"/>
      <c r="AC11" s="1408"/>
      <c r="AD11" s="1408"/>
      <c r="AE11" s="1408"/>
      <c r="AF11" s="1408"/>
    </row>
    <row r="12" spans="1:32" ht="23.25" customHeight="1">
      <c r="A12" s="1408"/>
      <c r="B12" s="1408" t="s">
        <v>4</v>
      </c>
      <c r="C12" s="182">
        <v>2</v>
      </c>
      <c r="D12" s="182">
        <v>3</v>
      </c>
      <c r="E12" s="182">
        <v>4</v>
      </c>
      <c r="F12" s="183">
        <v>5</v>
      </c>
      <c r="G12" s="490">
        <v>6</v>
      </c>
      <c r="H12" s="491">
        <v>7</v>
      </c>
      <c r="I12" s="174">
        <v>8</v>
      </c>
      <c r="J12" s="1425"/>
      <c r="K12" s="1416"/>
      <c r="L12" s="1426"/>
      <c r="M12" s="1408"/>
      <c r="N12" s="1408"/>
      <c r="O12" s="1408"/>
      <c r="P12" s="1408"/>
      <c r="Q12" s="1408"/>
      <c r="R12" s="1408"/>
      <c r="S12" s="1408"/>
      <c r="T12" s="1408"/>
      <c r="U12" s="1408"/>
      <c r="V12" s="1408"/>
      <c r="W12" s="1408"/>
      <c r="X12" s="1408"/>
      <c r="Y12" s="1408"/>
      <c r="Z12" s="1408"/>
      <c r="AA12" s="1408"/>
      <c r="AB12" s="1408"/>
      <c r="AC12" s="1408"/>
      <c r="AD12" s="1408"/>
      <c r="AE12" s="1408"/>
      <c r="AF12" s="1408"/>
    </row>
    <row r="13" spans="1:32" ht="23.25" customHeight="1">
      <c r="A13" s="1408"/>
      <c r="B13" s="1408"/>
      <c r="C13" s="245" t="s">
        <v>379</v>
      </c>
      <c r="D13" s="186" t="s">
        <v>417</v>
      </c>
      <c r="E13" s="485" t="s">
        <v>417</v>
      </c>
      <c r="F13" s="186" t="s">
        <v>50</v>
      </c>
      <c r="G13" s="122" t="s">
        <v>417</v>
      </c>
      <c r="H13" s="492" t="s">
        <v>418</v>
      </c>
      <c r="I13" s="493" t="s">
        <v>207</v>
      </c>
      <c r="J13" s="1425"/>
      <c r="K13" s="1416"/>
      <c r="L13" s="1426"/>
      <c r="M13" s="1408"/>
      <c r="N13" s="1408"/>
      <c r="O13" s="1408"/>
      <c r="P13" s="1408"/>
      <c r="Q13" s="1408"/>
      <c r="R13" s="1408"/>
      <c r="S13" s="1408"/>
      <c r="T13" s="1408"/>
      <c r="U13" s="1408"/>
      <c r="V13" s="1408"/>
      <c r="W13" s="1408"/>
      <c r="X13" s="1408"/>
      <c r="Y13" s="1408"/>
      <c r="Z13" s="1408"/>
      <c r="AA13" s="1408"/>
      <c r="AB13" s="1408"/>
      <c r="AC13" s="1408"/>
      <c r="AD13" s="1408"/>
      <c r="AE13" s="1408"/>
      <c r="AF13" s="1408"/>
    </row>
    <row r="14" spans="1:32" ht="23.25" customHeight="1">
      <c r="A14" s="1408"/>
      <c r="B14" s="1408"/>
      <c r="C14" s="494">
        <v>0.12</v>
      </c>
      <c r="D14" s="488">
        <v>0.21</v>
      </c>
      <c r="E14" s="132">
        <v>0.31</v>
      </c>
      <c r="F14" s="123">
        <v>0.42</v>
      </c>
      <c r="G14" s="123">
        <v>0.54</v>
      </c>
      <c r="H14" s="495">
        <v>0.64</v>
      </c>
      <c r="I14" s="496">
        <v>0.74</v>
      </c>
      <c r="J14" s="1416"/>
      <c r="K14" s="1416"/>
      <c r="L14" s="1426"/>
      <c r="M14" s="1408"/>
      <c r="N14" s="1408"/>
      <c r="O14" s="1408"/>
      <c r="P14" s="1408"/>
      <c r="Q14" s="1408"/>
      <c r="R14" s="1408"/>
      <c r="S14" s="1408"/>
      <c r="T14" s="1408"/>
      <c r="U14" s="1408"/>
      <c r="V14" s="1408"/>
      <c r="W14" s="1408"/>
      <c r="X14" s="1408"/>
      <c r="Y14" s="1408"/>
      <c r="Z14" s="1408"/>
      <c r="AA14" s="1408"/>
      <c r="AB14" s="1408"/>
      <c r="AC14" s="1408"/>
      <c r="AD14" s="1408"/>
      <c r="AE14" s="1408"/>
      <c r="AF14" s="1408"/>
    </row>
    <row r="15" spans="1:32" ht="23.25" customHeight="1">
      <c r="A15" s="1408"/>
      <c r="B15" s="1408"/>
      <c r="C15" s="164" t="s">
        <v>62</v>
      </c>
      <c r="D15" s="218" t="s">
        <v>340</v>
      </c>
      <c r="E15" s="122" t="s">
        <v>62</v>
      </c>
      <c r="F15" s="122" t="s">
        <v>340</v>
      </c>
      <c r="G15" s="122" t="s">
        <v>253</v>
      </c>
      <c r="H15" s="492" t="s">
        <v>253</v>
      </c>
      <c r="I15" s="497" t="s">
        <v>253</v>
      </c>
      <c r="J15" s="1420" t="s">
        <v>29</v>
      </c>
      <c r="K15" s="1416"/>
      <c r="L15" s="1426"/>
      <c r="M15" s="1408"/>
      <c r="N15" s="1408"/>
      <c r="O15" s="1408"/>
      <c r="P15" s="1408"/>
      <c r="Q15" s="1408"/>
      <c r="R15" s="1408"/>
      <c r="S15" s="1408"/>
      <c r="T15" s="1408"/>
      <c r="U15" s="1408"/>
      <c r="V15" s="1408"/>
      <c r="W15" s="1408"/>
      <c r="X15" s="1408"/>
      <c r="Y15" s="1408"/>
      <c r="Z15" s="1408"/>
      <c r="AA15" s="1408"/>
      <c r="AB15" s="1408"/>
      <c r="AC15" s="1408"/>
      <c r="AD15" s="1408"/>
      <c r="AE15" s="1408"/>
      <c r="AF15" s="1408"/>
    </row>
    <row r="16" spans="1:32" ht="23.25" customHeight="1">
      <c r="A16" s="1408"/>
      <c r="B16" s="1408"/>
      <c r="C16" s="166">
        <v>1.6</v>
      </c>
      <c r="D16" s="125" t="s">
        <v>419</v>
      </c>
      <c r="E16" s="125">
        <v>5.4</v>
      </c>
      <c r="F16" s="125" t="s">
        <v>419</v>
      </c>
      <c r="G16" s="125" t="s">
        <v>419</v>
      </c>
      <c r="H16" s="125" t="s">
        <v>419</v>
      </c>
      <c r="I16" s="125" t="s">
        <v>420</v>
      </c>
      <c r="J16" s="1422" cm="1">
        <f t="array" ref="J16">SUM(IF(ISNUMBER(B16:I16), B16:I16, 0))</f>
        <v>7</v>
      </c>
      <c r="K16" s="1416"/>
      <c r="L16" s="1427" t="s">
        <v>22</v>
      </c>
      <c r="M16" s="1408"/>
      <c r="N16" s="1408"/>
      <c r="O16" s="1408"/>
      <c r="P16" s="1408"/>
      <c r="Q16" s="1408"/>
      <c r="R16" s="1408"/>
      <c r="S16" s="1408"/>
      <c r="T16" s="1408"/>
      <c r="U16" s="1408"/>
      <c r="V16" s="1408"/>
      <c r="W16" s="1408"/>
      <c r="X16" s="1408"/>
      <c r="Y16" s="1408"/>
      <c r="Z16" s="1408"/>
      <c r="AA16" s="1408"/>
      <c r="AB16" s="1408"/>
      <c r="AC16" s="1408"/>
      <c r="AD16" s="1408"/>
      <c r="AE16" s="1408"/>
      <c r="AF16" s="1408"/>
    </row>
    <row r="17" spans="1:32" ht="23.25" customHeight="1">
      <c r="A17" s="1408"/>
      <c r="B17" s="1408"/>
      <c r="C17" s="166">
        <v>0.6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55">
        <v>0</v>
      </c>
      <c r="J17" s="1422" cm="1">
        <f t="array" ref="J17">SUM(IF(ISNUMBER(B17:I17), B17:I17, 0))</f>
        <v>0.6</v>
      </c>
      <c r="K17" s="1416"/>
      <c r="L17" s="1427" t="s">
        <v>24</v>
      </c>
      <c r="M17" s="1408"/>
      <c r="N17" s="1408"/>
      <c r="O17" s="1408"/>
      <c r="P17" s="1408"/>
      <c r="Q17" s="1408"/>
      <c r="R17" s="1408"/>
      <c r="S17" s="1408"/>
      <c r="T17" s="1408"/>
      <c r="U17" s="1408"/>
      <c r="V17" s="1408"/>
      <c r="W17" s="1408"/>
      <c r="X17" s="1408"/>
      <c r="Y17" s="1408"/>
      <c r="Z17" s="1408"/>
      <c r="AA17" s="1408"/>
      <c r="AB17" s="1408"/>
      <c r="AC17" s="1408"/>
      <c r="AD17" s="1408"/>
      <c r="AE17" s="1408"/>
      <c r="AF17" s="1408"/>
    </row>
    <row r="18" spans="1:32" ht="23.25" customHeight="1">
      <c r="A18" s="1408"/>
      <c r="B18" s="1408"/>
      <c r="C18" s="166">
        <v>0</v>
      </c>
      <c r="D18" s="125">
        <v>0</v>
      </c>
      <c r="E18" s="125">
        <v>0.8</v>
      </c>
      <c r="F18" s="125">
        <v>0</v>
      </c>
      <c r="G18" s="125">
        <v>0</v>
      </c>
      <c r="H18" s="125">
        <v>0</v>
      </c>
      <c r="I18" s="155">
        <v>0</v>
      </c>
      <c r="J18" s="1424" cm="1">
        <f t="array" ref="J18">SUM(IF(ISNUMBER(B18:I18), B18:I18, 0))</f>
        <v>0.8</v>
      </c>
      <c r="K18" s="1416"/>
      <c r="L18" s="1427" t="s">
        <v>26</v>
      </c>
      <c r="M18" s="1408"/>
      <c r="N18" s="1408"/>
      <c r="O18" s="1408"/>
      <c r="P18" s="1408"/>
      <c r="Q18" s="1408"/>
      <c r="R18" s="1408"/>
      <c r="S18" s="1408"/>
      <c r="T18" s="1408"/>
      <c r="U18" s="1408"/>
      <c r="V18" s="1408"/>
      <c r="W18" s="1408"/>
      <c r="X18" s="1408"/>
      <c r="Y18" s="1408"/>
      <c r="Z18" s="1408"/>
      <c r="AA18" s="1408"/>
      <c r="AB18" s="1408"/>
      <c r="AC18" s="1408"/>
      <c r="AD18" s="1408"/>
      <c r="AE18" s="1408"/>
      <c r="AF18" s="1408"/>
    </row>
    <row r="19" spans="1:32" ht="23.25" customHeight="1">
      <c r="A19" s="1408"/>
      <c r="B19" s="1408"/>
      <c r="C19" s="179" t="s">
        <v>421</v>
      </c>
      <c r="D19" s="180" t="s">
        <v>422</v>
      </c>
      <c r="E19" s="168" t="s">
        <v>423</v>
      </c>
      <c r="F19" s="150" t="s">
        <v>424</v>
      </c>
      <c r="G19" s="498" t="s">
        <v>425</v>
      </c>
      <c r="H19" s="499" t="s">
        <v>426</v>
      </c>
      <c r="I19" s="177" t="s">
        <v>427</v>
      </c>
      <c r="J19" s="1424">
        <v>24.83</v>
      </c>
      <c r="K19" s="1416"/>
      <c r="L19" s="1423" t="s">
        <v>28</v>
      </c>
      <c r="M19" s="1408"/>
      <c r="N19" s="1408"/>
      <c r="O19" s="1408"/>
      <c r="P19" s="1408"/>
      <c r="Q19" s="1408"/>
      <c r="R19" s="1408"/>
      <c r="S19" s="1408"/>
      <c r="T19" s="1408"/>
      <c r="U19" s="1408"/>
      <c r="V19" s="1408"/>
      <c r="W19" s="1408"/>
      <c r="X19" s="1408"/>
      <c r="Y19" s="1408"/>
      <c r="Z19" s="1408"/>
      <c r="AA19" s="1408"/>
      <c r="AB19" s="1408"/>
      <c r="AC19" s="1408"/>
      <c r="AD19" s="1408"/>
      <c r="AE19" s="1408"/>
      <c r="AF19" s="1408"/>
    </row>
    <row r="20" spans="1:32" ht="23.25" customHeight="1">
      <c r="A20" s="1408"/>
      <c r="B20" s="1408"/>
      <c r="C20" s="500">
        <v>9</v>
      </c>
      <c r="D20" s="500">
        <v>10</v>
      </c>
      <c r="E20" s="501">
        <v>11</v>
      </c>
      <c r="F20" s="502">
        <v>12</v>
      </c>
      <c r="G20" s="503">
        <v>13</v>
      </c>
      <c r="H20" s="503">
        <v>14</v>
      </c>
      <c r="I20" s="504">
        <v>15</v>
      </c>
      <c r="J20" s="1425"/>
      <c r="K20" s="1416"/>
      <c r="L20" s="1426"/>
      <c r="M20" s="1408"/>
      <c r="N20" s="1408"/>
      <c r="O20" s="1408"/>
      <c r="P20" s="1408"/>
      <c r="Q20" s="1408"/>
      <c r="R20" s="1408"/>
      <c r="S20" s="1408"/>
      <c r="T20" s="1408"/>
      <c r="U20" s="1408"/>
      <c r="V20" s="1408"/>
      <c r="W20" s="1408"/>
      <c r="X20" s="1408"/>
      <c r="Y20" s="1408"/>
      <c r="Z20" s="1408"/>
      <c r="AA20" s="1408"/>
      <c r="AB20" s="1408"/>
      <c r="AC20" s="1408"/>
      <c r="AD20" s="1408"/>
      <c r="AE20" s="1408"/>
      <c r="AF20" s="1408"/>
    </row>
    <row r="21" spans="1:32" ht="23.25" customHeight="1">
      <c r="A21" s="1408"/>
      <c r="B21" s="1408"/>
      <c r="C21" s="253" t="s">
        <v>386</v>
      </c>
      <c r="D21" s="1428"/>
      <c r="E21" s="1428"/>
      <c r="F21" s="1428"/>
      <c r="G21" s="1428"/>
      <c r="H21" s="1429"/>
      <c r="I21" s="1430"/>
      <c r="J21" s="1425"/>
      <c r="K21" s="1416"/>
      <c r="L21" s="1426"/>
      <c r="M21" s="1408"/>
      <c r="N21" s="1408"/>
      <c r="O21" s="1408"/>
      <c r="P21" s="1408"/>
      <c r="Q21" s="1408"/>
      <c r="R21" s="1408"/>
      <c r="S21" s="1408"/>
      <c r="T21" s="1408"/>
      <c r="U21" s="1408"/>
      <c r="V21" s="1408"/>
      <c r="W21" s="1408"/>
      <c r="X21" s="1408"/>
      <c r="Y21" s="1408"/>
      <c r="Z21" s="1408"/>
      <c r="AA21" s="1408"/>
      <c r="AB21" s="1408"/>
      <c r="AC21" s="1408"/>
      <c r="AD21" s="1408"/>
      <c r="AE21" s="1408"/>
      <c r="AF21" s="1408"/>
    </row>
    <row r="22" spans="1:32" ht="23.25" customHeight="1">
      <c r="A22" s="1408"/>
      <c r="B22" s="1408"/>
      <c r="C22" s="162">
        <v>0.83</v>
      </c>
      <c r="D22" s="123">
        <v>0.9</v>
      </c>
      <c r="E22" s="123">
        <v>0.95</v>
      </c>
      <c r="F22" s="123">
        <v>0.98</v>
      </c>
      <c r="G22" s="487">
        <v>1</v>
      </c>
      <c r="H22" s="488">
        <v>1</v>
      </c>
      <c r="I22" s="163">
        <v>0.97</v>
      </c>
      <c r="J22" s="1416"/>
      <c r="K22" s="1416"/>
      <c r="L22" s="1426"/>
      <c r="M22" s="1408"/>
      <c r="N22" s="1408"/>
      <c r="O22" s="1408"/>
      <c r="P22" s="1408"/>
      <c r="Q22" s="1408"/>
      <c r="R22" s="1408"/>
      <c r="S22" s="1408"/>
      <c r="T22" s="1408"/>
      <c r="U22" s="1408"/>
      <c r="V22" s="1408"/>
      <c r="W22" s="1408"/>
      <c r="X22" s="1408"/>
      <c r="Y22" s="1408"/>
      <c r="Z22" s="1408"/>
      <c r="AA22" s="1408"/>
      <c r="AB22" s="1408"/>
      <c r="AC22" s="1408"/>
      <c r="AD22" s="1408"/>
      <c r="AE22" s="1408"/>
      <c r="AF22" s="1408"/>
    </row>
    <row r="23" spans="1:32" ht="23.25" customHeight="1">
      <c r="A23" s="1408"/>
      <c r="B23" s="1408"/>
      <c r="C23" s="253" t="s">
        <v>62</v>
      </c>
      <c r="D23" s="1428"/>
      <c r="E23" s="1428"/>
      <c r="F23" s="1428"/>
      <c r="G23" s="1428"/>
      <c r="H23" s="1428"/>
      <c r="I23" s="1430"/>
      <c r="J23" s="1431" t="s">
        <v>30</v>
      </c>
      <c r="K23" s="1416"/>
      <c r="L23" s="1426"/>
      <c r="M23" s="1408"/>
      <c r="N23" s="1408"/>
      <c r="O23" s="1408"/>
      <c r="P23" s="1408"/>
      <c r="Q23" s="1408"/>
      <c r="R23" s="1408"/>
      <c r="S23" s="1408"/>
      <c r="T23" s="1408"/>
      <c r="U23" s="1408"/>
      <c r="V23" s="1408"/>
      <c r="W23" s="1408"/>
      <c r="X23" s="1408"/>
      <c r="Y23" s="1408"/>
      <c r="Z23" s="1408"/>
      <c r="AA23" s="1408"/>
      <c r="AB23" s="1408"/>
      <c r="AC23" s="1408"/>
      <c r="AD23" s="1408"/>
      <c r="AE23" s="1408"/>
      <c r="AF23" s="1408"/>
    </row>
    <row r="24" spans="1:32" ht="23.25" customHeight="1">
      <c r="A24" s="1408"/>
      <c r="B24" s="1408"/>
      <c r="C24" s="166" t="s">
        <v>420</v>
      </c>
      <c r="D24" s="138"/>
      <c r="E24" s="125"/>
      <c r="F24" s="125"/>
      <c r="G24" s="125"/>
      <c r="H24" s="124"/>
      <c r="I24" s="238"/>
      <c r="J24" s="1432" cm="1">
        <f t="array" ref="J24">SUM(IF(ISNUMBER(B24:I24), B24:I24, 0))</f>
        <v>0</v>
      </c>
      <c r="K24" s="1416"/>
      <c r="L24" s="1427" t="s">
        <v>22</v>
      </c>
      <c r="M24" s="1408"/>
      <c r="N24" s="1408"/>
      <c r="O24" s="1408"/>
      <c r="P24" s="1408"/>
      <c r="Q24" s="1408"/>
      <c r="R24" s="1408"/>
      <c r="S24" s="1408"/>
      <c r="T24" s="1408"/>
      <c r="U24" s="1408"/>
      <c r="V24" s="1408"/>
      <c r="W24" s="1408"/>
      <c r="X24" s="1408"/>
      <c r="Y24" s="1408"/>
      <c r="Z24" s="1408"/>
      <c r="AA24" s="1408"/>
      <c r="AB24" s="1408"/>
      <c r="AC24" s="1408"/>
      <c r="AD24" s="1408"/>
      <c r="AE24" s="1408"/>
      <c r="AF24" s="1408"/>
    </row>
    <row r="25" spans="1:32" ht="23.25" customHeight="1">
      <c r="A25" s="1408"/>
      <c r="B25" s="1408"/>
      <c r="C25" s="166">
        <v>0</v>
      </c>
      <c r="D25" s="138"/>
      <c r="E25" s="125"/>
      <c r="F25" s="125"/>
      <c r="G25" s="125"/>
      <c r="H25" s="124"/>
      <c r="I25" s="238"/>
      <c r="J25" s="1432" cm="1">
        <f t="array" ref="J25">SUM(IF(ISNUMBER(B25:I25), B25:I25, 0))</f>
        <v>0</v>
      </c>
      <c r="K25" s="1416"/>
      <c r="L25" s="1427" t="s">
        <v>24</v>
      </c>
      <c r="M25" s="1408"/>
      <c r="N25" s="1408"/>
      <c r="O25" s="1408"/>
      <c r="P25" s="1408"/>
      <c r="Q25" s="1408"/>
      <c r="R25" s="1408"/>
      <c r="S25" s="1408"/>
      <c r="T25" s="1408"/>
      <c r="U25" s="1408"/>
      <c r="V25" s="1408"/>
      <c r="W25" s="1408"/>
      <c r="X25" s="1408"/>
      <c r="Y25" s="1408"/>
      <c r="Z25" s="1408"/>
      <c r="AA25" s="1408"/>
      <c r="AB25" s="1408"/>
      <c r="AC25" s="1408"/>
      <c r="AD25" s="1408"/>
      <c r="AE25" s="1408"/>
      <c r="AF25" s="1408"/>
    </row>
    <row r="26" spans="1:32" ht="23.25" customHeight="1">
      <c r="A26" s="1408"/>
      <c r="B26" s="1408"/>
      <c r="C26" s="166">
        <v>0</v>
      </c>
      <c r="D26" s="124"/>
      <c r="E26" s="124"/>
      <c r="F26" s="124"/>
      <c r="G26" s="124"/>
      <c r="H26" s="124"/>
      <c r="I26" s="238"/>
      <c r="J26" s="1433" cm="1">
        <f t="array" ref="J26">SUM(IF(ISNUMBER(B26:I26), B26:I26, 0))</f>
        <v>0</v>
      </c>
      <c r="K26" s="1416"/>
      <c r="L26" s="1427" t="s">
        <v>26</v>
      </c>
      <c r="M26" s="1408"/>
      <c r="N26" s="1408"/>
      <c r="O26" s="1408"/>
      <c r="P26" s="1408"/>
      <c r="Q26" s="1408"/>
      <c r="R26" s="1408"/>
      <c r="S26" s="1408"/>
      <c r="T26" s="1408"/>
      <c r="U26" s="1408"/>
      <c r="V26" s="1408"/>
      <c r="W26" s="1408"/>
      <c r="X26" s="1408"/>
      <c r="Y26" s="1408"/>
      <c r="Z26" s="1408"/>
      <c r="AA26" s="1408"/>
      <c r="AB26" s="1408"/>
      <c r="AC26" s="1408"/>
      <c r="AD26" s="1408"/>
      <c r="AE26" s="1408"/>
      <c r="AF26" s="1408"/>
    </row>
    <row r="27" spans="1:32" ht="23.25" customHeight="1">
      <c r="A27" s="1408"/>
      <c r="B27" s="1408"/>
      <c r="C27" s="234" t="s">
        <v>428</v>
      </c>
      <c r="D27" s="168" t="s">
        <v>429</v>
      </c>
      <c r="E27" s="168" t="s">
        <v>430</v>
      </c>
      <c r="F27" s="170" t="s">
        <v>431</v>
      </c>
      <c r="G27" s="168" t="s">
        <v>432</v>
      </c>
      <c r="H27" s="168" t="s">
        <v>433</v>
      </c>
      <c r="I27" s="171" t="s">
        <v>434</v>
      </c>
      <c r="J27" s="1424">
        <v>1.72</v>
      </c>
      <c r="K27" s="1416"/>
      <c r="L27" s="1423" t="s">
        <v>28</v>
      </c>
      <c r="M27" s="1408"/>
      <c r="N27" s="1408"/>
      <c r="O27" s="1408"/>
      <c r="P27" s="1408"/>
      <c r="Q27" s="1408"/>
      <c r="R27" s="1408"/>
      <c r="S27" s="1408"/>
      <c r="T27" s="1408"/>
      <c r="U27" s="1408"/>
      <c r="V27" s="1408"/>
      <c r="W27" s="1408"/>
      <c r="X27" s="1408"/>
      <c r="Y27" s="1408"/>
      <c r="Z27" s="1408"/>
      <c r="AA27" s="1408"/>
      <c r="AB27" s="1408"/>
      <c r="AC27" s="1408"/>
      <c r="AD27" s="1408"/>
      <c r="AE27" s="1408"/>
      <c r="AF27" s="1408"/>
    </row>
    <row r="28" spans="1:32" ht="23.25" customHeight="1">
      <c r="A28" s="1408"/>
      <c r="B28" s="1408"/>
      <c r="C28" s="182">
        <v>16</v>
      </c>
      <c r="D28" s="182">
        <v>17</v>
      </c>
      <c r="E28" s="182">
        <v>18</v>
      </c>
      <c r="F28" s="182">
        <v>19</v>
      </c>
      <c r="G28" s="182">
        <v>20</v>
      </c>
      <c r="H28" s="182">
        <v>21</v>
      </c>
      <c r="I28" s="182">
        <v>22</v>
      </c>
      <c r="J28" s="1434"/>
      <c r="K28" s="1416"/>
      <c r="L28" s="1426"/>
      <c r="M28" s="1408"/>
      <c r="N28" s="1408"/>
      <c r="O28" s="1408"/>
      <c r="P28" s="1408"/>
      <c r="Q28" s="1408"/>
      <c r="R28" s="1408"/>
      <c r="S28" s="1408"/>
      <c r="T28" s="1408"/>
      <c r="U28" s="1408"/>
      <c r="V28" s="1408"/>
      <c r="W28" s="1408"/>
      <c r="X28" s="1408"/>
      <c r="Y28" s="1408"/>
      <c r="Z28" s="1408"/>
      <c r="AA28" s="1408"/>
      <c r="AB28" s="1408"/>
      <c r="AC28" s="1408"/>
      <c r="AD28" s="1408"/>
      <c r="AE28" s="1408"/>
      <c r="AF28" s="1408"/>
    </row>
    <row r="29" spans="1:32" ht="23.25" customHeight="1">
      <c r="A29" s="1408"/>
      <c r="B29" s="1408"/>
      <c r="C29" s="1435"/>
      <c r="D29" s="186" t="s">
        <v>50</v>
      </c>
      <c r="E29" s="485" t="s">
        <v>386</v>
      </c>
      <c r="F29" s="221" t="s">
        <v>42</v>
      </c>
      <c r="G29" s="186" t="s">
        <v>417</v>
      </c>
      <c r="H29" s="186" t="s">
        <v>207</v>
      </c>
      <c r="I29" s="161" t="s">
        <v>386</v>
      </c>
      <c r="J29" s="1425"/>
      <c r="K29" s="1416"/>
      <c r="L29" s="1426"/>
      <c r="M29" s="1408"/>
      <c r="N29" s="1408"/>
      <c r="O29" s="1408"/>
      <c r="P29" s="1408"/>
      <c r="Q29" s="1408"/>
      <c r="R29" s="1408"/>
      <c r="S29" s="1408"/>
      <c r="T29" s="1408"/>
      <c r="U29" s="1408"/>
      <c r="V29" s="1408"/>
      <c r="W29" s="1408"/>
      <c r="X29" s="1408"/>
      <c r="Y29" s="1408"/>
      <c r="Z29" s="1408"/>
      <c r="AA29" s="1408"/>
      <c r="AB29" s="1408"/>
      <c r="AC29" s="1408"/>
      <c r="AD29" s="1408"/>
      <c r="AE29" s="1408"/>
      <c r="AF29" s="1408"/>
    </row>
    <row r="30" spans="1:32" ht="23.25" customHeight="1">
      <c r="A30" s="1408"/>
      <c r="B30" s="1408"/>
      <c r="C30" s="162">
        <v>0.93</v>
      </c>
      <c r="D30" s="123">
        <v>0.88</v>
      </c>
      <c r="E30" s="123">
        <v>0.81</v>
      </c>
      <c r="F30" s="123">
        <v>0.73</v>
      </c>
      <c r="G30" s="123">
        <v>0.65</v>
      </c>
      <c r="H30" s="123">
        <v>0.55000000000000004</v>
      </c>
      <c r="I30" s="163">
        <v>0.45</v>
      </c>
      <c r="J30" s="1416"/>
      <c r="K30" s="1416"/>
      <c r="L30" s="1426"/>
      <c r="M30" s="1408"/>
      <c r="N30" s="1408"/>
      <c r="O30" s="1408"/>
      <c r="P30" s="1408"/>
      <c r="Q30" s="1408"/>
      <c r="R30" s="1408"/>
      <c r="S30" s="1408"/>
      <c r="T30" s="1408"/>
      <c r="U30" s="1408"/>
      <c r="V30" s="1408"/>
      <c r="W30" s="1408"/>
      <c r="X30" s="1408"/>
      <c r="Y30" s="1408"/>
      <c r="Z30" s="1408"/>
      <c r="AA30" s="1408"/>
      <c r="AB30" s="1408"/>
      <c r="AC30" s="1408"/>
      <c r="AD30" s="1408"/>
      <c r="AE30" s="1408"/>
      <c r="AF30" s="1408"/>
    </row>
    <row r="31" spans="1:32" ht="23.25" customHeight="1">
      <c r="A31" s="1408"/>
      <c r="B31" s="1408"/>
      <c r="C31" s="1436"/>
      <c r="D31" s="218" t="s">
        <v>42</v>
      </c>
      <c r="E31" s="218" t="s">
        <v>42</v>
      </c>
      <c r="F31" s="122" t="s">
        <v>108</v>
      </c>
      <c r="G31" s="122" t="s">
        <v>253</v>
      </c>
      <c r="H31" s="122" t="s">
        <v>42</v>
      </c>
      <c r="I31" s="165" t="s">
        <v>42</v>
      </c>
      <c r="J31" s="1431" t="s">
        <v>31</v>
      </c>
      <c r="K31" s="1416"/>
      <c r="L31" s="1426"/>
      <c r="M31" s="1408"/>
      <c r="N31" s="1408"/>
      <c r="O31" s="1408"/>
      <c r="P31" s="1408"/>
      <c r="Q31" s="1408"/>
      <c r="R31" s="1408"/>
      <c r="S31" s="1408"/>
      <c r="T31" s="1408"/>
      <c r="U31" s="1408"/>
      <c r="V31" s="1408"/>
      <c r="W31" s="1408"/>
      <c r="X31" s="1408"/>
      <c r="Y31" s="1408"/>
      <c r="Z31" s="1408"/>
      <c r="AA31" s="1408"/>
      <c r="AB31" s="1408"/>
      <c r="AC31" s="1408"/>
      <c r="AD31" s="1408"/>
      <c r="AE31" s="1408"/>
      <c r="AF31" s="1408"/>
    </row>
    <row r="32" spans="1:32" ht="23.25" customHeight="1">
      <c r="A32" s="1408"/>
      <c r="B32" s="1408"/>
      <c r="C32" s="166"/>
      <c r="D32" s="125" t="s">
        <v>419</v>
      </c>
      <c r="E32" s="125" t="s">
        <v>419</v>
      </c>
      <c r="F32" s="125">
        <v>0.67</v>
      </c>
      <c r="G32" s="125">
        <v>1.4</v>
      </c>
      <c r="H32" s="125" t="s">
        <v>419</v>
      </c>
      <c r="I32" s="246" t="s">
        <v>419</v>
      </c>
      <c r="J32" s="1432" cm="1">
        <f t="array" ref="J32">SUM(IF(ISNUMBER(B32:I32), B32:I32, 0))</f>
        <v>2.0699999999999998</v>
      </c>
      <c r="K32" s="1416"/>
      <c r="L32" s="1427" t="s">
        <v>22</v>
      </c>
      <c r="M32" s="1408"/>
      <c r="N32" s="1408"/>
      <c r="O32" s="1408"/>
      <c r="P32" s="1408"/>
      <c r="Q32" s="1408"/>
      <c r="R32" s="1408"/>
      <c r="S32" s="1408"/>
      <c r="T32" s="1408"/>
      <c r="U32" s="1408"/>
      <c r="V32" s="1408"/>
      <c r="W32" s="1408"/>
      <c r="X32" s="1408"/>
      <c r="Y32" s="1408"/>
      <c r="Z32" s="1408"/>
      <c r="AA32" s="1408"/>
      <c r="AB32" s="1408"/>
      <c r="AC32" s="1408"/>
      <c r="AD32" s="1408"/>
      <c r="AE32" s="1408"/>
      <c r="AF32" s="1408"/>
    </row>
    <row r="33" spans="1:32" ht="23.25" customHeight="1">
      <c r="A33" s="1408"/>
      <c r="B33" s="1408"/>
      <c r="C33" s="166"/>
      <c r="D33" s="125"/>
      <c r="E33" s="125"/>
      <c r="F33" s="125">
        <v>0</v>
      </c>
      <c r="G33" s="155">
        <v>0</v>
      </c>
      <c r="H33" s="125">
        <v>0</v>
      </c>
      <c r="I33" s="246">
        <v>0</v>
      </c>
      <c r="J33" s="1432" cm="1">
        <f t="array" ref="J33">SUM(IF(ISNUMBER(B33:I33), B33:I33, 0))</f>
        <v>0</v>
      </c>
      <c r="K33" s="1416"/>
      <c r="L33" s="1427" t="s">
        <v>24</v>
      </c>
      <c r="M33" s="1408"/>
      <c r="N33" s="1408"/>
      <c r="O33" s="1408"/>
      <c r="P33" s="1408"/>
      <c r="Q33" s="1408"/>
      <c r="R33" s="1408"/>
      <c r="S33" s="1408"/>
      <c r="T33" s="1408"/>
      <c r="U33" s="1408"/>
      <c r="V33" s="1408"/>
      <c r="W33" s="1408"/>
      <c r="X33" s="1408"/>
      <c r="Y33" s="1408"/>
      <c r="Z33" s="1408"/>
      <c r="AA33" s="1408"/>
      <c r="AB33" s="1408"/>
      <c r="AC33" s="1408"/>
      <c r="AD33" s="1408"/>
      <c r="AE33" s="1408"/>
      <c r="AF33" s="1408"/>
    </row>
    <row r="34" spans="1:32" ht="23.25" customHeight="1">
      <c r="A34" s="1408"/>
      <c r="B34" s="1408"/>
      <c r="C34" s="166"/>
      <c r="D34" s="125"/>
      <c r="E34" s="125"/>
      <c r="F34" s="125">
        <v>0.3</v>
      </c>
      <c r="G34" s="155">
        <v>0</v>
      </c>
      <c r="H34" s="125">
        <v>0</v>
      </c>
      <c r="I34" s="246">
        <v>0</v>
      </c>
      <c r="J34" s="1433" cm="1">
        <f t="array" ref="J34">SUM(IF(ISNUMBER(B34:I34), B34:I34, 0))</f>
        <v>0.3</v>
      </c>
      <c r="K34" s="1416"/>
      <c r="L34" s="1427" t="s">
        <v>26</v>
      </c>
      <c r="M34" s="1408"/>
      <c r="N34" s="1408"/>
      <c r="O34" s="1408"/>
      <c r="P34" s="1408"/>
      <c r="Q34" s="1408"/>
      <c r="R34" s="1408"/>
      <c r="S34" s="1408"/>
      <c r="T34" s="1408"/>
      <c r="U34" s="1408"/>
      <c r="V34" s="1408"/>
      <c r="W34" s="1408"/>
      <c r="X34" s="1408"/>
      <c r="Y34" s="1408"/>
      <c r="Z34" s="1408"/>
      <c r="AA34" s="1408"/>
      <c r="AB34" s="1408"/>
      <c r="AC34" s="1408"/>
      <c r="AD34" s="1408"/>
      <c r="AE34" s="1408"/>
      <c r="AF34" s="1408"/>
    </row>
    <row r="35" spans="1:32" ht="23.25" customHeight="1">
      <c r="A35" s="1408"/>
      <c r="B35" s="1408"/>
      <c r="C35" s="179" t="s">
        <v>435</v>
      </c>
      <c r="D35" s="168" t="s">
        <v>436</v>
      </c>
      <c r="E35" s="168" t="s">
        <v>437</v>
      </c>
      <c r="F35" s="168" t="s">
        <v>438</v>
      </c>
      <c r="G35" s="168" t="s">
        <v>439</v>
      </c>
      <c r="H35" s="168" t="s">
        <v>440</v>
      </c>
      <c r="I35" s="235" t="s">
        <v>441</v>
      </c>
      <c r="J35" s="1424">
        <v>50.28</v>
      </c>
      <c r="K35" s="1416"/>
      <c r="L35" s="1423" t="s">
        <v>28</v>
      </c>
      <c r="M35" s="1408"/>
      <c r="N35" s="1408"/>
      <c r="O35" s="1408"/>
      <c r="P35" s="1408"/>
      <c r="Q35" s="1408"/>
      <c r="R35" s="1408"/>
      <c r="S35" s="1408"/>
      <c r="T35" s="1408"/>
      <c r="U35" s="1408"/>
      <c r="V35" s="1408"/>
      <c r="W35" s="1408"/>
      <c r="X35" s="1408"/>
      <c r="Y35" s="1408"/>
      <c r="Z35" s="1408"/>
      <c r="AA35" s="1408"/>
      <c r="AB35" s="1408"/>
      <c r="AC35" s="1408"/>
      <c r="AD35" s="1408"/>
      <c r="AE35" s="1408"/>
      <c r="AF35" s="1408"/>
    </row>
    <row r="36" spans="1:32" ht="23.25" customHeight="1">
      <c r="A36" s="1408"/>
      <c r="B36" s="1408"/>
      <c r="C36" s="182">
        <v>23</v>
      </c>
      <c r="D36" s="182">
        <v>24</v>
      </c>
      <c r="E36" s="182">
        <v>25</v>
      </c>
      <c r="F36" s="182">
        <v>26</v>
      </c>
      <c r="G36" s="182">
        <v>27</v>
      </c>
      <c r="H36" s="182">
        <v>28</v>
      </c>
      <c r="I36" s="182">
        <v>29</v>
      </c>
      <c r="J36" s="1434"/>
      <c r="K36" s="1416"/>
      <c r="L36" s="1426"/>
      <c r="M36" s="1408"/>
      <c r="N36" s="1408"/>
      <c r="O36" s="1408"/>
      <c r="P36" s="1408"/>
      <c r="Q36" s="1408"/>
      <c r="R36" s="1408"/>
      <c r="S36" s="1408"/>
      <c r="T36" s="1408"/>
      <c r="U36" s="1408"/>
      <c r="V36" s="1408"/>
      <c r="W36" s="1408"/>
      <c r="X36" s="1408"/>
      <c r="Y36" s="1408"/>
      <c r="Z36" s="1408"/>
      <c r="AA36" s="1408"/>
      <c r="AB36" s="1408"/>
      <c r="AC36" s="1408"/>
      <c r="AD36" s="1408"/>
      <c r="AE36" s="1408"/>
      <c r="AF36" s="1408"/>
    </row>
    <row r="37" spans="1:32" ht="23.25" customHeight="1">
      <c r="A37" s="1408"/>
      <c r="B37" s="1408"/>
      <c r="C37" s="231" t="s">
        <v>62</v>
      </c>
      <c r="D37" s="160" t="s">
        <v>50</v>
      </c>
      <c r="E37" s="160" t="s">
        <v>324</v>
      </c>
      <c r="F37" s="160" t="s">
        <v>50</v>
      </c>
      <c r="G37" s="160" t="s">
        <v>50</v>
      </c>
      <c r="H37" s="160" t="s">
        <v>417</v>
      </c>
      <c r="I37" s="161" t="s">
        <v>379</v>
      </c>
      <c r="J37" s="1425"/>
      <c r="K37" s="1416"/>
      <c r="L37" s="1426"/>
      <c r="M37" s="1408"/>
      <c r="N37" s="1408"/>
      <c r="O37" s="1408"/>
      <c r="P37" s="1408"/>
      <c r="Q37" s="1408"/>
      <c r="R37" s="1408"/>
      <c r="S37" s="1408"/>
      <c r="T37" s="1408"/>
      <c r="U37" s="1408"/>
      <c r="V37" s="1408"/>
      <c r="W37" s="1408"/>
      <c r="X37" s="1408"/>
      <c r="Y37" s="1408"/>
      <c r="Z37" s="1408"/>
      <c r="AA37" s="1408"/>
      <c r="AB37" s="1408"/>
      <c r="AC37" s="1408"/>
      <c r="AD37" s="1408"/>
      <c r="AE37" s="1408"/>
      <c r="AF37" s="1408"/>
    </row>
    <row r="38" spans="1:32" ht="23.25" customHeight="1">
      <c r="A38" s="1408"/>
      <c r="B38" s="1408"/>
      <c r="C38" s="162">
        <v>0.35</v>
      </c>
      <c r="D38" s="123">
        <v>0.25</v>
      </c>
      <c r="E38" s="123">
        <v>0.16</v>
      </c>
      <c r="F38" s="123">
        <v>0.08</v>
      </c>
      <c r="G38" s="123">
        <v>0.03</v>
      </c>
      <c r="H38" s="123">
        <v>0</v>
      </c>
      <c r="I38" s="163">
        <v>0</v>
      </c>
      <c r="J38" s="1416"/>
      <c r="K38" s="1416"/>
      <c r="L38" s="1426"/>
      <c r="M38" s="1408"/>
      <c r="N38" s="1408"/>
      <c r="O38" s="1408"/>
      <c r="P38" s="1408"/>
      <c r="Q38" s="1408"/>
      <c r="R38" s="1408"/>
      <c r="S38" s="1408"/>
      <c r="T38" s="1408"/>
      <c r="U38" s="1408"/>
      <c r="V38" s="1408"/>
      <c r="W38" s="1408"/>
      <c r="X38" s="1408"/>
      <c r="Y38" s="1408"/>
      <c r="Z38" s="1408"/>
      <c r="AA38" s="1408"/>
      <c r="AB38" s="1408"/>
      <c r="AC38" s="1408"/>
      <c r="AD38" s="1408"/>
      <c r="AE38" s="1408"/>
      <c r="AF38" s="1408"/>
    </row>
    <row r="39" spans="1:32" ht="23.25" customHeight="1">
      <c r="A39" s="1408"/>
      <c r="B39" s="1408"/>
      <c r="C39" s="164" t="s">
        <v>108</v>
      </c>
      <c r="D39" s="122" t="s">
        <v>340</v>
      </c>
      <c r="E39" s="122" t="s">
        <v>62</v>
      </c>
      <c r="F39" s="122" t="s">
        <v>253</v>
      </c>
      <c r="G39" s="122" t="s">
        <v>42</v>
      </c>
      <c r="H39" s="122" t="s">
        <v>340</v>
      </c>
      <c r="I39" s="158" t="s">
        <v>340</v>
      </c>
      <c r="J39" s="1420" t="s">
        <v>32</v>
      </c>
      <c r="K39" s="1416"/>
      <c r="L39" s="1426"/>
      <c r="M39" s="1408"/>
      <c r="N39" s="1408"/>
      <c r="O39" s="1408"/>
      <c r="P39" s="1408"/>
      <c r="Q39" s="1408"/>
      <c r="R39" s="1408"/>
      <c r="S39" s="1408"/>
      <c r="T39" s="1408"/>
      <c r="U39" s="1408"/>
      <c r="V39" s="1408"/>
      <c r="W39" s="1408"/>
      <c r="X39" s="1408"/>
      <c r="Y39" s="1408"/>
      <c r="Z39" s="1408"/>
      <c r="AA39" s="1408"/>
      <c r="AB39" s="1408"/>
      <c r="AC39" s="1408"/>
      <c r="AD39" s="1408"/>
      <c r="AE39" s="1408"/>
      <c r="AF39" s="1408"/>
    </row>
    <row r="40" spans="1:32" ht="23.25" customHeight="1">
      <c r="A40" s="1408"/>
      <c r="B40" s="1408"/>
      <c r="C40" s="178">
        <v>2.2999999999999998</v>
      </c>
      <c r="D40" s="124">
        <v>8.6999999999999993</v>
      </c>
      <c r="E40" s="124">
        <v>8.5</v>
      </c>
      <c r="F40" s="124">
        <v>8.6199999999999992</v>
      </c>
      <c r="G40" s="124">
        <v>8.5</v>
      </c>
      <c r="H40" s="124">
        <v>1.3</v>
      </c>
      <c r="I40" s="203">
        <v>8.5</v>
      </c>
      <c r="J40" s="1422" cm="1">
        <f t="array" ref="J40">SUM(IF(ISNUMBER(B40:I40), B40:I40, 0))</f>
        <v>46.419999999999995</v>
      </c>
      <c r="K40" s="1416"/>
      <c r="L40" s="1427" t="s">
        <v>22</v>
      </c>
      <c r="M40" s="1408"/>
      <c r="N40" s="1408"/>
      <c r="O40" s="1408"/>
      <c r="P40" s="1408"/>
      <c r="Q40" s="1408"/>
      <c r="R40" s="1408"/>
      <c r="S40" s="1408"/>
      <c r="T40" s="1408"/>
      <c r="U40" s="1408"/>
      <c r="V40" s="1408"/>
      <c r="W40" s="1408"/>
      <c r="X40" s="1408"/>
      <c r="Y40" s="1408"/>
      <c r="Z40" s="1408"/>
      <c r="AA40" s="1408"/>
      <c r="AB40" s="1408"/>
      <c r="AC40" s="1408"/>
      <c r="AD40" s="1408"/>
      <c r="AE40" s="1408"/>
      <c r="AF40" s="1408"/>
    </row>
    <row r="41" spans="1:32" ht="23.25" customHeight="1">
      <c r="A41" s="1408"/>
      <c r="B41" s="1408"/>
      <c r="C41" s="166">
        <v>0</v>
      </c>
      <c r="D41" s="125">
        <v>0.8</v>
      </c>
      <c r="E41" s="125">
        <v>0.8</v>
      </c>
      <c r="F41" s="125">
        <v>0.8</v>
      </c>
      <c r="G41" s="125">
        <v>0.8</v>
      </c>
      <c r="H41" s="125">
        <v>0</v>
      </c>
      <c r="I41" s="155">
        <v>0.6</v>
      </c>
      <c r="J41" s="1422" cm="1">
        <f t="array" ref="J41">SUM(IF(ISNUMBER(B41:I41), B41:I41, 0))</f>
        <v>3.8000000000000003</v>
      </c>
      <c r="K41" s="1416"/>
      <c r="L41" s="1427" t="s">
        <v>24</v>
      </c>
      <c r="M41" s="1408"/>
      <c r="N41" s="1408"/>
      <c r="O41" s="1408"/>
      <c r="P41" s="1408"/>
      <c r="Q41" s="1408"/>
      <c r="R41" s="1408"/>
      <c r="S41" s="1408"/>
      <c r="T41" s="1408"/>
      <c r="U41" s="1408"/>
      <c r="V41" s="1408"/>
      <c r="W41" s="1408"/>
      <c r="X41" s="1408"/>
      <c r="Y41" s="1408"/>
      <c r="Z41" s="1408"/>
      <c r="AA41" s="1408"/>
      <c r="AB41" s="1408"/>
      <c r="AC41" s="1408"/>
      <c r="AD41" s="1408"/>
      <c r="AE41" s="1408"/>
      <c r="AF41" s="1408"/>
    </row>
    <row r="42" spans="1:32" ht="23.25" customHeight="1">
      <c r="A42" s="1408"/>
      <c r="B42" s="1408"/>
      <c r="C42" s="166">
        <v>0.8</v>
      </c>
      <c r="D42" s="125">
        <v>0.8</v>
      </c>
      <c r="E42" s="125">
        <v>0.8</v>
      </c>
      <c r="F42" s="125">
        <v>0.8</v>
      </c>
      <c r="G42" s="125">
        <v>0.8</v>
      </c>
      <c r="H42" s="125">
        <v>0.2</v>
      </c>
      <c r="I42" s="155">
        <v>0.8</v>
      </c>
      <c r="J42" s="1424" cm="1">
        <f t="array" ref="J42">SUM(IF(ISNUMBER(B42:I42), B42:I42, 0))</f>
        <v>5</v>
      </c>
      <c r="K42" s="1416"/>
      <c r="L42" s="1427" t="s">
        <v>26</v>
      </c>
      <c r="M42" s="1408"/>
      <c r="N42" s="1408"/>
      <c r="O42" s="1408"/>
      <c r="P42" s="1408"/>
      <c r="Q42" s="1408"/>
      <c r="R42" s="1408"/>
      <c r="S42" s="1408"/>
      <c r="T42" s="1408"/>
      <c r="U42" s="1408"/>
      <c r="V42" s="1408"/>
      <c r="W42" s="1408"/>
      <c r="X42" s="1408"/>
      <c r="Y42" s="1408"/>
      <c r="Z42" s="1408"/>
      <c r="AA42" s="1408"/>
      <c r="AB42" s="1408"/>
      <c r="AC42" s="1408"/>
      <c r="AD42" s="1408"/>
      <c r="AE42" s="1408"/>
      <c r="AF42" s="1408"/>
    </row>
    <row r="43" spans="1:32" ht="23.25" customHeight="1">
      <c r="A43" s="1408"/>
      <c r="B43" s="1408"/>
      <c r="C43" s="202" t="s">
        <v>442</v>
      </c>
      <c r="D43" s="150" t="s">
        <v>443</v>
      </c>
      <c r="E43" s="170" t="s">
        <v>444</v>
      </c>
      <c r="F43" s="168" t="s">
        <v>445</v>
      </c>
      <c r="G43" s="168" t="s">
        <v>446</v>
      </c>
      <c r="H43" s="168" t="s">
        <v>447</v>
      </c>
      <c r="I43" s="171" t="s">
        <v>448</v>
      </c>
      <c r="J43" s="1424">
        <v>60.02</v>
      </c>
      <c r="K43" s="1416"/>
      <c r="L43" s="1423" t="s">
        <v>28</v>
      </c>
      <c r="M43" s="1408"/>
      <c r="N43" s="1408"/>
      <c r="O43" s="1408"/>
      <c r="P43" s="1408"/>
      <c r="Q43" s="1408"/>
      <c r="R43" s="1408"/>
      <c r="S43" s="1408"/>
      <c r="T43" s="1408"/>
      <c r="U43" s="1408"/>
      <c r="V43" s="1408"/>
      <c r="W43" s="1408"/>
      <c r="X43" s="1408"/>
      <c r="Y43" s="1408"/>
      <c r="Z43" s="1408"/>
      <c r="AA43" s="1408"/>
      <c r="AB43" s="1408"/>
      <c r="AC43" s="1408"/>
      <c r="AD43" s="1408"/>
      <c r="AE43" s="1408"/>
      <c r="AF43" s="1408"/>
    </row>
    <row r="44" spans="1:32" ht="23.25" customHeight="1">
      <c r="A44" s="1408"/>
      <c r="B44" s="1408"/>
      <c r="C44" s="174">
        <v>30</v>
      </c>
      <c r="D44" s="201">
        <v>31</v>
      </c>
      <c r="E44" s="1434"/>
      <c r="F44" s="1416"/>
      <c r="G44" s="1416"/>
      <c r="H44" s="1416"/>
      <c r="I44" s="1416"/>
      <c r="J44" s="1416"/>
      <c r="K44" s="1416"/>
      <c r="L44" s="1421"/>
      <c r="M44" s="1408"/>
      <c r="N44" s="1408"/>
      <c r="O44" s="1408"/>
      <c r="P44" s="1408"/>
      <c r="Q44" s="1408"/>
      <c r="R44" s="1408"/>
      <c r="S44" s="1408"/>
      <c r="T44" s="1408"/>
      <c r="U44" s="1408"/>
      <c r="V44" s="1408"/>
      <c r="W44" s="1408"/>
      <c r="X44" s="1408"/>
      <c r="Y44" s="1408"/>
      <c r="Z44" s="1408"/>
      <c r="AA44" s="1408"/>
      <c r="AB44" s="1408"/>
      <c r="AC44" s="1408"/>
      <c r="AD44" s="1408"/>
      <c r="AE44" s="1408"/>
      <c r="AF44" s="1408"/>
    </row>
    <row r="45" spans="1:32" ht="23.25" customHeight="1">
      <c r="A45" s="1408"/>
      <c r="B45" s="1408"/>
      <c r="C45" s="253" t="s">
        <v>379</v>
      </c>
      <c r="D45" s="219" t="s">
        <v>324</v>
      </c>
      <c r="E45" s="1425"/>
      <c r="F45" s="1416"/>
      <c r="G45" s="1416"/>
      <c r="H45" s="1416"/>
      <c r="I45" s="1416"/>
      <c r="J45" s="1416"/>
      <c r="K45" s="1416"/>
      <c r="L45" s="1408"/>
      <c r="M45" s="1408"/>
      <c r="N45" s="1408"/>
      <c r="O45" s="1408"/>
      <c r="P45" s="1408"/>
      <c r="Q45" s="1408"/>
      <c r="R45" s="1408"/>
      <c r="S45" s="1408"/>
      <c r="T45" s="1408"/>
      <c r="U45" s="1408"/>
      <c r="V45" s="1408"/>
      <c r="W45" s="1408"/>
      <c r="X45" s="1408"/>
      <c r="Y45" s="1408"/>
      <c r="Z45" s="1408"/>
      <c r="AA45" s="1408"/>
      <c r="AB45" s="1408"/>
      <c r="AC45" s="1408"/>
      <c r="AD45" s="1408"/>
      <c r="AE45" s="1408"/>
      <c r="AF45" s="1408"/>
    </row>
    <row r="46" spans="1:32" ht="23.25" customHeight="1">
      <c r="A46" s="1408"/>
      <c r="B46" s="1408"/>
      <c r="C46" s="196">
        <v>0.04</v>
      </c>
      <c r="D46" s="197">
        <v>0.1</v>
      </c>
      <c r="E46" s="1416"/>
      <c r="F46" s="1416"/>
      <c r="G46" s="1416"/>
      <c r="H46" s="1416"/>
      <c r="I46" s="1416"/>
      <c r="J46" s="1416"/>
      <c r="K46" s="1416"/>
      <c r="L46" s="1408"/>
      <c r="M46" s="1408"/>
      <c r="N46" s="1408"/>
      <c r="O46" s="1408"/>
      <c r="P46" s="1408"/>
      <c r="Q46" s="1408"/>
      <c r="R46" s="1408"/>
      <c r="S46" s="1408"/>
      <c r="T46" s="1408"/>
      <c r="U46" s="1408"/>
      <c r="V46" s="1408"/>
      <c r="W46" s="1408"/>
      <c r="X46" s="1408"/>
      <c r="Y46" s="1408"/>
      <c r="Z46" s="1408"/>
      <c r="AA46" s="1408"/>
      <c r="AB46" s="1408"/>
      <c r="AC46" s="1408"/>
      <c r="AD46" s="1408"/>
      <c r="AE46" s="1408"/>
      <c r="AF46" s="1408"/>
    </row>
    <row r="47" spans="1:32" ht="23.25" customHeight="1">
      <c r="A47" s="1408"/>
      <c r="B47" s="1408"/>
      <c r="C47" s="164" t="s">
        <v>62</v>
      </c>
      <c r="D47" s="219" t="s">
        <v>340</v>
      </c>
      <c r="E47" s="1416"/>
      <c r="G47" s="1416"/>
      <c r="H47" s="1416"/>
      <c r="I47" s="1416"/>
      <c r="J47" s="1420" t="s">
        <v>33</v>
      </c>
      <c r="K47" s="1437"/>
      <c r="L47" s="1408"/>
      <c r="M47" s="1408"/>
      <c r="N47" s="1408"/>
      <c r="O47" s="1408"/>
      <c r="P47" s="1408"/>
      <c r="Q47" s="1408"/>
      <c r="R47" s="1408"/>
      <c r="S47" s="1408"/>
      <c r="T47" s="1408"/>
      <c r="U47" s="1408"/>
      <c r="V47" s="1408"/>
      <c r="W47" s="1408"/>
      <c r="X47" s="1408"/>
      <c r="Y47" s="1408"/>
      <c r="Z47" s="1408"/>
      <c r="AA47" s="1408"/>
      <c r="AB47" s="1408"/>
      <c r="AC47" s="1408"/>
      <c r="AD47" s="1408"/>
      <c r="AE47" s="1408"/>
      <c r="AF47" s="1408"/>
    </row>
    <row r="48" spans="1:32" ht="23.25" customHeight="1">
      <c r="A48" s="1408"/>
      <c r="B48" s="1408"/>
      <c r="C48" s="178">
        <v>7.93</v>
      </c>
      <c r="D48" s="197" t="s">
        <v>380</v>
      </c>
      <c r="E48" s="1416"/>
      <c r="G48" s="1416"/>
      <c r="H48" s="1416"/>
      <c r="I48" s="1416"/>
      <c r="J48" s="1422" cm="1">
        <f t="array" ref="J48">SUM(IF(ISNUMBER(B48:D48), B48:D48, 0))</f>
        <v>7.93</v>
      </c>
      <c r="L48" s="1427" t="s">
        <v>22</v>
      </c>
      <c r="M48" s="1408"/>
      <c r="N48" s="1408"/>
      <c r="O48" s="1408"/>
      <c r="P48" s="1408"/>
      <c r="Q48" s="1408"/>
      <c r="R48" s="1408"/>
      <c r="S48" s="1408"/>
      <c r="T48" s="1408"/>
      <c r="U48" s="1408"/>
      <c r="V48" s="1408"/>
      <c r="W48" s="1408"/>
      <c r="X48" s="1408"/>
      <c r="Y48" s="1408"/>
      <c r="Z48" s="1408"/>
      <c r="AA48" s="1408"/>
      <c r="AB48" s="1408"/>
      <c r="AC48" s="1408"/>
      <c r="AD48" s="1408"/>
      <c r="AE48" s="1408"/>
      <c r="AF48" s="1408"/>
    </row>
    <row r="49" spans="1:32" ht="23.25" customHeight="1">
      <c r="A49" s="1408"/>
      <c r="B49" s="1408"/>
      <c r="C49" s="166">
        <v>0.63</v>
      </c>
      <c r="D49" s="197"/>
      <c r="E49" s="1416"/>
      <c r="G49" s="1416"/>
      <c r="H49" s="1416"/>
      <c r="I49" s="1416"/>
      <c r="J49" s="1422" cm="1">
        <f t="array" ref="J49">SUM(IF(ISNUMBER(B49:D49), B49:D49, 0))</f>
        <v>0.63</v>
      </c>
      <c r="L49" s="1427" t="s">
        <v>24</v>
      </c>
      <c r="M49" s="1408"/>
      <c r="N49" s="1408"/>
      <c r="O49" s="1408"/>
      <c r="P49" s="1408"/>
      <c r="Q49" s="1408"/>
      <c r="R49" s="1408"/>
      <c r="S49" s="1408"/>
      <c r="T49" s="1408"/>
      <c r="U49" s="1408"/>
      <c r="V49" s="1408"/>
      <c r="W49" s="1408"/>
      <c r="X49" s="1408"/>
      <c r="Y49" s="1408"/>
      <c r="Z49" s="1408"/>
      <c r="AA49" s="1408"/>
      <c r="AB49" s="1408"/>
      <c r="AC49" s="1408"/>
      <c r="AD49" s="1408"/>
      <c r="AE49" s="1408"/>
      <c r="AF49" s="1408"/>
    </row>
    <row r="50" spans="1:32" ht="23.25" customHeight="1">
      <c r="A50" s="1408"/>
      <c r="B50" s="1408"/>
      <c r="C50" s="166">
        <v>0.8</v>
      </c>
      <c r="D50" s="197"/>
      <c r="E50" s="1416"/>
      <c r="G50" s="1416"/>
      <c r="H50" s="1416"/>
      <c r="I50" s="1416"/>
      <c r="J50" s="1424" cm="1">
        <f t="array" ref="J50">SUM(IF(ISNUMBER(B50:D50), B50:D50, 0))</f>
        <v>0.8</v>
      </c>
      <c r="L50" s="1427" t="s">
        <v>26</v>
      </c>
      <c r="M50" s="1408"/>
      <c r="N50" s="1408"/>
      <c r="O50" s="1408"/>
      <c r="P50" s="1408"/>
      <c r="Q50" s="1408"/>
      <c r="R50" s="1408"/>
      <c r="S50" s="1408"/>
      <c r="T50" s="1408"/>
      <c r="U50" s="1408"/>
      <c r="V50" s="1408"/>
      <c r="W50" s="1408"/>
      <c r="X50" s="1408"/>
      <c r="Y50" s="1408"/>
      <c r="Z50" s="1408"/>
      <c r="AA50" s="1408"/>
      <c r="AB50" s="1408"/>
      <c r="AC50" s="1408"/>
      <c r="AD50" s="1408"/>
      <c r="AE50" s="1408"/>
      <c r="AF50" s="1408"/>
    </row>
    <row r="51" spans="1:32" ht="23.25" customHeight="1">
      <c r="A51" s="1408"/>
      <c r="B51" s="1408"/>
      <c r="C51" s="179" t="s">
        <v>449</v>
      </c>
      <c r="D51" s="171" t="s">
        <v>450</v>
      </c>
      <c r="E51" s="368" t="s">
        <v>4</v>
      </c>
      <c r="F51" s="368" t="s">
        <v>4</v>
      </c>
      <c r="G51" s="1416" t="s">
        <v>4</v>
      </c>
      <c r="H51" s="1416" t="s">
        <v>4</v>
      </c>
      <c r="I51" s="1416" t="s">
        <v>4</v>
      </c>
      <c r="J51" s="1424">
        <v>13.65</v>
      </c>
      <c r="L51" s="1423" t="s">
        <v>28</v>
      </c>
      <c r="M51" s="1408"/>
      <c r="N51" s="1408"/>
      <c r="O51" s="1408"/>
      <c r="P51" s="1408"/>
      <c r="Q51" s="1408"/>
      <c r="R51" s="1408"/>
      <c r="S51" s="1408"/>
      <c r="T51" s="1408"/>
      <c r="U51" s="1408"/>
      <c r="V51" s="1408"/>
      <c r="W51" s="1408"/>
      <c r="X51" s="1408"/>
      <c r="Y51" s="1408"/>
      <c r="Z51" s="1408"/>
      <c r="AA51" s="1408"/>
      <c r="AB51" s="1408"/>
      <c r="AC51" s="1408"/>
      <c r="AD51" s="1408"/>
      <c r="AE51" s="1408"/>
      <c r="AF51" s="1408"/>
    </row>
    <row r="52" spans="1:32" ht="23.25" customHeight="1">
      <c r="A52" s="1408"/>
      <c r="B52" s="1408"/>
      <c r="C52" s="1416"/>
      <c r="D52" s="1416"/>
      <c r="E52" s="1416"/>
      <c r="F52" s="1416"/>
      <c r="G52" s="1416"/>
      <c r="H52" s="1416"/>
      <c r="I52" s="1416"/>
      <c r="J52" s="1416"/>
      <c r="K52" s="1416"/>
      <c r="L52" s="1408"/>
      <c r="M52" s="1408"/>
      <c r="N52" s="1408"/>
      <c r="O52" s="1408"/>
      <c r="P52" s="1408"/>
      <c r="Q52" s="1408"/>
      <c r="R52" s="1408"/>
      <c r="S52" s="1408"/>
      <c r="T52" s="1408"/>
      <c r="U52" s="1408"/>
      <c r="V52" s="1408"/>
      <c r="W52" s="1408"/>
      <c r="X52" s="1408"/>
      <c r="Y52" s="1408"/>
      <c r="Z52" s="1408"/>
      <c r="AA52" s="1408"/>
      <c r="AB52" s="1408"/>
      <c r="AC52" s="1408"/>
      <c r="AD52" s="1408"/>
      <c r="AE52" s="1408"/>
      <c r="AF52" s="1408"/>
    </row>
    <row r="53" spans="1:32" ht="22.5" customHeight="1">
      <c r="A53" s="1408"/>
      <c r="B53" s="1408"/>
      <c r="C53" s="1408"/>
      <c r="D53" s="1408"/>
      <c r="E53" s="1408"/>
      <c r="F53" s="1408"/>
      <c r="G53" s="1408"/>
      <c r="H53" s="1408"/>
      <c r="I53" s="1408"/>
      <c r="J53" s="1408"/>
      <c r="K53" s="1408"/>
      <c r="L53" s="1408"/>
      <c r="M53" s="1408"/>
      <c r="N53" s="1408"/>
      <c r="O53" s="1408"/>
      <c r="P53" s="1408"/>
      <c r="Q53" s="1408"/>
      <c r="R53" s="1408"/>
      <c r="S53" s="1408"/>
      <c r="T53" s="1408"/>
      <c r="U53" s="1408"/>
      <c r="V53" s="1408"/>
      <c r="W53" s="1408"/>
      <c r="X53" s="1408"/>
      <c r="Y53" s="1408"/>
      <c r="Z53" s="1408"/>
      <c r="AA53" s="1408"/>
      <c r="AB53" s="1408"/>
      <c r="AC53" s="1408"/>
      <c r="AD53" s="1408"/>
      <c r="AE53" s="1408"/>
      <c r="AF53" s="1408"/>
    </row>
    <row r="54" spans="1:32" ht="17.45">
      <c r="A54" s="1408"/>
      <c r="B54" s="1408"/>
      <c r="C54" s="1408"/>
      <c r="D54" s="1408"/>
      <c r="E54" s="1408"/>
      <c r="F54" s="1408"/>
      <c r="G54" s="1408"/>
      <c r="H54" s="1408"/>
      <c r="I54" s="1408"/>
      <c r="J54" s="1408"/>
      <c r="K54" s="1408"/>
      <c r="L54" s="1408"/>
      <c r="M54" s="1408"/>
      <c r="N54" s="1408"/>
      <c r="O54" s="1408"/>
      <c r="P54" s="1408"/>
      <c r="Q54" s="1408"/>
      <c r="R54" s="1408"/>
      <c r="S54" s="1408"/>
      <c r="T54" s="1408"/>
      <c r="U54" s="1408"/>
      <c r="V54" s="1408"/>
      <c r="W54" s="1408"/>
      <c r="X54" s="1408"/>
      <c r="Y54" s="1408"/>
      <c r="Z54" s="1408"/>
      <c r="AA54" s="1408"/>
      <c r="AB54" s="1408"/>
      <c r="AC54" s="1408"/>
      <c r="AD54" s="1408"/>
      <c r="AE54" s="1408"/>
      <c r="AF54" s="1408"/>
    </row>
    <row r="55" spans="1:32" ht="17.45">
      <c r="A55" s="1408"/>
      <c r="B55" s="1408"/>
      <c r="C55" s="1408"/>
      <c r="D55" s="1408"/>
      <c r="E55" s="1408"/>
      <c r="F55" s="1408"/>
      <c r="G55" s="1408"/>
      <c r="H55" s="1408"/>
      <c r="I55" s="1408"/>
      <c r="J55" s="1408"/>
      <c r="K55" s="1408"/>
      <c r="L55" s="1408"/>
      <c r="M55" s="1408"/>
      <c r="N55" s="1408"/>
      <c r="O55" s="1408"/>
      <c r="P55" s="1408"/>
      <c r="Q55" s="1408"/>
      <c r="R55" s="1408"/>
      <c r="S55" s="1408"/>
      <c r="T55" s="1408"/>
      <c r="U55" s="1408"/>
      <c r="V55" s="1408"/>
      <c r="W55" s="1408"/>
      <c r="X55" s="1408"/>
      <c r="Y55" s="1408"/>
      <c r="Z55" s="1408"/>
      <c r="AA55" s="1408"/>
      <c r="AB55" s="1408"/>
      <c r="AC55" s="1408"/>
      <c r="AD55" s="1408"/>
      <c r="AE55" s="1408"/>
      <c r="AF55" s="1408"/>
    </row>
    <row r="56" spans="1:32" ht="17.45">
      <c r="A56" s="1408"/>
      <c r="B56" s="1408"/>
      <c r="C56" s="1408"/>
      <c r="D56" s="1408"/>
      <c r="E56" s="1408"/>
      <c r="F56" s="1408"/>
      <c r="G56" s="1408"/>
      <c r="H56" s="1408"/>
      <c r="I56" s="1408"/>
      <c r="J56" s="1408"/>
      <c r="K56" s="1408"/>
      <c r="L56" s="1408"/>
      <c r="M56" s="1408"/>
      <c r="N56" s="1408"/>
      <c r="O56" s="1408"/>
      <c r="P56" s="1408"/>
      <c r="Q56" s="1408"/>
      <c r="R56" s="1408"/>
      <c r="S56" s="1408"/>
      <c r="T56" s="1408"/>
      <c r="U56" s="1408"/>
      <c r="V56" s="1408"/>
      <c r="W56" s="1408"/>
      <c r="X56" s="1408"/>
      <c r="Y56" s="1408"/>
      <c r="Z56" s="1408"/>
      <c r="AA56" s="1408"/>
      <c r="AB56" s="1408"/>
      <c r="AC56" s="1408"/>
      <c r="AD56" s="1408"/>
      <c r="AE56" s="1408"/>
      <c r="AF56" s="1408"/>
    </row>
    <row r="57" spans="1:32" ht="17.45">
      <c r="A57" s="1408"/>
      <c r="B57" s="1408"/>
      <c r="C57" s="1408"/>
      <c r="D57" s="1408"/>
      <c r="E57" s="1408"/>
      <c r="F57" s="1408"/>
      <c r="G57" s="1408"/>
      <c r="H57" s="1408"/>
      <c r="I57" s="1408"/>
      <c r="J57" s="1408"/>
      <c r="K57" s="1408"/>
      <c r="L57" s="1408"/>
      <c r="M57" s="1408"/>
      <c r="N57" s="1408"/>
      <c r="O57" s="1408"/>
      <c r="P57" s="1408"/>
      <c r="Q57" s="1408"/>
      <c r="R57" s="1408"/>
      <c r="S57" s="1408"/>
      <c r="T57" s="1408"/>
      <c r="U57" s="1408"/>
      <c r="V57" s="1408"/>
      <c r="W57" s="1408"/>
      <c r="X57" s="1408"/>
      <c r="Y57" s="1408"/>
      <c r="Z57" s="1408"/>
      <c r="AA57" s="1408"/>
      <c r="AB57" s="1408"/>
      <c r="AC57" s="1408"/>
      <c r="AD57" s="1408"/>
      <c r="AE57" s="1408"/>
      <c r="AF57" s="1408"/>
    </row>
    <row r="58" spans="1:32" ht="17.45">
      <c r="A58" s="1408"/>
      <c r="B58" s="1408"/>
      <c r="C58" s="1408"/>
      <c r="D58" s="1408"/>
      <c r="E58" s="1408"/>
      <c r="F58" s="1408"/>
      <c r="G58" s="1408"/>
      <c r="H58" s="1408"/>
      <c r="I58" s="1408"/>
      <c r="J58" s="1408"/>
      <c r="K58" s="1408"/>
      <c r="L58" s="1408"/>
      <c r="M58" s="1408"/>
      <c r="N58" s="1408"/>
      <c r="O58" s="1408"/>
      <c r="P58" s="1408"/>
      <c r="Q58" s="1408"/>
      <c r="R58" s="1408"/>
      <c r="S58" s="1408"/>
      <c r="T58" s="1408"/>
      <c r="U58" s="1408"/>
      <c r="V58" s="1408"/>
      <c r="W58" s="1408"/>
      <c r="X58" s="1408"/>
      <c r="Y58" s="1408"/>
      <c r="Z58" s="1408"/>
      <c r="AA58" s="1408"/>
      <c r="AB58" s="1408"/>
      <c r="AC58" s="1408"/>
      <c r="AD58" s="1408"/>
      <c r="AE58" s="1408"/>
      <c r="AF58" s="1408"/>
    </row>
    <row r="59" spans="1:32" ht="17.45">
      <c r="A59" s="1408"/>
      <c r="B59" s="1408"/>
      <c r="C59" s="1408"/>
      <c r="D59" s="1408"/>
      <c r="E59" s="1408"/>
      <c r="F59" s="1408"/>
      <c r="G59" s="1408"/>
      <c r="H59" s="1408"/>
      <c r="I59" s="1408"/>
      <c r="J59" s="1408"/>
      <c r="K59" s="1408"/>
      <c r="L59" s="1408"/>
      <c r="M59" s="1408"/>
      <c r="N59" s="1408"/>
      <c r="O59" s="1408"/>
      <c r="P59" s="1408"/>
      <c r="Q59" s="1408"/>
      <c r="R59" s="1408"/>
      <c r="S59" s="1408"/>
      <c r="T59" s="1408"/>
      <c r="U59" s="1408"/>
      <c r="V59" s="1408"/>
      <c r="W59" s="1408"/>
      <c r="X59" s="1408"/>
      <c r="Y59" s="1408"/>
      <c r="Z59" s="1408"/>
      <c r="AA59" s="1408"/>
      <c r="AB59" s="1408"/>
      <c r="AC59" s="1408"/>
      <c r="AD59" s="1408"/>
      <c r="AE59" s="1408"/>
      <c r="AF59" s="1408"/>
    </row>
    <row r="60" spans="1:32" ht="17.45">
      <c r="A60" s="1408"/>
      <c r="B60" s="1408"/>
      <c r="C60" s="1408"/>
      <c r="D60" s="1408"/>
      <c r="E60" s="1408"/>
      <c r="F60" s="1408"/>
      <c r="G60" s="1408"/>
      <c r="H60" s="1408"/>
      <c r="I60" s="1408"/>
      <c r="J60" s="1408"/>
      <c r="K60" s="1408"/>
      <c r="L60" s="1408"/>
      <c r="M60" s="1408"/>
      <c r="N60" s="1408"/>
      <c r="O60" s="1408"/>
      <c r="P60" s="1408"/>
      <c r="Q60" s="1408"/>
      <c r="R60" s="1408"/>
      <c r="S60" s="1408"/>
      <c r="T60" s="1408"/>
      <c r="U60" s="1408"/>
      <c r="V60" s="1408"/>
      <c r="W60" s="1408"/>
      <c r="X60" s="1408"/>
      <c r="Y60" s="1408"/>
      <c r="Z60" s="1408"/>
      <c r="AA60" s="1408"/>
      <c r="AB60" s="1408"/>
      <c r="AC60" s="1408"/>
      <c r="AD60" s="1408"/>
      <c r="AE60" s="1408"/>
      <c r="AF60" s="1408"/>
    </row>
    <row r="61" spans="1:32" ht="17.45">
      <c r="A61" s="1408"/>
      <c r="B61" s="1408"/>
      <c r="C61" s="1408"/>
      <c r="D61" s="1408"/>
      <c r="E61" s="1408"/>
      <c r="F61" s="1408"/>
      <c r="G61" s="1408"/>
      <c r="H61" s="1408"/>
      <c r="I61" s="1408"/>
      <c r="J61" s="1408"/>
      <c r="K61" s="1408"/>
      <c r="L61" s="1408"/>
      <c r="M61" s="1408"/>
      <c r="N61" s="1408"/>
      <c r="O61" s="1408"/>
      <c r="P61" s="1408"/>
      <c r="Q61" s="1408"/>
      <c r="R61" s="1408"/>
      <c r="S61" s="1408"/>
      <c r="T61" s="1408"/>
      <c r="U61" s="1408"/>
      <c r="V61" s="1408"/>
      <c r="W61" s="1408"/>
      <c r="X61" s="1408"/>
      <c r="Y61" s="1408"/>
      <c r="Z61" s="1408"/>
      <c r="AA61" s="1408"/>
      <c r="AB61" s="1408"/>
      <c r="AC61" s="1408"/>
      <c r="AD61" s="1408"/>
      <c r="AE61" s="1408"/>
      <c r="AF61" s="1408"/>
    </row>
    <row r="62" spans="1:32" ht="17.45">
      <c r="A62" s="1408"/>
      <c r="B62" s="1408"/>
      <c r="C62" s="1408"/>
      <c r="D62" s="1408"/>
      <c r="E62" s="1408"/>
      <c r="F62" s="1408"/>
      <c r="G62" s="1408"/>
      <c r="H62" s="1408"/>
      <c r="I62" s="1408"/>
      <c r="J62" s="1408"/>
      <c r="K62" s="1408"/>
      <c r="L62" s="1408"/>
      <c r="M62" s="1408"/>
      <c r="N62" s="1408"/>
      <c r="O62" s="1408"/>
      <c r="P62" s="1408"/>
      <c r="Q62" s="1408"/>
      <c r="R62" s="1408"/>
      <c r="S62" s="1408"/>
      <c r="T62" s="1408"/>
      <c r="U62" s="1408"/>
      <c r="V62" s="1408"/>
      <c r="W62" s="1408"/>
      <c r="X62" s="1408"/>
      <c r="Y62" s="1408"/>
      <c r="Z62" s="1408"/>
      <c r="AA62" s="1408"/>
      <c r="AB62" s="1408"/>
      <c r="AC62" s="1408"/>
      <c r="AD62" s="1408"/>
      <c r="AE62" s="1408"/>
      <c r="AF62" s="1408"/>
    </row>
    <row r="63" spans="1:32" ht="17.45">
      <c r="A63" s="1408"/>
      <c r="B63" s="1408"/>
      <c r="C63" s="1408"/>
      <c r="D63" s="1408"/>
      <c r="E63" s="1408"/>
      <c r="F63" s="1408"/>
      <c r="G63" s="1408"/>
      <c r="H63" s="1408"/>
      <c r="I63" s="1408"/>
      <c r="J63" s="1408"/>
      <c r="K63" s="1408"/>
      <c r="L63" s="1408"/>
      <c r="M63" s="1408"/>
      <c r="N63" s="1408"/>
      <c r="O63" s="1408"/>
      <c r="P63" s="1408"/>
      <c r="Q63" s="1408"/>
      <c r="R63" s="1408"/>
      <c r="S63" s="1408"/>
      <c r="T63" s="1408"/>
      <c r="U63" s="1408"/>
      <c r="V63" s="1408"/>
      <c r="W63" s="1408"/>
      <c r="X63" s="1408"/>
      <c r="Y63" s="1408"/>
      <c r="Z63" s="1408"/>
      <c r="AA63" s="1408"/>
      <c r="AB63" s="1408"/>
      <c r="AC63" s="1408"/>
      <c r="AD63" s="1408"/>
      <c r="AE63" s="1408"/>
      <c r="AF63" s="1408"/>
    </row>
    <row r="64" spans="1:32" ht="17.45">
      <c r="A64" s="1408"/>
      <c r="B64" s="1408"/>
      <c r="C64" s="1408"/>
      <c r="D64" s="1408"/>
      <c r="E64" s="1408"/>
      <c r="F64" s="1408"/>
      <c r="G64" s="1408"/>
      <c r="H64" s="1408"/>
      <c r="I64" s="1408"/>
      <c r="J64" s="1408"/>
      <c r="K64" s="1408"/>
      <c r="L64" s="1408"/>
      <c r="M64" s="1408"/>
      <c r="N64" s="1408"/>
      <c r="O64" s="1408"/>
      <c r="P64" s="1408"/>
      <c r="Q64" s="1408"/>
      <c r="R64" s="1408"/>
      <c r="S64" s="1408"/>
      <c r="T64" s="1408"/>
      <c r="U64" s="1408"/>
      <c r="V64" s="1408"/>
      <c r="W64" s="1408"/>
      <c r="X64" s="1408"/>
      <c r="Y64" s="1408"/>
      <c r="Z64" s="1408"/>
      <c r="AA64" s="1408"/>
      <c r="AB64" s="1408"/>
      <c r="AC64" s="1408"/>
      <c r="AD64" s="1408"/>
      <c r="AE64" s="1408"/>
      <c r="AF64" s="1408"/>
    </row>
    <row r="65" spans="1:32" ht="17.45">
      <c r="A65" s="1408"/>
      <c r="B65" s="1408"/>
      <c r="C65" s="1408"/>
      <c r="D65" s="1408"/>
      <c r="E65" s="1408"/>
      <c r="F65" s="1408"/>
      <c r="G65" s="1408"/>
      <c r="H65" s="1408"/>
      <c r="I65" s="1408"/>
      <c r="J65" s="1408"/>
      <c r="K65" s="1408"/>
      <c r="L65" s="1408"/>
      <c r="M65" s="1408"/>
      <c r="N65" s="1408"/>
      <c r="O65" s="1408"/>
      <c r="P65" s="1408"/>
      <c r="Q65" s="1408"/>
      <c r="R65" s="1408"/>
      <c r="S65" s="1408"/>
      <c r="T65" s="1408"/>
      <c r="U65" s="1408"/>
      <c r="V65" s="1408"/>
      <c r="W65" s="1408"/>
      <c r="X65" s="1408"/>
      <c r="Y65" s="1408"/>
      <c r="Z65" s="1408"/>
      <c r="AA65" s="1408"/>
      <c r="AB65" s="1408"/>
      <c r="AC65" s="1408"/>
      <c r="AD65" s="1408"/>
      <c r="AE65" s="1408"/>
      <c r="AF65" s="1408"/>
    </row>
    <row r="66" spans="1:32" ht="17.45">
      <c r="A66" s="1408"/>
      <c r="B66" s="1408"/>
      <c r="C66" s="1408"/>
      <c r="D66" s="1408"/>
      <c r="E66" s="1408"/>
      <c r="F66" s="1408"/>
      <c r="G66" s="1408"/>
      <c r="H66" s="1408"/>
      <c r="I66" s="1408"/>
      <c r="J66" s="1408"/>
      <c r="K66" s="1408"/>
      <c r="L66" s="1408"/>
      <c r="M66" s="1408"/>
      <c r="N66" s="1408"/>
      <c r="O66" s="1408"/>
      <c r="P66" s="1408"/>
      <c r="Q66" s="1408"/>
      <c r="R66" s="1408"/>
      <c r="S66" s="1408"/>
      <c r="T66" s="1408"/>
      <c r="U66" s="1408"/>
      <c r="V66" s="1408"/>
      <c r="W66" s="1408"/>
      <c r="X66" s="1408"/>
      <c r="Y66" s="1408"/>
      <c r="Z66" s="1408"/>
      <c r="AA66" s="1408"/>
      <c r="AB66" s="1408"/>
      <c r="AC66" s="1408"/>
      <c r="AD66" s="1408"/>
      <c r="AE66" s="1408"/>
      <c r="AF66" s="1408"/>
    </row>
    <row r="67" spans="1:32" ht="17.45">
      <c r="A67" s="1408"/>
      <c r="B67" s="1408"/>
      <c r="C67" s="1408"/>
      <c r="D67" s="1408"/>
      <c r="E67" s="1408"/>
      <c r="F67" s="1408"/>
      <c r="G67" s="1408"/>
      <c r="H67" s="1408"/>
      <c r="I67" s="1408"/>
      <c r="J67" s="1408"/>
      <c r="K67" s="1408"/>
      <c r="L67" s="1408"/>
      <c r="M67" s="1408"/>
      <c r="N67" s="1408"/>
      <c r="O67" s="1408"/>
      <c r="P67" s="1408"/>
      <c r="Q67" s="1408"/>
      <c r="R67" s="1408"/>
      <c r="S67" s="1408"/>
      <c r="T67" s="1408"/>
      <c r="U67" s="1408"/>
      <c r="V67" s="1408"/>
      <c r="W67" s="1408"/>
      <c r="X67" s="1408"/>
      <c r="Y67" s="1408"/>
      <c r="Z67" s="1408"/>
      <c r="AA67" s="1408"/>
      <c r="AB67" s="1408"/>
      <c r="AC67" s="1408"/>
      <c r="AD67" s="1408"/>
      <c r="AE67" s="1408"/>
      <c r="AF67" s="1408"/>
    </row>
    <row r="68" spans="1:32" ht="17.45">
      <c r="A68" s="1408"/>
      <c r="B68" s="1408"/>
      <c r="C68" s="1408"/>
      <c r="D68" s="1408"/>
      <c r="E68" s="1408"/>
      <c r="F68" s="1408"/>
      <c r="G68" s="1408"/>
      <c r="H68" s="1408"/>
      <c r="I68" s="1408"/>
      <c r="J68" s="1408"/>
      <c r="K68" s="1408"/>
      <c r="L68" s="1408"/>
      <c r="M68" s="1408"/>
      <c r="N68" s="1408"/>
      <c r="O68" s="1408"/>
      <c r="P68" s="1408"/>
      <c r="Q68" s="1408"/>
      <c r="R68" s="1408"/>
      <c r="S68" s="1408"/>
      <c r="T68" s="1408"/>
      <c r="U68" s="1408"/>
      <c r="V68" s="1408"/>
      <c r="W68" s="1408"/>
      <c r="X68" s="1408"/>
      <c r="Y68" s="1408"/>
      <c r="Z68" s="1408"/>
      <c r="AA68" s="1408"/>
      <c r="AB68" s="1408"/>
      <c r="AC68" s="1408"/>
      <c r="AD68" s="1408"/>
      <c r="AE68" s="1408"/>
      <c r="AF68" s="1408"/>
    </row>
    <row r="69" spans="1:32" ht="17.45">
      <c r="A69" s="1408"/>
      <c r="B69" s="1408"/>
      <c r="C69" s="1408"/>
      <c r="D69" s="1408"/>
      <c r="E69" s="1408"/>
      <c r="F69" s="1408"/>
      <c r="G69" s="1408"/>
      <c r="H69" s="1408"/>
      <c r="I69" s="1408"/>
      <c r="J69" s="1408"/>
      <c r="K69" s="1408"/>
      <c r="L69" s="1408"/>
      <c r="M69" s="1408"/>
      <c r="N69" s="1408"/>
      <c r="O69" s="1408"/>
      <c r="P69" s="1408"/>
      <c r="Q69" s="1408"/>
      <c r="R69" s="1408"/>
      <c r="S69" s="1408"/>
      <c r="T69" s="1408"/>
      <c r="U69" s="1408"/>
      <c r="V69" s="1408"/>
      <c r="W69" s="1408"/>
      <c r="X69" s="1408"/>
      <c r="Y69" s="1408"/>
      <c r="Z69" s="1408"/>
      <c r="AA69" s="1408"/>
      <c r="AB69" s="1408"/>
      <c r="AC69" s="1408"/>
      <c r="AD69" s="1408"/>
      <c r="AE69" s="1408"/>
      <c r="AF69" s="1408"/>
    </row>
    <row r="70" spans="1:32" ht="17.45">
      <c r="A70" s="1408"/>
      <c r="B70" s="1408"/>
      <c r="C70" s="1408"/>
      <c r="D70" s="1408"/>
      <c r="E70" s="1408"/>
      <c r="F70" s="1408"/>
      <c r="G70" s="1408"/>
      <c r="H70" s="1408"/>
      <c r="I70" s="1408"/>
      <c r="J70" s="1408"/>
      <c r="K70" s="1408"/>
      <c r="L70" s="1408"/>
      <c r="M70" s="1408"/>
      <c r="N70" s="1408"/>
      <c r="O70" s="1408"/>
      <c r="P70" s="1408"/>
      <c r="Q70" s="1408"/>
      <c r="R70" s="1408"/>
      <c r="S70" s="1408"/>
      <c r="T70" s="1408"/>
      <c r="U70" s="1408"/>
      <c r="V70" s="1408"/>
      <c r="W70" s="1408"/>
      <c r="X70" s="1408"/>
      <c r="Y70" s="1408"/>
      <c r="Z70" s="1408"/>
      <c r="AA70" s="1408"/>
      <c r="AB70" s="1408"/>
      <c r="AC70" s="1408"/>
      <c r="AD70" s="1408"/>
      <c r="AE70" s="1408"/>
      <c r="AF70" s="1408"/>
    </row>
    <row r="71" spans="1:32" ht="17.45">
      <c r="A71" s="1408"/>
      <c r="B71" s="1408"/>
      <c r="C71" s="1408"/>
      <c r="D71" s="1408"/>
      <c r="E71" s="1408"/>
      <c r="F71" s="1408"/>
      <c r="G71" s="1408"/>
      <c r="H71" s="1408"/>
      <c r="I71" s="1408"/>
      <c r="J71" s="1408"/>
      <c r="K71" s="1408"/>
      <c r="L71" s="1408"/>
      <c r="M71" s="1408"/>
      <c r="N71" s="1408"/>
      <c r="O71" s="1408"/>
      <c r="P71" s="1408"/>
      <c r="Q71" s="1408"/>
      <c r="R71" s="1408"/>
      <c r="S71" s="1408"/>
      <c r="T71" s="1408"/>
      <c r="U71" s="1408"/>
      <c r="V71" s="1408"/>
      <c r="W71" s="1408"/>
      <c r="X71" s="1408"/>
      <c r="Y71" s="1408"/>
      <c r="Z71" s="1408"/>
      <c r="AA71" s="1408"/>
      <c r="AB71" s="1408"/>
      <c r="AC71" s="1408"/>
      <c r="AD71" s="1408"/>
      <c r="AE71" s="1408"/>
      <c r="AF71" s="1408"/>
    </row>
    <row r="72" spans="1:32" ht="17.45">
      <c r="A72" s="1408"/>
      <c r="B72" s="1408"/>
      <c r="C72" s="1408"/>
      <c r="D72" s="1408"/>
      <c r="E72" s="1408"/>
      <c r="F72" s="1408"/>
      <c r="G72" s="1408"/>
      <c r="H72" s="1408"/>
      <c r="I72" s="1408"/>
      <c r="J72" s="1408"/>
      <c r="K72" s="1408"/>
      <c r="L72" s="1408"/>
      <c r="M72" s="1408"/>
      <c r="N72" s="1408"/>
      <c r="O72" s="1408"/>
      <c r="P72" s="1408"/>
      <c r="Q72" s="1408"/>
      <c r="R72" s="1408"/>
      <c r="S72" s="1408"/>
      <c r="T72" s="1408"/>
      <c r="U72" s="1408"/>
      <c r="V72" s="1408"/>
      <c r="W72" s="1408"/>
      <c r="X72" s="1408"/>
      <c r="Y72" s="1408"/>
      <c r="Z72" s="1408"/>
      <c r="AA72" s="1408"/>
      <c r="AB72" s="1408"/>
      <c r="AC72" s="1408"/>
      <c r="AD72" s="1408"/>
      <c r="AE72" s="1408"/>
      <c r="AF72" s="1408"/>
    </row>
    <row r="73" spans="1:32" ht="17.45">
      <c r="A73" s="1408"/>
      <c r="B73" s="1408"/>
      <c r="C73" s="1408"/>
      <c r="D73" s="1408"/>
      <c r="E73" s="1408"/>
      <c r="F73" s="1408"/>
      <c r="G73" s="1408"/>
      <c r="H73" s="1408"/>
      <c r="I73" s="1408"/>
      <c r="J73" s="1408"/>
      <c r="K73" s="1408"/>
      <c r="L73" s="1408"/>
      <c r="M73" s="1408"/>
      <c r="N73" s="1408"/>
      <c r="O73" s="1408"/>
      <c r="P73" s="1408"/>
      <c r="Q73" s="1408"/>
      <c r="R73" s="1408"/>
      <c r="S73" s="1408"/>
      <c r="T73" s="1408"/>
      <c r="U73" s="1408"/>
      <c r="V73" s="1408"/>
      <c r="W73" s="1408"/>
      <c r="X73" s="1408"/>
      <c r="Y73" s="1408"/>
      <c r="Z73" s="1408"/>
      <c r="AA73" s="1408"/>
      <c r="AB73" s="1408"/>
      <c r="AC73" s="1408"/>
      <c r="AD73" s="1408"/>
      <c r="AE73" s="1408"/>
      <c r="AF73" s="1408"/>
    </row>
    <row r="74" spans="1:32" ht="17.45">
      <c r="A74" s="1408"/>
      <c r="B74" s="1408"/>
      <c r="C74" s="1408"/>
      <c r="D74" s="1408"/>
      <c r="E74" s="1408"/>
      <c r="F74" s="1408"/>
      <c r="G74" s="1408"/>
      <c r="H74" s="1408"/>
      <c r="I74" s="1408"/>
      <c r="J74" s="1408"/>
      <c r="K74" s="1408"/>
      <c r="L74" s="1408"/>
      <c r="M74" s="1408"/>
      <c r="N74" s="1408"/>
      <c r="O74" s="1408"/>
      <c r="P74" s="1408"/>
      <c r="Q74" s="1408"/>
      <c r="R74" s="1408"/>
      <c r="S74" s="1408"/>
      <c r="T74" s="1408"/>
      <c r="U74" s="1408"/>
      <c r="V74" s="1408"/>
      <c r="W74" s="1408"/>
      <c r="X74" s="1408"/>
      <c r="Y74" s="1408"/>
      <c r="Z74" s="1408"/>
      <c r="AA74" s="1408"/>
      <c r="AB74" s="1408"/>
      <c r="AC74" s="1408"/>
      <c r="AD74" s="1408"/>
      <c r="AE74" s="1408"/>
      <c r="AF74" s="1408"/>
    </row>
    <row r="75" spans="1:32" ht="17.45">
      <c r="A75" s="1408"/>
      <c r="B75" s="1408"/>
      <c r="C75" s="1408"/>
      <c r="D75" s="1408"/>
      <c r="E75" s="1408"/>
      <c r="F75" s="1408"/>
      <c r="G75" s="1408"/>
      <c r="H75" s="1408"/>
      <c r="I75" s="1408"/>
      <c r="J75" s="1408"/>
      <c r="K75" s="1408"/>
      <c r="L75" s="1408"/>
      <c r="M75" s="1408"/>
      <c r="N75" s="1408"/>
      <c r="O75" s="1408"/>
      <c r="P75" s="1408"/>
      <c r="Q75" s="1408"/>
      <c r="R75" s="1408"/>
      <c r="S75" s="1408"/>
      <c r="T75" s="1408"/>
      <c r="U75" s="1408"/>
      <c r="V75" s="1408"/>
      <c r="W75" s="1408"/>
      <c r="X75" s="1408"/>
      <c r="Y75" s="1408"/>
      <c r="Z75" s="1408"/>
      <c r="AA75" s="1408"/>
      <c r="AB75" s="1408"/>
      <c r="AC75" s="1408"/>
      <c r="AD75" s="1408"/>
      <c r="AE75" s="1408"/>
      <c r="AF75" s="1408"/>
    </row>
    <row r="76" spans="1:32" ht="17.45">
      <c r="A76" s="1408"/>
      <c r="B76" s="1408"/>
      <c r="C76" s="1408"/>
      <c r="D76" s="1408"/>
      <c r="E76" s="1408"/>
      <c r="F76" s="1408"/>
      <c r="G76" s="1408"/>
      <c r="H76" s="1408"/>
      <c r="I76" s="1408"/>
      <c r="J76" s="1408"/>
      <c r="K76" s="1408"/>
      <c r="L76" s="1408"/>
      <c r="M76" s="1408"/>
      <c r="N76" s="1408"/>
      <c r="O76" s="1408"/>
      <c r="P76" s="1408"/>
      <c r="Q76" s="1408"/>
      <c r="R76" s="1408"/>
      <c r="S76" s="1408"/>
      <c r="T76" s="1408"/>
      <c r="U76" s="1408"/>
      <c r="V76" s="1408"/>
      <c r="W76" s="1408"/>
      <c r="X76" s="1408"/>
      <c r="Y76" s="1408"/>
      <c r="Z76" s="1408"/>
      <c r="AA76" s="1408"/>
      <c r="AB76" s="1408"/>
      <c r="AC76" s="1408"/>
      <c r="AD76" s="1408"/>
      <c r="AE76" s="1408"/>
      <c r="AF76" s="1408"/>
    </row>
    <row r="77" spans="1:32" ht="17.45">
      <c r="A77" s="1408"/>
      <c r="B77" s="1408"/>
      <c r="C77" s="1408"/>
      <c r="D77" s="1408"/>
      <c r="E77" s="1408"/>
      <c r="F77" s="1408"/>
      <c r="G77" s="1408"/>
      <c r="H77" s="1408"/>
      <c r="I77" s="1408"/>
      <c r="J77" s="1408"/>
      <c r="K77" s="1408"/>
      <c r="L77" s="1408"/>
      <c r="M77" s="1408"/>
      <c r="N77" s="1408"/>
      <c r="O77" s="1408"/>
      <c r="P77" s="1408"/>
      <c r="Q77" s="1408"/>
      <c r="R77" s="1408"/>
      <c r="S77" s="1408"/>
      <c r="T77" s="1408"/>
      <c r="U77" s="1408"/>
      <c r="V77" s="1408"/>
      <c r="W77" s="1408"/>
      <c r="X77" s="1408"/>
      <c r="Y77" s="1408"/>
      <c r="Z77" s="1408"/>
      <c r="AA77" s="1408"/>
      <c r="AB77" s="1408"/>
      <c r="AC77" s="1408"/>
      <c r="AD77" s="1408"/>
      <c r="AE77" s="1408"/>
      <c r="AF77" s="1408"/>
    </row>
    <row r="78" spans="1:32" ht="17.45">
      <c r="A78" s="1408"/>
      <c r="B78" s="1408"/>
      <c r="C78" s="1408"/>
      <c r="D78" s="1408"/>
      <c r="E78" s="1408"/>
      <c r="F78" s="1408"/>
      <c r="G78" s="1408"/>
      <c r="H78" s="1408"/>
      <c r="I78" s="1408"/>
      <c r="J78" s="1408"/>
      <c r="K78" s="1408"/>
      <c r="L78" s="1408"/>
      <c r="M78" s="1408"/>
      <c r="N78" s="1408"/>
      <c r="O78" s="1408"/>
      <c r="P78" s="1408"/>
      <c r="Q78" s="1408"/>
      <c r="R78" s="1408"/>
      <c r="S78" s="1408"/>
      <c r="T78" s="1408"/>
      <c r="U78" s="1408"/>
      <c r="V78" s="1408"/>
      <c r="W78" s="1408"/>
      <c r="X78" s="1408"/>
      <c r="Y78" s="1408"/>
      <c r="Z78" s="1408"/>
      <c r="AA78" s="1408"/>
      <c r="AB78" s="1408"/>
      <c r="AC78" s="1408"/>
      <c r="AD78" s="1408"/>
      <c r="AE78" s="1408"/>
      <c r="AF78" s="1408"/>
    </row>
    <row r="79" spans="1:32" ht="17.45">
      <c r="A79" s="1408"/>
      <c r="B79" s="1408"/>
      <c r="C79" s="1408"/>
      <c r="D79" s="1408"/>
      <c r="E79" s="1408"/>
      <c r="F79" s="1408"/>
      <c r="G79" s="1408"/>
      <c r="H79" s="1408"/>
      <c r="I79" s="1408"/>
      <c r="J79" s="1408"/>
      <c r="K79" s="1408"/>
      <c r="L79" s="1408"/>
      <c r="M79" s="1408"/>
      <c r="N79" s="1408"/>
      <c r="O79" s="1408"/>
      <c r="P79" s="1408"/>
      <c r="Q79" s="1408"/>
      <c r="R79" s="1408"/>
      <c r="S79" s="1408"/>
      <c r="T79" s="1408"/>
      <c r="U79" s="1408"/>
      <c r="V79" s="1408"/>
      <c r="W79" s="1408"/>
      <c r="X79" s="1408"/>
      <c r="Y79" s="1408"/>
      <c r="Z79" s="1408"/>
      <c r="AA79" s="1408"/>
      <c r="AB79" s="1408"/>
      <c r="AC79" s="1408"/>
      <c r="AD79" s="1408"/>
      <c r="AE79" s="1408"/>
      <c r="AF79" s="1408"/>
    </row>
    <row r="80" spans="1:32" ht="17.45">
      <c r="A80" s="1408"/>
      <c r="B80" s="1408"/>
      <c r="C80" s="1408"/>
      <c r="D80" s="1408"/>
      <c r="E80" s="1408"/>
      <c r="F80" s="1408"/>
      <c r="G80" s="1408"/>
      <c r="H80" s="1408"/>
      <c r="I80" s="1408"/>
      <c r="J80" s="1408"/>
      <c r="K80" s="1408"/>
      <c r="L80" s="1408"/>
      <c r="M80" s="1408"/>
      <c r="N80" s="1408"/>
      <c r="O80" s="1408"/>
      <c r="P80" s="1408"/>
      <c r="Q80" s="1408"/>
      <c r="R80" s="1408"/>
      <c r="S80" s="1408"/>
      <c r="T80" s="1408"/>
      <c r="U80" s="1408"/>
      <c r="V80" s="1408"/>
      <c r="W80" s="1408"/>
      <c r="X80" s="1408"/>
      <c r="Y80" s="1408"/>
      <c r="Z80" s="1408"/>
      <c r="AA80" s="1408"/>
      <c r="AB80" s="1408"/>
      <c r="AC80" s="1408"/>
      <c r="AD80" s="1408"/>
      <c r="AE80" s="1408"/>
      <c r="AF80" s="1408"/>
    </row>
    <row r="81" spans="1:32" ht="17.45">
      <c r="A81" s="1408"/>
      <c r="B81" s="1408"/>
      <c r="C81" s="1408"/>
      <c r="D81" s="1408"/>
      <c r="E81" s="1408"/>
      <c r="F81" s="1408"/>
      <c r="G81" s="1408"/>
      <c r="H81" s="1408"/>
      <c r="I81" s="1408"/>
      <c r="J81" s="1408"/>
      <c r="K81" s="1408"/>
      <c r="L81" s="1408"/>
      <c r="M81" s="1408"/>
      <c r="N81" s="1408"/>
      <c r="O81" s="1408"/>
      <c r="P81" s="1408"/>
      <c r="Q81" s="1408"/>
      <c r="R81" s="1408"/>
      <c r="S81" s="1408"/>
      <c r="T81" s="1408"/>
      <c r="U81" s="1408"/>
      <c r="V81" s="1408"/>
      <c r="W81" s="1408"/>
      <c r="X81" s="1408"/>
      <c r="Y81" s="1408"/>
      <c r="Z81" s="1408"/>
      <c r="AA81" s="1408"/>
      <c r="AB81" s="1408"/>
      <c r="AC81" s="1408"/>
      <c r="AD81" s="1408"/>
      <c r="AE81" s="1408"/>
      <c r="AF81" s="1408"/>
    </row>
    <row r="82" spans="1:32" ht="17.45">
      <c r="A82" s="1408"/>
      <c r="B82" s="1408"/>
      <c r="C82" s="1408"/>
      <c r="D82" s="1408"/>
      <c r="E82" s="1408"/>
      <c r="F82" s="1408"/>
      <c r="G82" s="1408"/>
      <c r="H82" s="1408"/>
      <c r="I82" s="1408"/>
      <c r="J82" s="1408"/>
      <c r="K82" s="1408"/>
      <c r="L82" s="1408"/>
      <c r="M82" s="1408"/>
      <c r="N82" s="1408"/>
      <c r="O82" s="1408"/>
      <c r="P82" s="1408"/>
      <c r="Q82" s="1408"/>
      <c r="R82" s="1408"/>
      <c r="S82" s="1408"/>
      <c r="T82" s="1408"/>
      <c r="U82" s="1408"/>
      <c r="V82" s="1408"/>
      <c r="W82" s="1408"/>
      <c r="X82" s="1408"/>
      <c r="Y82" s="1408"/>
      <c r="Z82" s="1408"/>
      <c r="AA82" s="1408"/>
      <c r="AB82" s="1408"/>
      <c r="AC82" s="1408"/>
      <c r="AD82" s="1408"/>
      <c r="AE82" s="1408"/>
      <c r="AF82" s="1408"/>
    </row>
    <row r="83" spans="1:32" ht="17.45">
      <c r="A83" s="1408"/>
      <c r="B83" s="1408"/>
      <c r="C83" s="1408"/>
      <c r="D83" s="1408"/>
      <c r="E83" s="1408"/>
      <c r="F83" s="1408"/>
      <c r="G83" s="1408"/>
      <c r="H83" s="1408"/>
      <c r="I83" s="1408"/>
      <c r="J83" s="1408"/>
      <c r="K83" s="1408"/>
      <c r="L83" s="1408"/>
      <c r="M83" s="1408"/>
      <c r="N83" s="1408"/>
      <c r="O83" s="1408"/>
      <c r="P83" s="1408"/>
      <c r="Q83" s="1408"/>
      <c r="R83" s="1408"/>
      <c r="S83" s="1408"/>
      <c r="T83" s="1408"/>
      <c r="U83" s="1408"/>
      <c r="V83" s="1408"/>
      <c r="W83" s="1408"/>
      <c r="X83" s="1408"/>
      <c r="Y83" s="1408"/>
      <c r="Z83" s="1408"/>
      <c r="AA83" s="1408"/>
      <c r="AB83" s="1408"/>
      <c r="AC83" s="1408"/>
      <c r="AD83" s="1408"/>
      <c r="AE83" s="1408"/>
      <c r="AF83" s="1408"/>
    </row>
    <row r="84" spans="1:32" ht="17.45">
      <c r="A84" s="1408"/>
      <c r="B84" s="1408"/>
      <c r="C84" s="1408"/>
      <c r="D84" s="1408"/>
      <c r="E84" s="1408"/>
      <c r="F84" s="1408"/>
      <c r="G84" s="1408"/>
      <c r="H84" s="1408"/>
      <c r="I84" s="1408"/>
      <c r="J84" s="1408"/>
      <c r="K84" s="1408"/>
      <c r="L84" s="1408"/>
      <c r="M84" s="1408"/>
      <c r="N84" s="1408"/>
      <c r="O84" s="1408"/>
      <c r="P84" s="1408"/>
      <c r="Q84" s="1408"/>
      <c r="R84" s="1408"/>
      <c r="S84" s="1408"/>
      <c r="T84" s="1408"/>
      <c r="U84" s="1408"/>
      <c r="V84" s="1408"/>
      <c r="W84" s="1408"/>
      <c r="X84" s="1408"/>
      <c r="Y84" s="1408"/>
      <c r="Z84" s="1408"/>
      <c r="AA84" s="1408"/>
      <c r="AB84" s="1408"/>
      <c r="AC84" s="1408"/>
      <c r="AD84" s="1408"/>
      <c r="AE84" s="1408"/>
      <c r="AF84" s="1408"/>
    </row>
    <row r="85" spans="1:32" ht="17.45">
      <c r="A85" s="1408"/>
      <c r="B85" s="1408"/>
      <c r="C85" s="1408"/>
      <c r="D85" s="1408"/>
      <c r="E85" s="1408"/>
      <c r="F85" s="1408"/>
      <c r="G85" s="1408"/>
      <c r="H85" s="1408"/>
      <c r="I85" s="1408"/>
      <c r="J85" s="1408"/>
      <c r="K85" s="1408"/>
      <c r="L85" s="1408"/>
      <c r="M85" s="1408"/>
      <c r="N85" s="1408"/>
      <c r="O85" s="1408"/>
      <c r="P85" s="1408"/>
      <c r="Q85" s="1408"/>
      <c r="R85" s="1408"/>
      <c r="S85" s="1408"/>
      <c r="T85" s="1408"/>
      <c r="U85" s="1408"/>
      <c r="V85" s="1408"/>
      <c r="W85" s="1408"/>
      <c r="X85" s="1408"/>
      <c r="Y85" s="1408"/>
      <c r="Z85" s="1408"/>
      <c r="AA85" s="1408"/>
      <c r="AB85" s="1408"/>
      <c r="AC85" s="1408"/>
      <c r="AD85" s="1408"/>
      <c r="AE85" s="1408"/>
      <c r="AF85" s="1408"/>
    </row>
    <row r="86" spans="1:32" ht="17.45">
      <c r="A86" s="1408"/>
      <c r="B86" s="1408"/>
      <c r="C86" s="1408"/>
      <c r="D86" s="1408"/>
      <c r="E86" s="1408"/>
      <c r="F86" s="1408"/>
      <c r="G86" s="1408"/>
      <c r="H86" s="1408"/>
      <c r="I86" s="1408"/>
      <c r="J86" s="1408"/>
      <c r="K86" s="1408"/>
      <c r="L86" s="1408"/>
      <c r="M86" s="1408"/>
      <c r="N86" s="1408"/>
      <c r="O86" s="1408"/>
      <c r="P86" s="1408"/>
      <c r="Q86" s="1408"/>
      <c r="R86" s="1408"/>
      <c r="S86" s="1408"/>
      <c r="T86" s="1408"/>
      <c r="U86" s="1408"/>
      <c r="V86" s="1408"/>
      <c r="W86" s="1408"/>
      <c r="X86" s="1408"/>
      <c r="Y86" s="1408"/>
      <c r="Z86" s="1408"/>
      <c r="AA86" s="1408"/>
      <c r="AB86" s="1408"/>
      <c r="AC86" s="1408"/>
      <c r="AD86" s="1408"/>
      <c r="AE86" s="1408"/>
      <c r="AF86" s="1408"/>
    </row>
    <row r="87" spans="1:32" ht="17.45">
      <c r="A87" s="1408"/>
      <c r="B87" s="1408"/>
      <c r="C87" s="1408"/>
      <c r="D87" s="1408"/>
      <c r="E87" s="1408"/>
      <c r="F87" s="1408"/>
      <c r="G87" s="1408"/>
      <c r="H87" s="1408"/>
      <c r="I87" s="1408"/>
      <c r="J87" s="1408"/>
      <c r="K87" s="1408"/>
      <c r="L87" s="1408"/>
      <c r="M87" s="1408"/>
      <c r="N87" s="1408"/>
      <c r="O87" s="1408"/>
      <c r="P87" s="1408"/>
      <c r="Q87" s="1408"/>
      <c r="R87" s="1408"/>
      <c r="S87" s="1408"/>
      <c r="T87" s="1408"/>
      <c r="U87" s="1408"/>
      <c r="V87" s="1408"/>
      <c r="W87" s="1408"/>
      <c r="X87" s="1408"/>
      <c r="Y87" s="1408"/>
      <c r="Z87" s="1408"/>
      <c r="AA87" s="1408"/>
      <c r="AB87" s="1408"/>
      <c r="AC87" s="1408"/>
      <c r="AD87" s="1408"/>
      <c r="AE87" s="1408"/>
      <c r="AF87" s="1408"/>
    </row>
    <row r="88" spans="1:32" ht="17.45">
      <c r="A88" s="1408"/>
      <c r="B88" s="1408"/>
      <c r="C88" s="1408"/>
      <c r="D88" s="1408"/>
      <c r="E88" s="1408"/>
      <c r="F88" s="1408"/>
      <c r="G88" s="1408"/>
      <c r="H88" s="1408"/>
      <c r="I88" s="1408"/>
      <c r="J88" s="1408"/>
      <c r="K88" s="1408"/>
      <c r="L88" s="1408"/>
      <c r="M88" s="1408"/>
      <c r="N88" s="1408"/>
      <c r="O88" s="1408"/>
      <c r="P88" s="1408"/>
      <c r="Q88" s="1408"/>
      <c r="R88" s="1408"/>
      <c r="S88" s="1408"/>
      <c r="T88" s="1408"/>
      <c r="U88" s="1408"/>
      <c r="V88" s="1408"/>
      <c r="W88" s="1408"/>
      <c r="X88" s="1408"/>
      <c r="Y88" s="1408"/>
      <c r="Z88" s="1408"/>
      <c r="AA88" s="1408"/>
      <c r="AB88" s="1408"/>
      <c r="AC88" s="1408"/>
      <c r="AD88" s="1408"/>
      <c r="AE88" s="1408"/>
      <c r="AF88" s="140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1DDE-4B75-4E2E-91B8-56BB7075B283}">
  <dimension ref="A1:AF88"/>
  <sheetViews>
    <sheetView topLeftCell="A19" zoomScaleNormal="100" zoomScaleSheetLayoutView="100" workbookViewId="0">
      <selection activeCell="H26" sqref="H26"/>
    </sheetView>
  </sheetViews>
  <sheetFormatPr defaultColWidth="8.42578125" defaultRowHeight="14.45"/>
  <cols>
    <col min="1" max="1" width="3" style="358" customWidth="1"/>
    <col min="2" max="2" width="21" style="358" customWidth="1"/>
    <col min="3" max="9" width="23.7109375" style="358" customWidth="1"/>
    <col min="10" max="10" width="24.42578125" style="358" customWidth="1"/>
    <col min="11" max="11" width="1.7109375" style="358" customWidth="1"/>
    <col min="12" max="12" width="33" style="358" customWidth="1"/>
    <col min="13" max="14" width="23.28515625" style="358" customWidth="1"/>
    <col min="15" max="16384" width="8.42578125" style="358"/>
  </cols>
  <sheetData>
    <row r="1" spans="1:32" ht="19.899999999999999" thickBot="1">
      <c r="A1" s="1438"/>
      <c r="B1" s="1438"/>
      <c r="C1" s="359" t="s">
        <v>0</v>
      </c>
      <c r="D1" s="1439">
        <v>166.37</v>
      </c>
      <c r="E1" s="1438"/>
      <c r="F1" s="1440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</row>
    <row r="2" spans="1:32" ht="19.899999999999999" thickBot="1">
      <c r="A2" s="1438"/>
      <c r="B2" s="360" t="s">
        <v>451</v>
      </c>
      <c r="C2" s="1441" t="s">
        <v>1</v>
      </c>
      <c r="D2" s="1442">
        <f>J8+J16+J24+J32+J40+J48</f>
        <v>112.2</v>
      </c>
      <c r="E2" s="1443" t="s">
        <v>2</v>
      </c>
      <c r="F2" s="1444">
        <f>J9+J17+J25+J33+J41+J49</f>
        <v>10.3</v>
      </c>
      <c r="G2" s="1443" t="s">
        <v>3</v>
      </c>
      <c r="H2" s="1444">
        <f>J10+J18+J26+J34+J42+J50</f>
        <v>7.5</v>
      </c>
      <c r="I2" s="1445"/>
      <c r="J2" s="1446" t="s">
        <v>4</v>
      </c>
      <c r="K2" s="1447"/>
      <c r="L2" s="1446"/>
      <c r="M2" s="1438"/>
      <c r="N2" s="1438"/>
      <c r="O2" s="1438"/>
      <c r="P2" s="1438"/>
      <c r="Q2" s="1438"/>
      <c r="R2" s="1438"/>
      <c r="S2" s="1438"/>
      <c r="T2" s="1438"/>
      <c r="U2" s="1438"/>
      <c r="V2" s="1438"/>
      <c r="W2" s="1438"/>
      <c r="X2" s="1438"/>
      <c r="Y2" s="1438"/>
      <c r="Z2" s="1438"/>
      <c r="AA2" s="1438"/>
      <c r="AB2" s="1438"/>
      <c r="AC2" s="1438"/>
      <c r="AD2" s="1438"/>
      <c r="AE2" s="1438"/>
      <c r="AF2" s="1438"/>
    </row>
    <row r="3" spans="1:32" ht="19.899999999999999" thickBot="1">
      <c r="A3" s="1438"/>
      <c r="B3" s="1448" t="s">
        <v>5</v>
      </c>
      <c r="C3" s="361" t="s">
        <v>6</v>
      </c>
      <c r="D3" s="362" t="s">
        <v>7</v>
      </c>
      <c r="E3" s="363" t="s">
        <v>8</v>
      </c>
      <c r="F3" s="364" t="s">
        <v>9</v>
      </c>
      <c r="G3" s="362" t="s">
        <v>10</v>
      </c>
      <c r="H3" s="362" t="s">
        <v>11</v>
      </c>
      <c r="I3" s="365" t="s">
        <v>12</v>
      </c>
      <c r="J3" s="1446" t="s">
        <v>13</v>
      </c>
      <c r="K3" s="1449"/>
      <c r="L3" s="1446"/>
      <c r="M3" s="1438"/>
      <c r="N3" s="1438"/>
      <c r="O3" s="1438"/>
      <c r="P3" s="1438"/>
      <c r="Q3" s="1438"/>
      <c r="R3" s="1438"/>
      <c r="S3" s="1438"/>
      <c r="T3" s="1438"/>
      <c r="U3" s="1438"/>
      <c r="V3" s="1438"/>
      <c r="W3" s="1438"/>
      <c r="X3" s="1438"/>
      <c r="Y3" s="1438"/>
      <c r="Z3" s="1438"/>
      <c r="AA3" s="1438"/>
      <c r="AB3" s="1438"/>
      <c r="AC3" s="1438"/>
      <c r="AD3" s="1438"/>
      <c r="AE3" s="1438"/>
      <c r="AF3" s="1438"/>
    </row>
    <row r="4" spans="1:32" ht="19.899999999999999" thickBot="1">
      <c r="A4" s="1438"/>
      <c r="B4" s="1450" t="s">
        <v>14</v>
      </c>
      <c r="C4" s="1451" t="s">
        <v>4</v>
      </c>
      <c r="D4" s="1451" t="s">
        <v>4</v>
      </c>
      <c r="E4" s="1451" t="s">
        <v>4</v>
      </c>
      <c r="F4" s="1451" t="s">
        <v>4</v>
      </c>
      <c r="G4" s="1451" t="s">
        <v>4</v>
      </c>
      <c r="H4" s="1452" t="s">
        <v>4</v>
      </c>
      <c r="I4" s="1453">
        <v>1</v>
      </c>
      <c r="J4" s="1446" t="s">
        <v>15</v>
      </c>
      <c r="K4" s="1449"/>
      <c r="L4" s="1454"/>
      <c r="M4" s="1438"/>
      <c r="N4" s="1438"/>
      <c r="O4" s="1438"/>
      <c r="P4" s="1438"/>
      <c r="Q4" s="1438"/>
      <c r="R4" s="1438"/>
      <c r="S4" s="1438"/>
      <c r="T4" s="1438"/>
      <c r="U4" s="1438"/>
      <c r="V4" s="1438"/>
      <c r="W4" s="1438"/>
      <c r="X4" s="1438"/>
      <c r="Y4" s="1438"/>
      <c r="Z4" s="1438"/>
      <c r="AA4" s="1438"/>
      <c r="AB4" s="1438"/>
      <c r="AC4" s="1438"/>
      <c r="AD4" s="1438"/>
      <c r="AE4" s="1438"/>
      <c r="AF4" s="1438"/>
    </row>
    <row r="5" spans="1:32" ht="19.149999999999999">
      <c r="A5" s="1438"/>
      <c r="B5" s="1455" t="s">
        <v>16</v>
      </c>
      <c r="C5" s="1456"/>
      <c r="D5" s="1457"/>
      <c r="E5" s="1458"/>
      <c r="F5" s="1457"/>
      <c r="G5" s="1457"/>
      <c r="H5" s="1457"/>
      <c r="I5" s="1459" t="s">
        <v>50</v>
      </c>
      <c r="J5" s="1446" t="s">
        <v>17</v>
      </c>
      <c r="K5" s="1449"/>
      <c r="L5" s="1460"/>
      <c r="M5" s="1438"/>
      <c r="N5" s="1438"/>
      <c r="O5" s="1438"/>
      <c r="P5" s="1438"/>
      <c r="Q5" s="1438"/>
      <c r="R5" s="1438"/>
      <c r="S5" s="1438"/>
      <c r="T5" s="1438"/>
      <c r="U5" s="1438"/>
      <c r="V5" s="1438"/>
      <c r="W5" s="1438"/>
      <c r="X5" s="1438"/>
      <c r="Y5" s="1438"/>
      <c r="Z5" s="1438"/>
      <c r="AA5" s="1438"/>
      <c r="AB5" s="1438"/>
      <c r="AC5" s="1438"/>
      <c r="AD5" s="1438"/>
      <c r="AE5" s="1438"/>
      <c r="AF5" s="1438"/>
    </row>
    <row r="6" spans="1:32" ht="19.899999999999999" thickBot="1">
      <c r="A6" s="1438"/>
      <c r="B6" s="1461" t="s">
        <v>18</v>
      </c>
      <c r="C6" s="1462" t="s">
        <v>4</v>
      </c>
      <c r="D6" s="1462" t="s">
        <v>4</v>
      </c>
      <c r="E6" s="1463" t="s">
        <v>4</v>
      </c>
      <c r="F6" s="1463" t="s">
        <v>4</v>
      </c>
      <c r="G6" s="1464" t="s">
        <v>4</v>
      </c>
      <c r="H6" s="1465" t="s">
        <v>4</v>
      </c>
      <c r="I6" s="1466">
        <v>0.15</v>
      </c>
      <c r="J6" s="1467"/>
      <c r="K6" s="1449"/>
      <c r="L6" s="1438"/>
      <c r="M6" s="1438"/>
      <c r="N6" s="1438"/>
      <c r="O6" s="1438"/>
      <c r="P6" s="1438"/>
      <c r="Q6" s="1438"/>
      <c r="R6" s="1438"/>
      <c r="S6" s="1438"/>
      <c r="T6" s="1438"/>
      <c r="U6" s="1438"/>
      <c r="V6" s="1438"/>
      <c r="W6" s="1438"/>
      <c r="X6" s="1438"/>
      <c r="Y6" s="1438"/>
      <c r="Z6" s="1438"/>
      <c r="AA6" s="1438"/>
      <c r="AB6" s="1438"/>
      <c r="AC6" s="1438"/>
      <c r="AD6" s="1438"/>
      <c r="AE6" s="1438"/>
      <c r="AF6" s="1438"/>
    </row>
    <row r="7" spans="1:32" ht="19.149999999999999">
      <c r="A7" s="1438"/>
      <c r="B7" s="1455" t="s">
        <v>19</v>
      </c>
      <c r="C7" s="1468"/>
      <c r="D7" s="1469"/>
      <c r="E7" s="1470"/>
      <c r="F7" s="1469"/>
      <c r="G7" s="1469"/>
      <c r="H7" s="1469"/>
      <c r="I7" s="1471" t="s">
        <v>452</v>
      </c>
      <c r="J7" s="1472" t="s">
        <v>20</v>
      </c>
      <c r="K7" s="1449"/>
      <c r="L7" s="1473"/>
      <c r="M7" s="1438"/>
      <c r="N7" s="1438"/>
      <c r="O7" s="1438"/>
      <c r="P7" s="1438"/>
      <c r="Q7" s="1438"/>
      <c r="R7" s="1438"/>
      <c r="S7" s="1438"/>
      <c r="T7" s="1438"/>
      <c r="U7" s="1438"/>
      <c r="V7" s="1438"/>
      <c r="W7" s="1438"/>
      <c r="X7" s="1438"/>
      <c r="Y7" s="1438"/>
      <c r="Z7" s="1438"/>
      <c r="AA7" s="1438"/>
      <c r="AB7" s="1438"/>
      <c r="AC7" s="1438"/>
      <c r="AD7" s="1438"/>
      <c r="AE7" s="1438"/>
      <c r="AF7" s="1438"/>
    </row>
    <row r="8" spans="1:32" ht="19.149999999999999">
      <c r="A8" s="1438"/>
      <c r="B8" s="1450" t="s">
        <v>21</v>
      </c>
      <c r="C8" s="1474"/>
      <c r="D8" s="1475"/>
      <c r="E8" s="1476"/>
      <c r="F8" s="1475"/>
      <c r="G8" s="1475"/>
      <c r="H8" s="1475"/>
      <c r="I8" s="1445">
        <v>9.5</v>
      </c>
      <c r="J8" s="1477">
        <f>I8</f>
        <v>9.5</v>
      </c>
      <c r="K8" s="1449"/>
      <c r="L8" s="1478" t="s">
        <v>22</v>
      </c>
      <c r="M8" s="1438"/>
      <c r="N8" s="1438"/>
      <c r="O8" s="1438"/>
      <c r="P8" s="1438"/>
      <c r="Q8" s="1438"/>
      <c r="R8" s="1438"/>
      <c r="S8" s="1438"/>
      <c r="T8" s="1438"/>
      <c r="U8" s="1438"/>
      <c r="V8" s="1438"/>
      <c r="W8" s="1438"/>
      <c r="X8" s="1438"/>
      <c r="Y8" s="1438"/>
      <c r="Z8" s="1438"/>
      <c r="AA8" s="1438"/>
      <c r="AB8" s="1438"/>
      <c r="AC8" s="1438"/>
      <c r="AD8" s="1438"/>
      <c r="AE8" s="1438"/>
      <c r="AF8" s="1438"/>
    </row>
    <row r="9" spans="1:32" ht="19.149999999999999">
      <c r="A9" s="1438"/>
      <c r="B9" s="1450" t="s">
        <v>23</v>
      </c>
      <c r="C9" s="1474"/>
      <c r="D9" s="1475"/>
      <c r="E9" s="1476"/>
      <c r="F9" s="1475"/>
      <c r="G9" s="1475"/>
      <c r="H9" s="1475"/>
      <c r="I9" s="1445">
        <v>0.8</v>
      </c>
      <c r="J9" s="1477">
        <f>I9</f>
        <v>0.8</v>
      </c>
      <c r="K9" s="1449"/>
      <c r="L9" s="1478" t="s">
        <v>24</v>
      </c>
      <c r="M9" s="1438"/>
      <c r="N9" s="1438"/>
      <c r="O9" s="1438"/>
      <c r="P9" s="1438"/>
      <c r="Q9" s="1438"/>
      <c r="R9" s="1438"/>
      <c r="S9" s="1438"/>
      <c r="T9" s="1438"/>
      <c r="U9" s="1438"/>
      <c r="V9" s="1438"/>
      <c r="W9" s="1438"/>
      <c r="X9" s="1438"/>
      <c r="Y9" s="1438"/>
      <c r="Z9" s="1438"/>
      <c r="AA9" s="1438"/>
      <c r="AB9" s="1438"/>
      <c r="AC9" s="1438"/>
      <c r="AD9" s="1438"/>
      <c r="AE9" s="1438"/>
      <c r="AF9" s="1438"/>
    </row>
    <row r="10" spans="1:32" ht="19.899999999999999" thickBot="1">
      <c r="A10" s="1438"/>
      <c r="B10" s="1450" t="s">
        <v>25</v>
      </c>
      <c r="C10" s="1474"/>
      <c r="D10" s="1475"/>
      <c r="E10" s="1476"/>
      <c r="F10" s="1475"/>
      <c r="G10" s="1475"/>
      <c r="H10" s="1475"/>
      <c r="I10" s="1479">
        <v>0.3</v>
      </c>
      <c r="J10" s="1480">
        <v>0.3</v>
      </c>
      <c r="K10" s="1449"/>
      <c r="L10" s="1478" t="s">
        <v>26</v>
      </c>
      <c r="M10" s="1438"/>
      <c r="N10" s="1438"/>
      <c r="O10" s="1438"/>
      <c r="P10" s="1438"/>
      <c r="Q10" s="1438"/>
      <c r="R10" s="1438"/>
      <c r="S10" s="1438"/>
      <c r="T10" s="1438"/>
      <c r="U10" s="1438"/>
      <c r="V10" s="1438"/>
      <c r="W10" s="1438"/>
      <c r="X10" s="1438"/>
      <c r="Y10" s="1438"/>
      <c r="Z10" s="1438"/>
      <c r="AA10" s="1438"/>
      <c r="AB10" s="1438"/>
      <c r="AC10" s="1438"/>
      <c r="AD10" s="1438"/>
      <c r="AE10" s="1438"/>
      <c r="AF10" s="1438"/>
    </row>
    <row r="11" spans="1:32" ht="19.899999999999999" thickBot="1">
      <c r="A11" s="1438"/>
      <c r="B11" s="1481" t="s">
        <v>27</v>
      </c>
      <c r="C11" s="1482" t="s">
        <v>4</v>
      </c>
      <c r="D11" s="1483" t="s">
        <v>4</v>
      </c>
      <c r="E11" s="1484" t="s">
        <v>4</v>
      </c>
      <c r="F11" s="1485" t="s">
        <v>4</v>
      </c>
      <c r="G11" s="1486" t="s">
        <v>4</v>
      </c>
      <c r="H11" s="1487" t="s">
        <v>4</v>
      </c>
      <c r="I11" s="1488" t="s">
        <v>453</v>
      </c>
      <c r="J11" s="1489">
        <v>7.9</v>
      </c>
      <c r="K11" s="1449"/>
      <c r="L11" s="1478" t="s">
        <v>28</v>
      </c>
      <c r="M11" s="1438"/>
      <c r="N11" s="1438"/>
      <c r="O11" s="1438"/>
      <c r="P11" s="1438"/>
      <c r="Q11" s="1438"/>
      <c r="R11" s="1438"/>
      <c r="S11" s="1438"/>
      <c r="T11" s="1438"/>
      <c r="U11" s="1438"/>
      <c r="V11" s="1438"/>
      <c r="W11" s="1438"/>
      <c r="X11" s="1438"/>
      <c r="Y11" s="1438"/>
      <c r="Z11" s="1438"/>
      <c r="AA11" s="1438"/>
      <c r="AB11" s="1438"/>
      <c r="AC11" s="1438"/>
      <c r="AD11" s="1438"/>
      <c r="AE11" s="1438"/>
      <c r="AF11" s="1438"/>
    </row>
    <row r="12" spans="1:32" ht="19.899999999999999" thickBot="1">
      <c r="A12" s="1438"/>
      <c r="B12" s="1438" t="s">
        <v>4</v>
      </c>
      <c r="C12" s="1490">
        <v>2</v>
      </c>
      <c r="D12" s="1490">
        <v>3</v>
      </c>
      <c r="E12" s="1490">
        <v>4</v>
      </c>
      <c r="F12" s="1491">
        <v>5</v>
      </c>
      <c r="G12" s="1492">
        <v>6</v>
      </c>
      <c r="H12" s="1493">
        <v>7</v>
      </c>
      <c r="I12" s="1453">
        <v>8</v>
      </c>
      <c r="J12" s="1494"/>
      <c r="K12" s="1449"/>
      <c r="L12" s="1495"/>
      <c r="M12" s="1438"/>
      <c r="N12" s="1438"/>
      <c r="O12" s="1438"/>
      <c r="P12" s="1438"/>
      <c r="Q12" s="1438"/>
      <c r="R12" s="1438"/>
      <c r="S12" s="1438"/>
      <c r="T12" s="1438"/>
      <c r="U12" s="1438"/>
      <c r="V12" s="1438"/>
      <c r="W12" s="1438"/>
      <c r="X12" s="1438"/>
      <c r="Y12" s="1438"/>
      <c r="Z12" s="1438"/>
      <c r="AA12" s="1438"/>
      <c r="AB12" s="1438"/>
      <c r="AC12" s="1438"/>
      <c r="AD12" s="1438"/>
      <c r="AE12" s="1438"/>
      <c r="AF12" s="1438"/>
    </row>
    <row r="13" spans="1:32" ht="19.149999999999999">
      <c r="A13" s="1438"/>
      <c r="B13" s="1438"/>
      <c r="C13" s="1456" t="s">
        <v>379</v>
      </c>
      <c r="D13" s="1457" t="s">
        <v>324</v>
      </c>
      <c r="E13" s="1458" t="s">
        <v>50</v>
      </c>
      <c r="F13" s="1457" t="s">
        <v>50</v>
      </c>
      <c r="G13" s="1469" t="s">
        <v>379</v>
      </c>
      <c r="H13" s="1496" t="s">
        <v>386</v>
      </c>
      <c r="I13" s="1497" t="s">
        <v>42</v>
      </c>
      <c r="J13" s="1494"/>
      <c r="K13" s="1449"/>
      <c r="L13" s="1495"/>
      <c r="M13" s="1438"/>
      <c r="N13" s="1438"/>
      <c r="O13" s="1438"/>
      <c r="P13" s="1438"/>
      <c r="Q13" s="1438"/>
      <c r="R13" s="1438"/>
      <c r="S13" s="1438"/>
      <c r="T13" s="1438"/>
      <c r="U13" s="1438"/>
      <c r="V13" s="1438"/>
      <c r="W13" s="1438"/>
      <c r="X13" s="1438"/>
      <c r="Y13" s="1438"/>
      <c r="Z13" s="1438"/>
      <c r="AA13" s="1438"/>
      <c r="AB13" s="1438"/>
      <c r="AC13" s="1438"/>
      <c r="AD13" s="1438"/>
      <c r="AE13" s="1438"/>
      <c r="AF13" s="1438"/>
    </row>
    <row r="14" spans="1:32" ht="19.899999999999999" thickBot="1">
      <c r="A14" s="1438"/>
      <c r="B14" s="1438"/>
      <c r="C14" s="1498">
        <v>0.24</v>
      </c>
      <c r="D14" s="1465">
        <v>0.35</v>
      </c>
      <c r="E14" s="1462">
        <v>0.46</v>
      </c>
      <c r="F14" s="1463">
        <v>0.57999999999999996</v>
      </c>
      <c r="G14" s="1463">
        <v>0.68</v>
      </c>
      <c r="H14" s="1499">
        <v>0.78</v>
      </c>
      <c r="I14" s="1500">
        <v>0.86</v>
      </c>
      <c r="J14" s="1449"/>
      <c r="K14" s="1449"/>
      <c r="L14" s="1495"/>
      <c r="M14" s="1438"/>
      <c r="N14" s="1438"/>
      <c r="O14" s="1438"/>
      <c r="P14" s="1438"/>
      <c r="Q14" s="1438"/>
      <c r="R14" s="1438"/>
      <c r="S14" s="1438"/>
      <c r="T14" s="1438"/>
      <c r="U14" s="1438"/>
      <c r="V14" s="1438"/>
      <c r="W14" s="1438"/>
      <c r="X14" s="1438"/>
      <c r="Y14" s="1438"/>
      <c r="Z14" s="1438"/>
      <c r="AA14" s="1438"/>
      <c r="AB14" s="1438"/>
      <c r="AC14" s="1438"/>
      <c r="AD14" s="1438"/>
      <c r="AE14" s="1438"/>
      <c r="AF14" s="1438"/>
    </row>
    <row r="15" spans="1:32" ht="19.149999999999999">
      <c r="A15" s="1438"/>
      <c r="B15" s="1438"/>
      <c r="C15" s="1468" t="s">
        <v>452</v>
      </c>
      <c r="D15" s="1469" t="s">
        <v>42</v>
      </c>
      <c r="E15" s="1469" t="s">
        <v>42</v>
      </c>
      <c r="F15" s="1469" t="s">
        <v>42</v>
      </c>
      <c r="G15" s="1469" t="s">
        <v>42</v>
      </c>
      <c r="H15" s="1496" t="s">
        <v>42</v>
      </c>
      <c r="I15" s="1501" t="s">
        <v>108</v>
      </c>
      <c r="J15" s="1472" t="s">
        <v>29</v>
      </c>
      <c r="K15" s="1449"/>
      <c r="L15" s="1495"/>
      <c r="M15" s="1438"/>
      <c r="N15" s="1438"/>
      <c r="O15" s="1438"/>
      <c r="P15" s="1438"/>
      <c r="Q15" s="1438"/>
      <c r="R15" s="1438"/>
      <c r="S15" s="1438"/>
      <c r="T15" s="1438"/>
      <c r="U15" s="1438"/>
      <c r="V15" s="1438"/>
      <c r="W15" s="1438"/>
      <c r="X15" s="1438"/>
      <c r="Y15" s="1438"/>
      <c r="Z15" s="1438"/>
      <c r="AA15" s="1438"/>
      <c r="AB15" s="1438"/>
      <c r="AC15" s="1438"/>
      <c r="AD15" s="1438"/>
      <c r="AE15" s="1438"/>
      <c r="AF15" s="1438"/>
    </row>
    <row r="16" spans="1:32" ht="19.149999999999999">
      <c r="A16" s="1438"/>
      <c r="B16" s="1438"/>
      <c r="C16" s="1474" t="s">
        <v>419</v>
      </c>
      <c r="D16" s="1475">
        <v>5.5</v>
      </c>
      <c r="E16" s="1475">
        <v>0.5</v>
      </c>
      <c r="F16" s="1475">
        <v>3.1</v>
      </c>
      <c r="G16" s="1475" t="s">
        <v>419</v>
      </c>
      <c r="H16" s="1475" t="s">
        <v>419</v>
      </c>
      <c r="I16" s="1445" t="s">
        <v>419</v>
      </c>
      <c r="J16" s="1477">
        <f>SUM(C16:I16)</f>
        <v>9.1</v>
      </c>
      <c r="K16" s="1449"/>
      <c r="L16" s="1502" t="s">
        <v>22</v>
      </c>
      <c r="M16" s="1438"/>
      <c r="N16" s="1438"/>
      <c r="O16" s="1438"/>
      <c r="P16" s="1438"/>
      <c r="Q16" s="1438"/>
      <c r="R16" s="1438"/>
      <c r="S16" s="1438"/>
      <c r="T16" s="1438"/>
      <c r="U16" s="1438"/>
      <c r="V16" s="1438"/>
      <c r="W16" s="1438"/>
      <c r="X16" s="1438"/>
      <c r="Y16" s="1438"/>
      <c r="Z16" s="1438"/>
      <c r="AA16" s="1438"/>
      <c r="AB16" s="1438"/>
      <c r="AC16" s="1438"/>
      <c r="AD16" s="1438"/>
      <c r="AE16" s="1438"/>
      <c r="AF16" s="1438"/>
    </row>
    <row r="17" spans="1:32" ht="19.149999999999999">
      <c r="A17" s="1438"/>
      <c r="B17" s="1438"/>
      <c r="C17" s="1474">
        <v>0</v>
      </c>
      <c r="D17" s="1475">
        <v>0.7</v>
      </c>
      <c r="E17" s="1475">
        <v>0</v>
      </c>
      <c r="F17" s="1475">
        <v>0.8</v>
      </c>
      <c r="G17" s="1475">
        <v>0</v>
      </c>
      <c r="H17" s="1475">
        <v>0</v>
      </c>
      <c r="I17" s="1445">
        <v>0</v>
      </c>
      <c r="J17" s="1477">
        <f>SUM(C17:I17)</f>
        <v>1.5</v>
      </c>
      <c r="K17" s="1449"/>
      <c r="L17" s="1502" t="s">
        <v>24</v>
      </c>
      <c r="M17" s="1438"/>
      <c r="N17" s="1438"/>
      <c r="O17" s="1438"/>
      <c r="P17" s="1438"/>
      <c r="Q17" s="1438"/>
      <c r="R17" s="1438"/>
      <c r="S17" s="1438"/>
      <c r="T17" s="1438"/>
      <c r="U17" s="1438"/>
      <c r="V17" s="1438"/>
      <c r="W17" s="1438"/>
      <c r="X17" s="1438"/>
      <c r="Y17" s="1438"/>
      <c r="Z17" s="1438"/>
      <c r="AA17" s="1438"/>
      <c r="AB17" s="1438"/>
      <c r="AC17" s="1438"/>
      <c r="AD17" s="1438"/>
      <c r="AE17" s="1438"/>
      <c r="AF17" s="1438"/>
    </row>
    <row r="18" spans="1:32" ht="19.149999999999999">
      <c r="A18" s="1438"/>
      <c r="B18" s="1438"/>
      <c r="C18" s="1474">
        <v>0</v>
      </c>
      <c r="D18" s="1475">
        <v>0</v>
      </c>
      <c r="E18" s="1475">
        <v>0</v>
      </c>
      <c r="F18" s="1475">
        <v>0</v>
      </c>
      <c r="G18" s="1475">
        <v>0</v>
      </c>
      <c r="H18" s="1475">
        <v>0</v>
      </c>
      <c r="I18" s="1445">
        <v>0</v>
      </c>
      <c r="J18" s="1489">
        <f>SUM(C18:I18)</f>
        <v>0</v>
      </c>
      <c r="K18" s="1449"/>
      <c r="L18" s="1502" t="s">
        <v>26</v>
      </c>
      <c r="M18" s="1438"/>
      <c r="N18" s="1438"/>
      <c r="O18" s="1438"/>
      <c r="P18" s="1438"/>
      <c r="Q18" s="1438"/>
      <c r="R18" s="1438"/>
      <c r="S18" s="1438"/>
      <c r="T18" s="1438"/>
      <c r="U18" s="1438"/>
      <c r="V18" s="1438"/>
      <c r="W18" s="1438"/>
      <c r="X18" s="1438"/>
      <c r="Y18" s="1438"/>
      <c r="Z18" s="1438"/>
      <c r="AA18" s="1438"/>
      <c r="AB18" s="1438"/>
      <c r="AC18" s="1438"/>
      <c r="AD18" s="1438"/>
      <c r="AE18" s="1438"/>
      <c r="AF18" s="1438"/>
    </row>
    <row r="19" spans="1:32" ht="19.899999999999999" thickBot="1">
      <c r="A19" s="1438"/>
      <c r="B19" s="1438"/>
      <c r="C19" s="1503" t="s">
        <v>454</v>
      </c>
      <c r="D19" s="1504" t="s">
        <v>455</v>
      </c>
      <c r="E19" s="1483" t="s">
        <v>456</v>
      </c>
      <c r="F19" s="1486" t="s">
        <v>457</v>
      </c>
      <c r="G19" s="1505" t="s">
        <v>458</v>
      </c>
      <c r="H19" s="1506" t="s">
        <v>459</v>
      </c>
      <c r="I19" s="1488" t="s">
        <v>460</v>
      </c>
      <c r="J19" s="1489">
        <v>24.72</v>
      </c>
      <c r="K19" s="1449"/>
      <c r="L19" s="1478" t="s">
        <v>28</v>
      </c>
      <c r="M19" s="1438"/>
      <c r="N19" s="1438"/>
      <c r="O19" s="1438"/>
      <c r="P19" s="1438"/>
      <c r="Q19" s="1438"/>
      <c r="R19" s="1438"/>
      <c r="S19" s="1438"/>
      <c r="T19" s="1438"/>
      <c r="U19" s="1438"/>
      <c r="V19" s="1438"/>
      <c r="W19" s="1438"/>
      <c r="X19" s="1438"/>
      <c r="Y19" s="1438"/>
      <c r="Z19" s="1438"/>
      <c r="AA19" s="1438"/>
      <c r="AB19" s="1438"/>
      <c r="AC19" s="1438"/>
      <c r="AD19" s="1438"/>
      <c r="AE19" s="1438"/>
      <c r="AF19" s="1438"/>
    </row>
    <row r="20" spans="1:32" ht="19.899999999999999" thickBot="1">
      <c r="A20" s="1438"/>
      <c r="B20" s="1438"/>
      <c r="C20" s="1507">
        <v>9</v>
      </c>
      <c r="D20" s="1507">
        <v>10</v>
      </c>
      <c r="E20" s="1508">
        <v>11</v>
      </c>
      <c r="F20" s="1509">
        <v>12</v>
      </c>
      <c r="G20" s="1510">
        <v>13</v>
      </c>
      <c r="H20" s="1510">
        <v>14</v>
      </c>
      <c r="I20" s="1511">
        <v>15</v>
      </c>
      <c r="J20" s="1494"/>
      <c r="K20" s="1449"/>
      <c r="L20" s="1495"/>
      <c r="N20" s="1438"/>
      <c r="O20" s="1438"/>
      <c r="P20" s="1438"/>
      <c r="Q20" s="1438"/>
      <c r="R20" s="1438"/>
      <c r="S20" s="1438"/>
      <c r="T20" s="1438"/>
      <c r="U20" s="1438"/>
      <c r="V20" s="1438"/>
      <c r="W20" s="1438"/>
      <c r="X20" s="1438"/>
      <c r="Y20" s="1438"/>
      <c r="Z20" s="1438"/>
      <c r="AA20" s="1438"/>
      <c r="AB20" s="1438"/>
      <c r="AC20" s="1438"/>
      <c r="AD20" s="1438"/>
      <c r="AE20" s="1438"/>
      <c r="AF20" s="1438"/>
    </row>
    <row r="21" spans="1:32" ht="19.149999999999999">
      <c r="A21" s="1438"/>
      <c r="B21" s="1438"/>
      <c r="C21" s="1512"/>
      <c r="D21" s="1513"/>
      <c r="E21" s="1513"/>
      <c r="F21" s="1513"/>
      <c r="G21" s="1513"/>
      <c r="H21" s="1513"/>
      <c r="I21" s="1514" t="s">
        <v>207</v>
      </c>
      <c r="J21" s="1494"/>
      <c r="K21" s="1449"/>
      <c r="L21" s="1495"/>
      <c r="M21" s="1438"/>
      <c r="N21" s="1438"/>
      <c r="O21" s="1438"/>
      <c r="P21" s="1438"/>
      <c r="Q21" s="1438"/>
      <c r="R21" s="1438"/>
      <c r="S21" s="1438"/>
      <c r="T21" s="1438"/>
      <c r="U21" s="1438"/>
      <c r="V21" s="1438"/>
      <c r="W21" s="1438"/>
      <c r="X21" s="1438"/>
      <c r="Y21" s="1438"/>
      <c r="Z21" s="1438"/>
      <c r="AA21" s="1438"/>
      <c r="AB21" s="1438"/>
      <c r="AC21" s="1438"/>
      <c r="AD21" s="1438"/>
      <c r="AE21" s="1438"/>
      <c r="AF21" s="1438"/>
    </row>
    <row r="22" spans="1:32" ht="19.899999999999999" thickBot="1">
      <c r="A22" s="1438"/>
      <c r="B22" s="1438"/>
      <c r="C22" s="1515">
        <v>0.93</v>
      </c>
      <c r="D22" s="1463">
        <v>0.97</v>
      </c>
      <c r="E22" s="1463">
        <v>1</v>
      </c>
      <c r="F22" s="1463">
        <v>1</v>
      </c>
      <c r="G22" s="1464">
        <v>0.98</v>
      </c>
      <c r="H22" s="1465">
        <v>0.94</v>
      </c>
      <c r="I22" s="1466">
        <v>0.89</v>
      </c>
      <c r="J22" s="1449"/>
      <c r="K22" s="1449"/>
      <c r="L22" s="1495"/>
      <c r="M22" s="1438"/>
      <c r="N22" s="1438"/>
      <c r="O22" s="1438"/>
      <c r="P22" s="1438"/>
      <c r="Q22" s="1438"/>
      <c r="R22" s="1438"/>
      <c r="S22" s="1438"/>
      <c r="T22" s="1438"/>
      <c r="U22" s="1438"/>
      <c r="V22" s="1438"/>
      <c r="W22" s="1438"/>
      <c r="X22" s="1438"/>
      <c r="Y22" s="1438"/>
      <c r="Z22" s="1438"/>
      <c r="AA22" s="1438"/>
      <c r="AB22" s="1438"/>
      <c r="AC22" s="1438"/>
      <c r="AD22" s="1438"/>
      <c r="AE22" s="1438"/>
      <c r="AF22" s="1438"/>
    </row>
    <row r="23" spans="1:32" ht="19.149999999999999">
      <c r="A23" s="1438"/>
      <c r="B23" s="1438"/>
      <c r="C23" s="1468"/>
      <c r="D23" s="1469"/>
      <c r="E23" s="1469"/>
      <c r="F23" s="1469"/>
      <c r="G23" s="1469"/>
      <c r="H23" s="1469"/>
      <c r="I23" s="1514" t="s">
        <v>340</v>
      </c>
      <c r="J23" s="1516" t="s">
        <v>30</v>
      </c>
      <c r="K23" s="1449"/>
      <c r="L23" s="1495"/>
      <c r="M23" s="1438"/>
      <c r="N23" s="1438"/>
      <c r="O23" s="1438"/>
      <c r="P23" s="1438"/>
      <c r="Q23" s="1438"/>
      <c r="R23" s="1438"/>
      <c r="S23" s="1438"/>
      <c r="T23" s="1438"/>
      <c r="U23" s="1438"/>
      <c r="V23" s="1438"/>
      <c r="W23" s="1438"/>
      <c r="X23" s="1438"/>
      <c r="Y23" s="1438"/>
      <c r="Z23" s="1438"/>
      <c r="AA23" s="1438"/>
      <c r="AB23" s="1438"/>
      <c r="AC23" s="1438"/>
      <c r="AD23" s="1438"/>
      <c r="AE23" s="1438"/>
      <c r="AF23" s="1438"/>
    </row>
    <row r="24" spans="1:32" ht="19.149999999999999">
      <c r="A24" s="1438"/>
      <c r="B24" s="1438"/>
      <c r="C24" s="1474"/>
      <c r="D24" s="1517"/>
      <c r="E24" s="1475"/>
      <c r="F24" s="1475"/>
      <c r="G24" s="1475"/>
      <c r="H24" s="1518"/>
      <c r="I24" s="1475" t="s">
        <v>461</v>
      </c>
      <c r="J24" s="1519">
        <f>SUM(C24:I24)</f>
        <v>0</v>
      </c>
      <c r="K24" s="1449"/>
      <c r="L24" s="1502" t="s">
        <v>22</v>
      </c>
      <c r="M24" s="1438"/>
      <c r="N24" s="1438"/>
      <c r="O24" s="1438"/>
      <c r="P24" s="1438"/>
      <c r="Q24" s="1438"/>
      <c r="R24" s="1438"/>
      <c r="S24" s="1438"/>
      <c r="T24" s="1438"/>
      <c r="U24" s="1438"/>
      <c r="V24" s="1438"/>
      <c r="W24" s="1438"/>
      <c r="X24" s="1438"/>
      <c r="Y24" s="1438"/>
      <c r="Z24" s="1438"/>
      <c r="AA24" s="1438"/>
      <c r="AB24" s="1438"/>
      <c r="AC24" s="1438"/>
      <c r="AD24" s="1438"/>
      <c r="AE24" s="1438"/>
      <c r="AF24" s="1438"/>
    </row>
    <row r="25" spans="1:32" ht="19.149999999999999">
      <c r="A25" s="1438"/>
      <c r="B25" s="1438"/>
      <c r="C25" s="1474"/>
      <c r="D25" s="1517"/>
      <c r="E25" s="1475"/>
      <c r="F25" s="1475"/>
      <c r="G25" s="1475"/>
      <c r="I25" s="1475">
        <v>0</v>
      </c>
      <c r="J25" s="1519">
        <f>SUM(C25:I25)</f>
        <v>0</v>
      </c>
      <c r="K25" s="1449"/>
      <c r="L25" s="1502" t="s">
        <v>24</v>
      </c>
      <c r="M25" s="1438"/>
      <c r="N25" s="1438"/>
      <c r="O25" s="1438"/>
      <c r="P25" s="1438"/>
      <c r="Q25" s="1438"/>
      <c r="R25" s="1438"/>
      <c r="S25" s="1438"/>
      <c r="T25" s="1438"/>
      <c r="U25" s="1438"/>
      <c r="V25" s="1438"/>
      <c r="W25" s="1438"/>
      <c r="X25" s="1438"/>
      <c r="Y25" s="1438"/>
      <c r="Z25" s="1438"/>
      <c r="AA25" s="1438"/>
      <c r="AB25" s="1438"/>
      <c r="AC25" s="1438"/>
      <c r="AD25" s="1438"/>
      <c r="AE25" s="1438"/>
      <c r="AF25" s="1438"/>
    </row>
    <row r="26" spans="1:32" ht="19.149999999999999">
      <c r="A26" s="1438"/>
      <c r="B26" s="1438"/>
      <c r="C26" s="1474"/>
      <c r="D26" s="1518"/>
      <c r="E26" s="1518"/>
      <c r="F26" s="1518"/>
      <c r="G26" s="1518"/>
      <c r="H26" s="1518"/>
      <c r="I26" s="1475">
        <v>0</v>
      </c>
      <c r="J26" s="1519">
        <f>SUM(C26:I26)</f>
        <v>0</v>
      </c>
      <c r="K26" s="1449"/>
      <c r="L26" s="1502" t="s">
        <v>26</v>
      </c>
      <c r="M26" s="1438"/>
      <c r="N26" s="1438"/>
      <c r="O26" s="1438"/>
      <c r="P26" s="1438"/>
      <c r="Q26" s="1438"/>
      <c r="R26" s="1438"/>
      <c r="S26" s="1438"/>
      <c r="T26" s="1438"/>
      <c r="U26" s="1438"/>
      <c r="V26" s="1438"/>
      <c r="W26" s="1438"/>
      <c r="X26" s="1438"/>
      <c r="Y26" s="1438"/>
      <c r="Z26" s="1438"/>
      <c r="AA26" s="1438"/>
      <c r="AB26" s="1438"/>
      <c r="AC26" s="1438"/>
      <c r="AD26" s="1438"/>
      <c r="AE26" s="1438"/>
      <c r="AF26" s="1438"/>
    </row>
    <row r="27" spans="1:32" ht="19.899999999999999" thickBot="1">
      <c r="A27" s="1438"/>
      <c r="B27" s="1438"/>
      <c r="C27" s="1520" t="s">
        <v>462</v>
      </c>
      <c r="D27" s="1483" t="s">
        <v>463</v>
      </c>
      <c r="E27" s="1483" t="s">
        <v>464</v>
      </c>
      <c r="F27" s="1521" t="s">
        <v>465</v>
      </c>
      <c r="G27" s="1483" t="s">
        <v>466</v>
      </c>
      <c r="H27" s="1483" t="s">
        <v>467</v>
      </c>
      <c r="I27" s="1522" t="s">
        <v>468</v>
      </c>
      <c r="J27" s="1523">
        <v>7.7</v>
      </c>
      <c r="K27" s="1449"/>
      <c r="L27" s="1478" t="s">
        <v>28</v>
      </c>
      <c r="M27" s="1438"/>
      <c r="N27" s="1438"/>
      <c r="O27" s="1438"/>
      <c r="P27" s="1438"/>
      <c r="Q27" s="1438"/>
      <c r="R27" s="1438"/>
      <c r="S27" s="1438"/>
      <c r="T27" s="1438"/>
      <c r="U27" s="1438"/>
      <c r="V27" s="1438"/>
      <c r="W27" s="1438"/>
      <c r="X27" s="1438"/>
      <c r="Y27" s="1438"/>
      <c r="Z27" s="1438"/>
      <c r="AA27" s="1438"/>
      <c r="AB27" s="1438"/>
      <c r="AC27" s="1438"/>
      <c r="AD27" s="1438"/>
      <c r="AE27" s="1438"/>
      <c r="AF27" s="1438"/>
    </row>
    <row r="28" spans="1:32" ht="19.899999999999999" thickBot="1">
      <c r="A28" s="1438"/>
      <c r="B28" s="1438"/>
      <c r="C28" s="1490">
        <v>16</v>
      </c>
      <c r="D28" s="1490">
        <v>17</v>
      </c>
      <c r="E28" s="1490">
        <v>18</v>
      </c>
      <c r="F28" s="1490">
        <v>19</v>
      </c>
      <c r="G28" s="1490">
        <v>20</v>
      </c>
      <c r="H28" s="1490">
        <v>21</v>
      </c>
      <c r="I28" s="1490">
        <v>22</v>
      </c>
      <c r="J28" s="1524"/>
      <c r="K28" s="1449"/>
      <c r="L28" s="1495"/>
      <c r="M28" s="1438"/>
      <c r="N28" s="1438"/>
      <c r="O28" s="1438"/>
      <c r="P28" s="1438"/>
      <c r="Q28" s="1438"/>
      <c r="R28" s="1438"/>
      <c r="S28" s="1438"/>
      <c r="T28" s="1438"/>
      <c r="U28" s="1438"/>
      <c r="V28" s="1438"/>
      <c r="W28" s="1438"/>
      <c r="X28" s="1438"/>
      <c r="Y28" s="1438"/>
      <c r="Z28" s="1438"/>
      <c r="AA28" s="1438"/>
      <c r="AB28" s="1438"/>
      <c r="AC28" s="1438"/>
      <c r="AD28" s="1438"/>
      <c r="AE28" s="1438"/>
      <c r="AF28" s="1438"/>
    </row>
    <row r="29" spans="1:32" ht="19.149999999999999">
      <c r="A29" s="1438"/>
      <c r="B29" s="1438"/>
      <c r="C29" s="1456" t="s">
        <v>207</v>
      </c>
      <c r="D29" s="1457" t="s">
        <v>50</v>
      </c>
      <c r="E29" s="1458" t="s">
        <v>379</v>
      </c>
      <c r="F29" s="1457" t="s">
        <v>386</v>
      </c>
      <c r="G29" s="1457" t="s">
        <v>251</v>
      </c>
      <c r="H29" s="1457" t="s">
        <v>253</v>
      </c>
      <c r="I29" s="1459" t="s">
        <v>253</v>
      </c>
      <c r="J29" s="1494"/>
      <c r="K29" s="1449"/>
      <c r="L29" s="1495"/>
      <c r="M29" s="1438"/>
      <c r="N29" s="1438"/>
      <c r="O29" s="1438"/>
      <c r="P29" s="1438"/>
      <c r="Q29" s="1438"/>
      <c r="R29" s="1438"/>
      <c r="S29" s="1438"/>
      <c r="T29" s="1438"/>
      <c r="U29" s="1438"/>
      <c r="V29" s="1438"/>
      <c r="W29" s="1438"/>
      <c r="X29" s="1438"/>
      <c r="Y29" s="1438"/>
      <c r="Z29" s="1438"/>
      <c r="AA29" s="1438"/>
      <c r="AB29" s="1438"/>
      <c r="AC29" s="1438"/>
      <c r="AD29" s="1438"/>
      <c r="AE29" s="1438"/>
      <c r="AF29" s="1438"/>
    </row>
    <row r="30" spans="1:32" ht="19.899999999999999" thickBot="1">
      <c r="A30" s="1438"/>
      <c r="B30" s="1438"/>
      <c r="C30" s="1515">
        <v>0.83</v>
      </c>
      <c r="D30" s="1463">
        <v>0.75</v>
      </c>
      <c r="E30" s="1463">
        <v>0.66</v>
      </c>
      <c r="F30" s="1463">
        <v>0.56999999999999995</v>
      </c>
      <c r="G30" s="1463">
        <v>0.48</v>
      </c>
      <c r="H30" s="1463">
        <v>0.38</v>
      </c>
      <c r="I30" s="1466">
        <v>0.28000000000000003</v>
      </c>
      <c r="J30" s="1449"/>
      <c r="K30" s="1449"/>
      <c r="L30" s="1495"/>
      <c r="M30" s="1438"/>
      <c r="N30" s="1438"/>
      <c r="O30" s="1438"/>
      <c r="P30" s="1438"/>
      <c r="Q30" s="1438"/>
      <c r="R30" s="1438"/>
      <c r="S30" s="1438"/>
      <c r="T30" s="1438"/>
      <c r="U30" s="1438"/>
      <c r="V30" s="1438"/>
      <c r="W30" s="1438"/>
      <c r="X30" s="1438"/>
      <c r="Y30" s="1438"/>
      <c r="Z30" s="1438"/>
      <c r="AA30" s="1438"/>
      <c r="AB30" s="1438"/>
      <c r="AC30" s="1438"/>
      <c r="AD30" s="1438"/>
      <c r="AE30" s="1438"/>
      <c r="AF30" s="1438"/>
    </row>
    <row r="31" spans="1:32" ht="19.149999999999999">
      <c r="A31" s="1438"/>
      <c r="B31" s="1438"/>
      <c r="C31" s="1468" t="s">
        <v>452</v>
      </c>
      <c r="D31" s="1469" t="s">
        <v>340</v>
      </c>
      <c r="E31" s="1469" t="s">
        <v>340</v>
      </c>
      <c r="F31" s="1469" t="s">
        <v>253</v>
      </c>
      <c r="G31" s="1469" t="s">
        <v>62</v>
      </c>
      <c r="H31" s="1469"/>
      <c r="I31" s="1514"/>
      <c r="J31" s="1516" t="s">
        <v>31</v>
      </c>
      <c r="K31" s="1449"/>
      <c r="L31" s="1495"/>
      <c r="M31" s="1438"/>
      <c r="N31" s="1438"/>
      <c r="O31" s="1438"/>
      <c r="P31" s="1438"/>
      <c r="Q31" s="1438"/>
      <c r="R31" s="1438"/>
      <c r="S31" s="1438"/>
      <c r="T31" s="1438"/>
      <c r="U31" s="1438"/>
      <c r="V31" s="1438"/>
      <c r="W31" s="1438"/>
      <c r="X31" s="1438"/>
      <c r="Y31" s="1438"/>
      <c r="Z31" s="1438"/>
      <c r="AA31" s="1438"/>
      <c r="AB31" s="1438"/>
      <c r="AC31" s="1438"/>
      <c r="AD31" s="1438"/>
      <c r="AE31" s="1438"/>
      <c r="AF31" s="1438"/>
    </row>
    <row r="32" spans="1:32" ht="19.149999999999999">
      <c r="A32" s="1438"/>
      <c r="B32" s="1438"/>
      <c r="C32" s="1474" t="s">
        <v>461</v>
      </c>
      <c r="D32" s="1475" t="s">
        <v>419</v>
      </c>
      <c r="E32" s="1475">
        <v>5.4</v>
      </c>
      <c r="F32" s="1475">
        <v>8.9</v>
      </c>
      <c r="G32" s="1475">
        <v>7.6</v>
      </c>
      <c r="H32" s="1475">
        <v>1.6</v>
      </c>
      <c r="I32" s="1525">
        <v>8.5</v>
      </c>
      <c r="J32" s="1519">
        <f>SUM(C32:I32)</f>
        <v>32</v>
      </c>
      <c r="K32" s="1449"/>
      <c r="L32" s="1502" t="s">
        <v>22</v>
      </c>
      <c r="M32" s="1438"/>
      <c r="N32" s="1438"/>
      <c r="O32" s="1438"/>
      <c r="P32" s="1438"/>
      <c r="Q32" s="1438"/>
      <c r="R32" s="1438"/>
      <c r="S32" s="1438"/>
      <c r="T32" s="1438"/>
      <c r="U32" s="1438"/>
      <c r="V32" s="1438"/>
      <c r="W32" s="1438"/>
      <c r="X32" s="1438"/>
      <c r="Y32" s="1438"/>
      <c r="Z32" s="1438"/>
      <c r="AA32" s="1438"/>
      <c r="AB32" s="1438"/>
      <c r="AC32" s="1438"/>
      <c r="AD32" s="1438"/>
      <c r="AE32" s="1438"/>
      <c r="AF32" s="1438"/>
    </row>
    <row r="33" spans="1:32" ht="19.149999999999999">
      <c r="A33" s="1438"/>
      <c r="B33" s="1438"/>
      <c r="C33" s="1474">
        <v>0</v>
      </c>
      <c r="D33" s="1475">
        <v>0</v>
      </c>
      <c r="E33" s="1475">
        <v>0.8</v>
      </c>
      <c r="F33" s="1475">
        <v>0.8</v>
      </c>
      <c r="G33" s="1445">
        <v>0.8</v>
      </c>
      <c r="H33" s="1475">
        <v>0</v>
      </c>
      <c r="I33" s="1525">
        <v>0.8</v>
      </c>
      <c r="J33" s="1519">
        <f>SUM(C33:I33)</f>
        <v>3.2</v>
      </c>
      <c r="K33" s="1449"/>
      <c r="L33" s="1502" t="s">
        <v>24</v>
      </c>
      <c r="M33" s="1438"/>
      <c r="N33" s="1438"/>
      <c r="O33" s="1438"/>
      <c r="P33" s="1438"/>
      <c r="Q33" s="1438"/>
      <c r="R33" s="1438"/>
      <c r="S33" s="1438"/>
      <c r="T33" s="1438"/>
      <c r="U33" s="1438"/>
      <c r="V33" s="1438"/>
      <c r="W33" s="1438"/>
      <c r="X33" s="1438"/>
      <c r="Y33" s="1438"/>
      <c r="Z33" s="1438"/>
      <c r="AA33" s="1438"/>
      <c r="AB33" s="1438"/>
      <c r="AC33" s="1438"/>
      <c r="AD33" s="1438"/>
      <c r="AE33" s="1438"/>
      <c r="AF33" s="1438"/>
    </row>
    <row r="34" spans="1:32" ht="19.149999999999999">
      <c r="A34" s="1438"/>
      <c r="B34" s="1438"/>
      <c r="C34" s="1474">
        <v>0</v>
      </c>
      <c r="D34" s="1475">
        <v>0</v>
      </c>
      <c r="E34" s="1475">
        <v>0</v>
      </c>
      <c r="F34" s="1475">
        <v>0.8</v>
      </c>
      <c r="G34" s="1445">
        <v>0.8</v>
      </c>
      <c r="H34" s="1445">
        <v>0</v>
      </c>
      <c r="I34" s="1445">
        <v>0.8</v>
      </c>
      <c r="J34" s="1519">
        <f>SUM(C34:I34)</f>
        <v>2.4000000000000004</v>
      </c>
      <c r="K34" s="1449"/>
      <c r="L34" s="1502" t="s">
        <v>26</v>
      </c>
      <c r="M34" s="1438"/>
      <c r="N34" s="1438"/>
      <c r="O34" s="1438"/>
      <c r="P34" s="1438"/>
      <c r="Q34" s="1438"/>
      <c r="R34" s="1438"/>
      <c r="S34" s="1438"/>
      <c r="T34" s="1438"/>
      <c r="U34" s="1438"/>
      <c r="V34" s="1438"/>
      <c r="W34" s="1438"/>
      <c r="X34" s="1438"/>
      <c r="Y34" s="1438"/>
      <c r="Z34" s="1438"/>
      <c r="AA34" s="1438"/>
      <c r="AB34" s="1438"/>
      <c r="AC34" s="1438"/>
      <c r="AD34" s="1438"/>
      <c r="AE34" s="1438"/>
      <c r="AF34" s="1438"/>
    </row>
    <row r="35" spans="1:32" ht="19.899999999999999" thickBot="1">
      <c r="A35" s="1438"/>
      <c r="B35" s="1438"/>
      <c r="C35" s="1503" t="s">
        <v>469</v>
      </c>
      <c r="D35" s="1483" t="s">
        <v>470</v>
      </c>
      <c r="E35" s="1483" t="s">
        <v>471</v>
      </c>
      <c r="F35" s="1483" t="s">
        <v>472</v>
      </c>
      <c r="G35" s="1483" t="s">
        <v>473</v>
      </c>
      <c r="H35" s="1483" t="s">
        <v>474</v>
      </c>
      <c r="I35" s="1526" t="s">
        <v>475</v>
      </c>
      <c r="J35" s="1523">
        <v>67.13</v>
      </c>
      <c r="K35" s="1449"/>
      <c r="L35" s="1478" t="s">
        <v>28</v>
      </c>
      <c r="M35" s="1438"/>
      <c r="N35" s="1438"/>
      <c r="O35" s="1438"/>
      <c r="P35" s="1438"/>
      <c r="Q35" s="1438"/>
      <c r="R35" s="1438"/>
      <c r="S35" s="1438"/>
      <c r="T35" s="1438"/>
      <c r="U35" s="1438"/>
      <c r="V35" s="1438"/>
      <c r="W35" s="1438"/>
      <c r="X35" s="1438"/>
      <c r="Y35" s="1438"/>
      <c r="Z35" s="1438"/>
      <c r="AA35" s="1438"/>
      <c r="AB35" s="1438"/>
      <c r="AC35" s="1438"/>
      <c r="AD35" s="1438"/>
      <c r="AE35" s="1438"/>
      <c r="AF35" s="1438"/>
    </row>
    <row r="36" spans="1:32" ht="19.899999999999999" thickBot="1">
      <c r="A36" s="1438"/>
      <c r="B36" s="1438"/>
      <c r="C36" s="1490">
        <v>23</v>
      </c>
      <c r="D36" s="1490">
        <v>24</v>
      </c>
      <c r="E36" s="1490">
        <v>25</v>
      </c>
      <c r="F36" s="1490">
        <v>26</v>
      </c>
      <c r="G36" s="1490">
        <v>27</v>
      </c>
      <c r="H36" s="1490">
        <v>28</v>
      </c>
      <c r="I36" s="1490"/>
      <c r="J36" s="1524"/>
      <c r="K36" s="1449"/>
      <c r="L36" s="1495"/>
      <c r="M36" s="1438"/>
      <c r="N36" s="1438"/>
      <c r="O36" s="1438"/>
      <c r="P36" s="1438"/>
      <c r="Q36" s="1438"/>
      <c r="R36" s="1438"/>
      <c r="S36" s="1438"/>
      <c r="T36" s="1438"/>
      <c r="U36" s="1438"/>
      <c r="V36" s="1438"/>
      <c r="W36" s="1438"/>
      <c r="X36" s="1438"/>
      <c r="Y36" s="1438"/>
      <c r="Z36" s="1438"/>
      <c r="AA36" s="1438"/>
      <c r="AB36" s="1438"/>
      <c r="AC36" s="1438"/>
      <c r="AD36" s="1438"/>
      <c r="AE36" s="1438"/>
      <c r="AF36" s="1438"/>
    </row>
    <row r="37" spans="1:32" ht="19.149999999999999">
      <c r="A37" s="1438"/>
      <c r="B37" s="1438"/>
      <c r="C37" s="1527" t="s">
        <v>386</v>
      </c>
      <c r="D37" s="1528" t="s">
        <v>476</v>
      </c>
      <c r="E37" s="1528" t="s">
        <v>324</v>
      </c>
      <c r="F37" s="1528" t="s">
        <v>324</v>
      </c>
      <c r="G37" s="1528" t="s">
        <v>477</v>
      </c>
      <c r="H37" s="1528" t="s">
        <v>207</v>
      </c>
      <c r="I37" s="1459"/>
      <c r="J37" s="1494"/>
      <c r="K37" s="1449"/>
      <c r="L37" s="1495"/>
      <c r="M37" s="1438"/>
      <c r="N37" s="1438"/>
      <c r="O37" s="1438"/>
      <c r="P37" s="1438"/>
      <c r="Q37" s="1438"/>
      <c r="R37" s="1438"/>
      <c r="S37" s="1438"/>
      <c r="T37" s="1438"/>
      <c r="U37" s="1438"/>
      <c r="V37" s="1438"/>
      <c r="W37" s="1438"/>
      <c r="X37" s="1438"/>
      <c r="Y37" s="1438"/>
      <c r="Z37" s="1438"/>
      <c r="AA37" s="1438"/>
      <c r="AB37" s="1438"/>
      <c r="AC37" s="1438"/>
      <c r="AD37" s="1438"/>
      <c r="AE37" s="1438"/>
      <c r="AF37" s="1438"/>
    </row>
    <row r="38" spans="1:32" ht="19.899999999999999" thickBot="1">
      <c r="A38" s="1438"/>
      <c r="B38" s="1438"/>
      <c r="C38" s="1515">
        <v>0.2</v>
      </c>
      <c r="D38" s="1463">
        <v>0.12</v>
      </c>
      <c r="E38" s="1463">
        <v>0.06</v>
      </c>
      <c r="F38" s="1463">
        <v>0.02</v>
      </c>
      <c r="G38" s="1463">
        <v>0</v>
      </c>
      <c r="H38" s="1463">
        <v>0.01</v>
      </c>
      <c r="I38" s="1466"/>
      <c r="J38" s="1449"/>
      <c r="K38" s="1449"/>
      <c r="L38" s="1495"/>
      <c r="M38" s="1438"/>
      <c r="N38" s="1438"/>
      <c r="O38" s="1438"/>
      <c r="P38" s="1438"/>
      <c r="Q38" s="1438"/>
      <c r="R38" s="1438"/>
      <c r="S38" s="1438"/>
      <c r="T38" s="1438"/>
      <c r="U38" s="1438"/>
      <c r="V38" s="1438"/>
      <c r="W38" s="1438"/>
      <c r="X38" s="1438"/>
      <c r="Y38" s="1438"/>
      <c r="Z38" s="1438"/>
      <c r="AA38" s="1438"/>
      <c r="AB38" s="1438"/>
      <c r="AC38" s="1438"/>
      <c r="AD38" s="1438"/>
      <c r="AE38" s="1438"/>
      <c r="AF38" s="1438"/>
    </row>
    <row r="39" spans="1:32" ht="19.149999999999999">
      <c r="A39" s="1438"/>
      <c r="B39" s="1438"/>
      <c r="C39" s="1468" t="s">
        <v>62</v>
      </c>
      <c r="D39" s="1469" t="s">
        <v>340</v>
      </c>
      <c r="E39" s="1469" t="s">
        <v>340</v>
      </c>
      <c r="F39" s="1469" t="s">
        <v>253</v>
      </c>
      <c r="G39" s="1469" t="s">
        <v>253</v>
      </c>
      <c r="H39" s="1469" t="s">
        <v>253</v>
      </c>
      <c r="I39" s="1471"/>
      <c r="J39" s="1472" t="s">
        <v>32</v>
      </c>
      <c r="K39" s="1449"/>
      <c r="L39" s="1495"/>
      <c r="M39" s="1438"/>
      <c r="N39" s="1438"/>
      <c r="O39" s="1438"/>
      <c r="P39" s="1438"/>
      <c r="Q39" s="1438"/>
      <c r="R39" s="1438"/>
      <c r="S39" s="1438"/>
      <c r="T39" s="1438"/>
      <c r="U39" s="1438"/>
      <c r="V39" s="1438"/>
      <c r="W39" s="1438"/>
      <c r="X39" s="1438"/>
      <c r="Y39" s="1438"/>
      <c r="Z39" s="1438"/>
      <c r="AA39" s="1438"/>
      <c r="AB39" s="1438"/>
      <c r="AC39" s="1438"/>
      <c r="AD39" s="1438"/>
      <c r="AE39" s="1438"/>
      <c r="AF39" s="1438"/>
    </row>
    <row r="40" spans="1:32" ht="19.149999999999999">
      <c r="A40" s="1438"/>
      <c r="B40" s="1438"/>
      <c r="C40" s="1474">
        <v>10.8</v>
      </c>
      <c r="D40" s="1475">
        <v>10</v>
      </c>
      <c r="E40" s="1475">
        <v>9.5</v>
      </c>
      <c r="F40" s="1475">
        <v>10.8</v>
      </c>
      <c r="G40" s="1475">
        <v>10.1</v>
      </c>
      <c r="H40" s="1475">
        <v>10.4</v>
      </c>
      <c r="I40" s="1445"/>
      <c r="J40" s="1477">
        <f>SUM(C40:H40)</f>
        <v>61.6</v>
      </c>
      <c r="K40" s="1449"/>
      <c r="L40" s="1502" t="s">
        <v>22</v>
      </c>
      <c r="M40" s="1438"/>
      <c r="N40" s="1438"/>
      <c r="O40" s="1438"/>
      <c r="P40" s="1438"/>
      <c r="Q40" s="1438"/>
      <c r="R40" s="1438"/>
      <c r="S40" s="1438"/>
      <c r="T40" s="1438"/>
      <c r="U40" s="1438"/>
      <c r="V40" s="1438"/>
      <c r="W40" s="1438"/>
      <c r="X40" s="1438"/>
      <c r="Y40" s="1438"/>
      <c r="Z40" s="1438"/>
      <c r="AA40" s="1438"/>
      <c r="AB40" s="1438"/>
      <c r="AC40" s="1438"/>
      <c r="AD40" s="1438"/>
      <c r="AE40" s="1438"/>
      <c r="AF40" s="1438"/>
    </row>
    <row r="41" spans="1:32" ht="19.149999999999999">
      <c r="A41" s="1438"/>
      <c r="B41" s="1438"/>
      <c r="C41" s="1474">
        <v>0.8</v>
      </c>
      <c r="D41" s="1475">
        <v>0.8</v>
      </c>
      <c r="E41" s="1475">
        <v>0.8</v>
      </c>
      <c r="F41" s="1475">
        <v>0.8</v>
      </c>
      <c r="G41" s="1475">
        <v>0.8</v>
      </c>
      <c r="H41" s="1475">
        <v>0.8</v>
      </c>
      <c r="I41" s="1445"/>
      <c r="J41" s="1477">
        <f>SUM(C41:H41)</f>
        <v>4.8</v>
      </c>
      <c r="K41" s="1449"/>
      <c r="L41" s="1502" t="s">
        <v>24</v>
      </c>
      <c r="M41" s="1438"/>
      <c r="N41" s="1438"/>
      <c r="O41" s="1438"/>
      <c r="P41" s="1438"/>
      <c r="Q41" s="1438"/>
      <c r="R41" s="1438"/>
      <c r="S41" s="1438"/>
      <c r="T41" s="1438"/>
      <c r="U41" s="1438"/>
      <c r="V41" s="1438"/>
      <c r="W41" s="1438"/>
      <c r="X41" s="1438"/>
      <c r="Y41" s="1438"/>
      <c r="Z41" s="1438"/>
      <c r="AA41" s="1438"/>
      <c r="AB41" s="1438"/>
      <c r="AC41" s="1438"/>
      <c r="AD41" s="1438"/>
      <c r="AE41" s="1438"/>
      <c r="AF41" s="1438"/>
    </row>
    <row r="42" spans="1:32" ht="19.899999999999999" thickBot="1">
      <c r="A42" s="1438"/>
      <c r="B42" s="1438"/>
      <c r="C42" s="1474">
        <v>0.8</v>
      </c>
      <c r="D42" s="1475">
        <v>0.8</v>
      </c>
      <c r="E42" s="1475">
        <v>0.8</v>
      </c>
      <c r="F42" s="1475">
        <v>0.8</v>
      </c>
      <c r="G42" s="1475">
        <v>0.8</v>
      </c>
      <c r="H42" s="1475">
        <v>0.8</v>
      </c>
      <c r="I42" s="1445"/>
      <c r="J42" s="1477">
        <f>SUM(C42:H42)</f>
        <v>4.8</v>
      </c>
      <c r="K42" s="1449"/>
      <c r="L42" s="1502" t="s">
        <v>26</v>
      </c>
      <c r="M42" s="1438"/>
      <c r="N42" s="1438"/>
      <c r="O42" s="1438"/>
      <c r="P42" s="1438"/>
      <c r="Q42" s="1438"/>
      <c r="R42" s="1438"/>
      <c r="S42" s="1438"/>
      <c r="T42" s="1438"/>
      <c r="U42" s="1438"/>
      <c r="V42" s="1438"/>
      <c r="W42" s="1438"/>
      <c r="X42" s="1438"/>
      <c r="Y42" s="1438"/>
      <c r="Z42" s="1438"/>
      <c r="AA42" s="1438"/>
      <c r="AB42" s="1438"/>
      <c r="AC42" s="1438"/>
      <c r="AD42" s="1438"/>
      <c r="AE42" s="1438"/>
      <c r="AF42" s="1438"/>
    </row>
    <row r="43" spans="1:32" ht="19.899999999999999" thickBot="1">
      <c r="A43" s="1438"/>
      <c r="B43" s="1438"/>
      <c r="C43" s="1529" t="s">
        <v>478</v>
      </c>
      <c r="D43" s="1486" t="s">
        <v>479</v>
      </c>
      <c r="E43" s="1521" t="s">
        <v>480</v>
      </c>
      <c r="F43" s="1483" t="s">
        <v>481</v>
      </c>
      <c r="G43" s="1483" t="s">
        <v>482</v>
      </c>
      <c r="H43" s="1483" t="s">
        <v>483</v>
      </c>
      <c r="I43" s="1522" t="s">
        <v>4</v>
      </c>
      <c r="J43" s="1523">
        <v>58.92</v>
      </c>
      <c r="K43" s="1449"/>
      <c r="L43" s="1478" t="s">
        <v>28</v>
      </c>
      <c r="M43" s="1438"/>
      <c r="N43" s="1438"/>
      <c r="O43" s="1438"/>
      <c r="P43" s="1438"/>
      <c r="Q43" s="1438"/>
      <c r="R43" s="1438"/>
      <c r="S43" s="1438"/>
      <c r="T43" s="1438"/>
      <c r="U43" s="1438"/>
      <c r="V43" s="1438"/>
      <c r="W43" s="1438"/>
      <c r="X43" s="1438"/>
      <c r="Y43" s="1438"/>
      <c r="Z43" s="1438"/>
      <c r="AA43" s="1438"/>
      <c r="AB43" s="1438"/>
      <c r="AC43" s="1438"/>
      <c r="AD43" s="1438"/>
      <c r="AE43" s="1438"/>
      <c r="AF43" s="1438"/>
    </row>
    <row r="44" spans="1:32" ht="19.899999999999999" thickBot="1">
      <c r="A44" s="1438"/>
      <c r="B44" s="1438"/>
      <c r="C44" s="1453"/>
      <c r="D44" s="1530"/>
      <c r="E44" s="1524"/>
      <c r="F44" s="1449"/>
      <c r="G44" s="1449"/>
      <c r="H44" s="1449"/>
      <c r="I44" s="1449"/>
      <c r="J44" s="1449"/>
      <c r="K44" s="1449"/>
      <c r="L44" s="1473"/>
      <c r="M44" s="1438"/>
      <c r="N44" s="1438"/>
      <c r="O44" s="1438"/>
      <c r="P44" s="1438"/>
      <c r="Q44" s="1438"/>
      <c r="R44" s="1438"/>
      <c r="S44" s="1438"/>
      <c r="T44" s="1438"/>
      <c r="U44" s="1438"/>
      <c r="V44" s="1438"/>
      <c r="W44" s="1438"/>
      <c r="X44" s="1438"/>
      <c r="Y44" s="1438"/>
      <c r="Z44" s="1438"/>
      <c r="AA44" s="1438"/>
      <c r="AB44" s="1438"/>
      <c r="AC44" s="1438"/>
      <c r="AD44" s="1438"/>
      <c r="AE44" s="1438"/>
      <c r="AF44" s="1438"/>
    </row>
    <row r="45" spans="1:32" ht="19.149999999999999">
      <c r="A45" s="1438"/>
      <c r="B45" s="1438"/>
      <c r="C45" s="1468"/>
      <c r="D45" s="1514"/>
      <c r="E45" s="1494"/>
      <c r="F45" s="1449"/>
      <c r="G45" s="1449"/>
      <c r="H45" s="1449"/>
      <c r="I45" s="1449"/>
      <c r="J45" s="1449"/>
      <c r="K45" s="1449"/>
      <c r="L45" s="1438"/>
      <c r="M45" s="1438"/>
      <c r="N45" s="1438"/>
      <c r="O45" s="1438"/>
      <c r="P45" s="1438"/>
      <c r="Q45" s="1438"/>
      <c r="R45" s="1438"/>
      <c r="S45" s="1438"/>
      <c r="T45" s="1438"/>
      <c r="U45" s="1438"/>
      <c r="V45" s="1438"/>
      <c r="W45" s="1438"/>
      <c r="X45" s="1438"/>
      <c r="Y45" s="1438"/>
      <c r="Z45" s="1438"/>
      <c r="AA45" s="1438"/>
      <c r="AB45" s="1438"/>
      <c r="AC45" s="1438"/>
      <c r="AD45" s="1438"/>
      <c r="AE45" s="1438"/>
      <c r="AF45" s="1438"/>
    </row>
    <row r="46" spans="1:32" ht="19.899999999999999" thickBot="1">
      <c r="A46" s="1438"/>
      <c r="B46" s="1438"/>
      <c r="C46" s="1531"/>
      <c r="D46" s="1532"/>
      <c r="E46" s="1449"/>
      <c r="F46" s="1449"/>
      <c r="G46" s="1449"/>
      <c r="H46" s="1449"/>
      <c r="I46" s="1449"/>
      <c r="J46" s="1449"/>
      <c r="K46" s="1449"/>
      <c r="L46" s="1438"/>
      <c r="M46" s="1438"/>
      <c r="N46" s="1438"/>
      <c r="O46" s="1438"/>
      <c r="P46" s="1438"/>
      <c r="Q46" s="1438"/>
      <c r="R46" s="1438"/>
      <c r="S46" s="1438"/>
      <c r="T46" s="1438"/>
      <c r="U46" s="1438"/>
      <c r="V46" s="1438"/>
      <c r="W46" s="1438"/>
      <c r="X46" s="1438"/>
      <c r="Y46" s="1438"/>
      <c r="Z46" s="1438"/>
      <c r="AA46" s="1438"/>
      <c r="AB46" s="1438"/>
      <c r="AC46" s="1438"/>
      <c r="AD46" s="1438"/>
      <c r="AE46" s="1438"/>
      <c r="AF46" s="1438"/>
    </row>
    <row r="47" spans="1:32" ht="19.149999999999999">
      <c r="A47" s="1438"/>
      <c r="B47" s="1438"/>
      <c r="C47" s="1468"/>
      <c r="D47" s="1514"/>
      <c r="E47" s="1449"/>
      <c r="G47" s="1449"/>
      <c r="H47" s="1449"/>
      <c r="I47" s="1449"/>
      <c r="J47" s="1472" t="s">
        <v>33</v>
      </c>
      <c r="K47" s="1533"/>
      <c r="L47" s="1438"/>
      <c r="M47" s="1438"/>
      <c r="N47" s="1438"/>
      <c r="O47" s="1438"/>
      <c r="P47" s="1438"/>
      <c r="Q47" s="1438"/>
      <c r="R47" s="1438"/>
      <c r="S47" s="1438"/>
      <c r="T47" s="1438"/>
      <c r="U47" s="1438"/>
      <c r="V47" s="1438"/>
      <c r="W47" s="1438"/>
      <c r="X47" s="1438"/>
      <c r="Y47" s="1438"/>
      <c r="Z47" s="1438"/>
      <c r="AA47" s="1438"/>
      <c r="AB47" s="1438"/>
      <c r="AC47" s="1438"/>
      <c r="AD47" s="1438"/>
      <c r="AE47" s="1438"/>
      <c r="AF47" s="1438"/>
    </row>
    <row r="48" spans="1:32" ht="19.149999999999999">
      <c r="A48" s="1438"/>
      <c r="B48" s="1438"/>
      <c r="C48" s="1534"/>
      <c r="D48" s="1532"/>
      <c r="E48" s="1449"/>
      <c r="G48" s="1449"/>
      <c r="H48" s="1449"/>
      <c r="I48" s="1449"/>
      <c r="J48" s="1477" cm="1">
        <f t="array" ref="J48">SUM(IF(ISNUMBER(B48:D48), B48:D48, 0))</f>
        <v>0</v>
      </c>
      <c r="L48" s="1502" t="s">
        <v>22</v>
      </c>
      <c r="M48" s="1438"/>
      <c r="N48" s="1438"/>
      <c r="O48" s="1438"/>
      <c r="P48" s="1438"/>
      <c r="Q48" s="1438"/>
      <c r="R48" s="1438"/>
      <c r="S48" s="1438"/>
      <c r="T48" s="1438"/>
      <c r="U48" s="1438"/>
      <c r="V48" s="1438"/>
      <c r="W48" s="1438"/>
      <c r="X48" s="1438"/>
      <c r="Y48" s="1438"/>
      <c r="Z48" s="1438"/>
      <c r="AA48" s="1438"/>
      <c r="AB48" s="1438"/>
      <c r="AC48" s="1438"/>
      <c r="AD48" s="1438"/>
      <c r="AE48" s="1438"/>
      <c r="AF48" s="1438"/>
    </row>
    <row r="49" spans="1:32" ht="19.149999999999999">
      <c r="A49" s="1438"/>
      <c r="B49" s="1438"/>
      <c r="C49" s="1474"/>
      <c r="D49" s="1532"/>
      <c r="E49" s="1449"/>
      <c r="G49" s="1449"/>
      <c r="H49" s="1449"/>
      <c r="I49" s="1449"/>
      <c r="J49" s="1477" cm="1">
        <f t="array" ref="J49">SUM(IF(ISNUMBER(B49:D49), B49:D49, 0))</f>
        <v>0</v>
      </c>
      <c r="L49" s="1502" t="s">
        <v>24</v>
      </c>
      <c r="M49" s="1438"/>
      <c r="N49" s="1438"/>
      <c r="O49" s="1438"/>
      <c r="P49" s="1438"/>
      <c r="Q49" s="1438"/>
      <c r="R49" s="1438"/>
      <c r="S49" s="1438"/>
      <c r="T49" s="1438"/>
      <c r="U49" s="1438"/>
      <c r="V49" s="1438"/>
      <c r="W49" s="1438"/>
      <c r="X49" s="1438"/>
      <c r="Y49" s="1438"/>
      <c r="Z49" s="1438"/>
      <c r="AA49" s="1438"/>
      <c r="AB49" s="1438"/>
      <c r="AC49" s="1438"/>
      <c r="AD49" s="1438"/>
      <c r="AE49" s="1438"/>
      <c r="AF49" s="1438"/>
    </row>
    <row r="50" spans="1:32" ht="19.899999999999999" thickBot="1">
      <c r="A50" s="1438"/>
      <c r="B50" s="1438"/>
      <c r="C50" s="1474"/>
      <c r="D50" s="1532"/>
      <c r="E50" s="1449"/>
      <c r="G50" s="1449"/>
      <c r="H50" s="1449"/>
      <c r="I50" s="1449"/>
      <c r="J50" s="1489" cm="1">
        <f t="array" ref="J50">SUM(IF(ISNUMBER(B50:D50), B50:D50, 0))</f>
        <v>0</v>
      </c>
      <c r="L50" s="1502" t="s">
        <v>26</v>
      </c>
      <c r="M50" s="1438"/>
      <c r="N50" s="1438"/>
      <c r="O50" s="1438"/>
      <c r="P50" s="1438"/>
      <c r="Q50" s="1438"/>
      <c r="R50" s="1438"/>
      <c r="S50" s="1438"/>
      <c r="T50" s="1438"/>
      <c r="U50" s="1438"/>
      <c r="V50" s="1438"/>
      <c r="W50" s="1438"/>
      <c r="X50" s="1438"/>
      <c r="Y50" s="1438"/>
      <c r="Z50" s="1438"/>
      <c r="AA50" s="1438"/>
      <c r="AB50" s="1438"/>
      <c r="AC50" s="1438"/>
      <c r="AD50" s="1438"/>
      <c r="AE50" s="1438"/>
      <c r="AF50" s="1438"/>
    </row>
    <row r="51" spans="1:32" ht="19.899999999999999" thickBot="1">
      <c r="A51" s="1438"/>
      <c r="B51" s="1438"/>
      <c r="C51" s="1503"/>
      <c r="D51" s="1535"/>
      <c r="G51" s="1449"/>
      <c r="H51" s="1449"/>
      <c r="I51" s="1449"/>
      <c r="J51" s="1489"/>
      <c r="L51" s="1478" t="s">
        <v>28</v>
      </c>
      <c r="M51" s="1438"/>
      <c r="N51" s="1438"/>
      <c r="O51" s="1438"/>
      <c r="P51" s="1438"/>
      <c r="Q51" s="1438"/>
      <c r="R51" s="1438"/>
      <c r="S51" s="1438"/>
      <c r="T51" s="1438"/>
      <c r="U51" s="1438"/>
      <c r="V51" s="1438"/>
      <c r="W51" s="1438"/>
      <c r="X51" s="1438"/>
      <c r="Y51" s="1438"/>
      <c r="Z51" s="1438"/>
      <c r="AA51" s="1438"/>
      <c r="AB51" s="1438"/>
      <c r="AC51" s="1438"/>
      <c r="AD51" s="1438"/>
      <c r="AE51" s="1438"/>
      <c r="AF51" s="1438"/>
    </row>
    <row r="52" spans="1:32" ht="19.149999999999999">
      <c r="A52" s="1438"/>
      <c r="B52" s="1438"/>
      <c r="C52" s="1449"/>
      <c r="D52" s="1449"/>
      <c r="E52" s="1449"/>
      <c r="F52" s="1449"/>
      <c r="G52" s="1449"/>
      <c r="H52" s="1449"/>
      <c r="I52" s="1449"/>
      <c r="J52" s="1449"/>
      <c r="K52" s="1449"/>
      <c r="L52" s="1438"/>
      <c r="M52" s="1438"/>
      <c r="N52" s="1438"/>
      <c r="O52" s="1438"/>
      <c r="P52" s="1438"/>
      <c r="Q52" s="1438"/>
      <c r="R52" s="1438"/>
      <c r="S52" s="1438"/>
      <c r="T52" s="1438"/>
      <c r="U52" s="1438"/>
      <c r="V52" s="1438"/>
      <c r="W52" s="1438"/>
      <c r="X52" s="1438"/>
      <c r="Y52" s="1438"/>
      <c r="Z52" s="1438"/>
      <c r="AA52" s="1438"/>
      <c r="AB52" s="1438"/>
      <c r="AC52" s="1438"/>
      <c r="AD52" s="1438"/>
      <c r="AE52" s="1438"/>
      <c r="AF52" s="1438"/>
    </row>
    <row r="53" spans="1:32" ht="17.45">
      <c r="A53" s="1438"/>
      <c r="B53" s="1438"/>
      <c r="C53" s="1438"/>
      <c r="D53" s="1438"/>
      <c r="E53" s="1438"/>
      <c r="F53" s="1438"/>
      <c r="G53" s="1438"/>
      <c r="H53" s="1438"/>
      <c r="I53" s="1438"/>
      <c r="J53" s="1438"/>
      <c r="K53" s="1438"/>
      <c r="L53" s="1438"/>
      <c r="M53" s="1438"/>
      <c r="N53" s="1438"/>
      <c r="O53" s="1438"/>
      <c r="P53" s="1438"/>
      <c r="Q53" s="1438"/>
      <c r="R53" s="1438"/>
      <c r="S53" s="1438"/>
      <c r="T53" s="1438"/>
      <c r="U53" s="1438"/>
      <c r="V53" s="1438"/>
      <c r="W53" s="1438"/>
      <c r="X53" s="1438"/>
      <c r="Y53" s="1438"/>
      <c r="Z53" s="1438"/>
      <c r="AA53" s="1438"/>
      <c r="AB53" s="1438"/>
      <c r="AC53" s="1438"/>
      <c r="AD53" s="1438"/>
      <c r="AE53" s="1438"/>
      <c r="AF53" s="1438"/>
    </row>
    <row r="54" spans="1:32" ht="17.45">
      <c r="A54" s="1438"/>
      <c r="B54" s="1438"/>
      <c r="C54" s="1438"/>
      <c r="D54" s="1438"/>
      <c r="E54" s="1438"/>
      <c r="F54" s="1438"/>
      <c r="G54" s="1438"/>
      <c r="H54" s="1438"/>
      <c r="I54" s="1438"/>
      <c r="J54" s="1438"/>
      <c r="K54" s="1438"/>
      <c r="L54" s="1438"/>
      <c r="M54" s="1438"/>
      <c r="N54" s="1438"/>
      <c r="O54" s="1438"/>
      <c r="P54" s="1438"/>
      <c r="Q54" s="1438"/>
      <c r="R54" s="1438"/>
      <c r="S54" s="1438"/>
      <c r="T54" s="1438"/>
      <c r="U54" s="1438"/>
      <c r="V54" s="1438"/>
      <c r="W54" s="1438"/>
      <c r="X54" s="1438"/>
      <c r="Y54" s="1438"/>
      <c r="Z54" s="1438"/>
      <c r="AA54" s="1438"/>
      <c r="AB54" s="1438"/>
      <c r="AC54" s="1438"/>
      <c r="AD54" s="1438"/>
      <c r="AE54" s="1438"/>
      <c r="AF54" s="1438"/>
    </row>
    <row r="55" spans="1:32" ht="17.45">
      <c r="A55" s="1438"/>
      <c r="B55" s="1438"/>
      <c r="C55" s="1438"/>
      <c r="D55" s="1438"/>
      <c r="E55" s="1438"/>
      <c r="F55" s="1438"/>
      <c r="G55" s="1438"/>
      <c r="H55" s="1438"/>
      <c r="I55" s="1438"/>
      <c r="J55" s="1438"/>
      <c r="K55" s="1438"/>
      <c r="L55" s="1438"/>
      <c r="M55" s="1438"/>
      <c r="N55" s="1438"/>
      <c r="O55" s="1438"/>
      <c r="P55" s="1438"/>
      <c r="Q55" s="1438"/>
      <c r="R55" s="1438"/>
      <c r="S55" s="1438"/>
      <c r="T55" s="1438"/>
      <c r="U55" s="1438"/>
      <c r="V55" s="1438"/>
      <c r="W55" s="1438"/>
      <c r="X55" s="1438"/>
      <c r="Y55" s="1438"/>
      <c r="Z55" s="1438"/>
      <c r="AA55" s="1438"/>
      <c r="AB55" s="1438"/>
      <c r="AC55" s="1438"/>
      <c r="AD55" s="1438"/>
      <c r="AE55" s="1438"/>
      <c r="AF55" s="1438"/>
    </row>
    <row r="56" spans="1:32" ht="17.45">
      <c r="A56" s="1438"/>
      <c r="B56" s="1438"/>
      <c r="C56" s="1438"/>
      <c r="D56" s="1438"/>
      <c r="E56" s="1438"/>
      <c r="F56" s="1438"/>
      <c r="G56" s="1438"/>
      <c r="H56" s="1438"/>
      <c r="I56" s="1438"/>
      <c r="J56" s="1438"/>
      <c r="K56" s="1438"/>
      <c r="L56" s="1438"/>
      <c r="M56" s="1438"/>
      <c r="N56" s="1438"/>
      <c r="O56" s="1438"/>
      <c r="P56" s="1438"/>
      <c r="Q56" s="1438"/>
      <c r="R56" s="1438"/>
      <c r="S56" s="1438"/>
      <c r="T56" s="1438"/>
      <c r="U56" s="1438"/>
      <c r="V56" s="1438"/>
      <c r="W56" s="1438"/>
      <c r="X56" s="1438"/>
      <c r="Y56" s="1438"/>
      <c r="Z56" s="1438"/>
      <c r="AA56" s="1438"/>
      <c r="AB56" s="1438"/>
      <c r="AC56" s="1438"/>
      <c r="AD56" s="1438"/>
      <c r="AE56" s="1438"/>
      <c r="AF56" s="1438"/>
    </row>
    <row r="57" spans="1:32" ht="17.45">
      <c r="A57" s="1438"/>
      <c r="B57" s="1438"/>
      <c r="C57" s="1438"/>
      <c r="D57" s="1438"/>
      <c r="E57" s="1438"/>
      <c r="F57" s="1438"/>
      <c r="G57" s="1438"/>
      <c r="H57" s="1438"/>
      <c r="I57" s="1438"/>
      <c r="J57" s="1438"/>
      <c r="K57" s="1438"/>
      <c r="L57" s="1438"/>
      <c r="M57" s="1438"/>
      <c r="N57" s="1438"/>
      <c r="O57" s="1438"/>
      <c r="P57" s="1438"/>
      <c r="Q57" s="1438"/>
      <c r="R57" s="1438"/>
      <c r="S57" s="1438"/>
      <c r="T57" s="1438"/>
      <c r="U57" s="1438"/>
      <c r="V57" s="1438"/>
      <c r="W57" s="1438"/>
      <c r="X57" s="1438"/>
      <c r="Y57" s="1438"/>
      <c r="Z57" s="1438"/>
      <c r="AA57" s="1438"/>
      <c r="AB57" s="1438"/>
      <c r="AC57" s="1438"/>
      <c r="AD57" s="1438"/>
      <c r="AE57" s="1438"/>
      <c r="AF57" s="1438"/>
    </row>
    <row r="58" spans="1:32" ht="17.45">
      <c r="A58" s="1438"/>
      <c r="B58" s="1438"/>
      <c r="C58" s="1438"/>
      <c r="D58" s="1438"/>
      <c r="E58" s="1438"/>
      <c r="F58" s="1438"/>
      <c r="G58" s="1438"/>
      <c r="H58" s="1438"/>
      <c r="I58" s="1438"/>
      <c r="J58" s="1438"/>
      <c r="K58" s="1438"/>
      <c r="L58" s="1438"/>
      <c r="M58" s="1438"/>
      <c r="N58" s="1438"/>
      <c r="O58" s="1438"/>
      <c r="P58" s="1438"/>
      <c r="Q58" s="1438"/>
      <c r="R58" s="1438"/>
      <c r="S58" s="1438"/>
      <c r="T58" s="1438"/>
      <c r="U58" s="1438"/>
      <c r="V58" s="1438"/>
      <c r="W58" s="1438"/>
      <c r="X58" s="1438"/>
      <c r="Y58" s="1438"/>
      <c r="Z58" s="1438"/>
      <c r="AA58" s="1438"/>
      <c r="AB58" s="1438"/>
      <c r="AC58" s="1438"/>
      <c r="AD58" s="1438"/>
      <c r="AE58" s="1438"/>
      <c r="AF58" s="1438"/>
    </row>
    <row r="59" spans="1:32" ht="17.45">
      <c r="A59" s="1438"/>
      <c r="B59" s="1438"/>
      <c r="C59" s="1438"/>
      <c r="D59" s="1438"/>
      <c r="E59" s="1438"/>
      <c r="F59" s="1438"/>
      <c r="G59" s="1438"/>
      <c r="H59" s="1438"/>
      <c r="I59" s="1438"/>
      <c r="J59" s="1438"/>
      <c r="K59" s="1438"/>
      <c r="L59" s="1438"/>
      <c r="M59" s="1438"/>
      <c r="N59" s="1438"/>
      <c r="O59" s="1438"/>
      <c r="P59" s="1438"/>
      <c r="Q59" s="1438"/>
      <c r="R59" s="1438"/>
      <c r="S59" s="1438"/>
      <c r="T59" s="1438"/>
      <c r="U59" s="1438"/>
      <c r="V59" s="1438"/>
      <c r="W59" s="1438"/>
      <c r="X59" s="1438"/>
      <c r="Y59" s="1438"/>
      <c r="Z59" s="1438"/>
      <c r="AA59" s="1438"/>
      <c r="AB59" s="1438"/>
      <c r="AC59" s="1438"/>
      <c r="AD59" s="1438"/>
      <c r="AE59" s="1438"/>
      <c r="AF59" s="1438"/>
    </row>
    <row r="60" spans="1:32" ht="17.45">
      <c r="A60" s="1438"/>
      <c r="B60" s="1438"/>
      <c r="C60" s="1438"/>
      <c r="D60" s="1438"/>
      <c r="E60" s="1438"/>
      <c r="F60" s="1438"/>
      <c r="G60" s="1438"/>
      <c r="H60" s="1438"/>
      <c r="I60" s="1438"/>
      <c r="J60" s="1438"/>
      <c r="K60" s="1438"/>
      <c r="L60" s="1438"/>
      <c r="M60" s="1438"/>
      <c r="N60" s="1438"/>
      <c r="O60" s="1438"/>
      <c r="P60" s="1438"/>
      <c r="Q60" s="1438"/>
      <c r="R60" s="1438"/>
      <c r="S60" s="1438"/>
      <c r="T60" s="1438"/>
      <c r="U60" s="1438"/>
      <c r="V60" s="1438"/>
      <c r="W60" s="1438"/>
      <c r="X60" s="1438"/>
      <c r="Y60" s="1438"/>
      <c r="Z60" s="1438"/>
      <c r="AA60" s="1438"/>
      <c r="AB60" s="1438"/>
      <c r="AC60" s="1438"/>
      <c r="AD60" s="1438"/>
      <c r="AE60" s="1438"/>
      <c r="AF60" s="1438"/>
    </row>
    <row r="61" spans="1:32" ht="17.45">
      <c r="A61" s="1438"/>
      <c r="B61" s="1438"/>
      <c r="C61" s="1438"/>
      <c r="D61" s="1438"/>
      <c r="E61" s="1438"/>
      <c r="F61" s="1438"/>
      <c r="G61" s="1438"/>
      <c r="H61" s="1438"/>
      <c r="I61" s="1438"/>
      <c r="J61" s="1438"/>
      <c r="K61" s="1438"/>
      <c r="L61" s="1438"/>
      <c r="M61" s="1438"/>
      <c r="N61" s="1438"/>
      <c r="O61" s="1438"/>
      <c r="P61" s="1438"/>
      <c r="Q61" s="1438"/>
      <c r="R61" s="1438"/>
      <c r="S61" s="1438"/>
      <c r="T61" s="1438"/>
      <c r="U61" s="1438"/>
      <c r="V61" s="1438"/>
      <c r="W61" s="1438"/>
      <c r="X61" s="1438"/>
      <c r="Y61" s="1438"/>
      <c r="Z61" s="1438"/>
      <c r="AA61" s="1438"/>
      <c r="AB61" s="1438"/>
      <c r="AC61" s="1438"/>
      <c r="AD61" s="1438"/>
      <c r="AE61" s="1438"/>
      <c r="AF61" s="1438"/>
    </row>
    <row r="62" spans="1:32" ht="17.45">
      <c r="A62" s="1438"/>
      <c r="B62" s="1438"/>
      <c r="C62" s="1438"/>
      <c r="D62" s="1438"/>
      <c r="E62" s="1438"/>
      <c r="F62" s="1438"/>
      <c r="G62" s="1438"/>
      <c r="H62" s="1438"/>
      <c r="I62" s="1438"/>
      <c r="J62" s="1438"/>
      <c r="K62" s="1438"/>
      <c r="L62" s="1438"/>
      <c r="M62" s="1438"/>
      <c r="N62" s="1438"/>
      <c r="O62" s="1438"/>
      <c r="P62" s="1438"/>
      <c r="Q62" s="1438"/>
      <c r="R62" s="1438"/>
      <c r="S62" s="1438"/>
      <c r="T62" s="1438"/>
      <c r="U62" s="1438"/>
      <c r="V62" s="1438"/>
      <c r="W62" s="1438"/>
      <c r="X62" s="1438"/>
      <c r="Y62" s="1438"/>
      <c r="Z62" s="1438"/>
      <c r="AA62" s="1438"/>
      <c r="AB62" s="1438"/>
      <c r="AC62" s="1438"/>
      <c r="AD62" s="1438"/>
      <c r="AE62" s="1438"/>
      <c r="AF62" s="1438"/>
    </row>
    <row r="63" spans="1:32" ht="17.45">
      <c r="A63" s="1438"/>
      <c r="B63" s="1438"/>
      <c r="C63" s="1438"/>
      <c r="D63" s="1438"/>
      <c r="E63" s="1438"/>
      <c r="F63" s="1438"/>
      <c r="G63" s="1438"/>
      <c r="H63" s="1438"/>
      <c r="I63" s="1438"/>
      <c r="J63" s="1438"/>
      <c r="K63" s="1438"/>
      <c r="L63" s="1438"/>
      <c r="M63" s="1438"/>
      <c r="N63" s="1438"/>
      <c r="O63" s="1438"/>
      <c r="P63" s="1438"/>
      <c r="Q63" s="1438"/>
      <c r="R63" s="1438"/>
      <c r="S63" s="1438"/>
      <c r="T63" s="1438"/>
      <c r="U63" s="1438"/>
      <c r="V63" s="1438"/>
      <c r="W63" s="1438"/>
      <c r="X63" s="1438"/>
      <c r="Y63" s="1438"/>
      <c r="Z63" s="1438"/>
      <c r="AA63" s="1438"/>
      <c r="AB63" s="1438"/>
      <c r="AC63" s="1438"/>
      <c r="AD63" s="1438"/>
      <c r="AE63" s="1438"/>
      <c r="AF63" s="1438"/>
    </row>
    <row r="64" spans="1:32" ht="17.45">
      <c r="A64" s="1438"/>
      <c r="B64" s="1438"/>
      <c r="C64" s="1438"/>
      <c r="D64" s="1438"/>
      <c r="E64" s="1438"/>
      <c r="F64" s="1438"/>
      <c r="G64" s="1438"/>
      <c r="H64" s="1438"/>
      <c r="I64" s="1438"/>
      <c r="J64" s="1438"/>
      <c r="K64" s="1438"/>
      <c r="L64" s="1438"/>
      <c r="M64" s="1438"/>
      <c r="N64" s="1438"/>
      <c r="O64" s="1438"/>
      <c r="P64" s="1438"/>
      <c r="Q64" s="1438"/>
      <c r="R64" s="1438"/>
      <c r="S64" s="1438"/>
      <c r="T64" s="1438"/>
      <c r="U64" s="1438"/>
      <c r="V64" s="1438"/>
      <c r="W64" s="1438"/>
      <c r="X64" s="1438"/>
      <c r="Y64" s="1438"/>
      <c r="Z64" s="1438"/>
      <c r="AA64" s="1438"/>
      <c r="AB64" s="1438"/>
      <c r="AC64" s="1438"/>
      <c r="AD64" s="1438"/>
      <c r="AE64" s="1438"/>
      <c r="AF64" s="1438"/>
    </row>
    <row r="65" spans="1:32" ht="17.45">
      <c r="A65" s="1438"/>
      <c r="B65" s="1438"/>
      <c r="C65" s="1438"/>
      <c r="D65" s="1438"/>
      <c r="E65" s="1438"/>
      <c r="F65" s="1438"/>
      <c r="G65" s="1438"/>
      <c r="H65" s="1438"/>
      <c r="I65" s="1438"/>
      <c r="J65" s="1438"/>
      <c r="K65" s="1438"/>
      <c r="L65" s="1438"/>
      <c r="M65" s="1438"/>
      <c r="N65" s="1438"/>
      <c r="O65" s="1438"/>
      <c r="P65" s="1438"/>
      <c r="Q65" s="1438"/>
      <c r="R65" s="1438"/>
      <c r="S65" s="1438"/>
      <c r="T65" s="1438"/>
      <c r="U65" s="1438"/>
      <c r="V65" s="1438"/>
      <c r="W65" s="1438"/>
      <c r="X65" s="1438"/>
      <c r="Y65" s="1438"/>
      <c r="Z65" s="1438"/>
      <c r="AA65" s="1438"/>
      <c r="AB65" s="1438"/>
      <c r="AC65" s="1438"/>
      <c r="AD65" s="1438"/>
      <c r="AE65" s="1438"/>
      <c r="AF65" s="1438"/>
    </row>
    <row r="66" spans="1:32" ht="17.45">
      <c r="A66" s="1438"/>
      <c r="B66" s="1438"/>
      <c r="C66" s="1438"/>
      <c r="D66" s="1438"/>
      <c r="E66" s="1438"/>
      <c r="F66" s="1438"/>
      <c r="G66" s="1438"/>
      <c r="H66" s="1438"/>
      <c r="I66" s="1438"/>
      <c r="J66" s="1438"/>
      <c r="K66" s="1438"/>
      <c r="L66" s="1438"/>
      <c r="M66" s="1438"/>
      <c r="N66" s="1438"/>
      <c r="O66" s="1438"/>
      <c r="P66" s="1438"/>
      <c r="Q66" s="1438"/>
      <c r="R66" s="1438"/>
      <c r="S66" s="1438"/>
      <c r="T66" s="1438"/>
      <c r="U66" s="1438"/>
      <c r="V66" s="1438"/>
      <c r="W66" s="1438"/>
      <c r="X66" s="1438"/>
      <c r="Y66" s="1438"/>
      <c r="Z66" s="1438"/>
      <c r="AA66" s="1438"/>
      <c r="AB66" s="1438"/>
      <c r="AC66" s="1438"/>
      <c r="AD66" s="1438"/>
      <c r="AE66" s="1438"/>
      <c r="AF66" s="1438"/>
    </row>
    <row r="67" spans="1:32" ht="17.45">
      <c r="A67" s="1438"/>
      <c r="B67" s="1438"/>
      <c r="C67" s="1438"/>
      <c r="D67" s="1438"/>
      <c r="E67" s="1438"/>
      <c r="F67" s="1438"/>
      <c r="G67" s="1438"/>
      <c r="H67" s="1438"/>
      <c r="I67" s="1438"/>
      <c r="J67" s="1438"/>
      <c r="K67" s="1438"/>
      <c r="L67" s="1438"/>
      <c r="M67" s="1438"/>
      <c r="N67" s="1438"/>
      <c r="O67" s="1438"/>
      <c r="P67" s="1438"/>
      <c r="Q67" s="1438"/>
      <c r="R67" s="1438"/>
      <c r="S67" s="1438"/>
      <c r="T67" s="1438"/>
      <c r="U67" s="1438"/>
      <c r="V67" s="1438"/>
      <c r="W67" s="1438"/>
      <c r="X67" s="1438"/>
      <c r="Y67" s="1438"/>
      <c r="Z67" s="1438"/>
      <c r="AA67" s="1438"/>
      <c r="AB67" s="1438"/>
      <c r="AC67" s="1438"/>
      <c r="AD67" s="1438"/>
      <c r="AE67" s="1438"/>
      <c r="AF67" s="1438"/>
    </row>
    <row r="68" spans="1:32" ht="17.45">
      <c r="A68" s="1438"/>
      <c r="B68" s="1438"/>
      <c r="C68" s="1438"/>
      <c r="D68" s="1438"/>
      <c r="E68" s="1438"/>
      <c r="F68" s="1438"/>
      <c r="G68" s="1438"/>
      <c r="H68" s="1438"/>
      <c r="I68" s="1438"/>
      <c r="J68" s="1438"/>
      <c r="K68" s="1438"/>
      <c r="L68" s="1438"/>
      <c r="M68" s="1438"/>
      <c r="N68" s="1438"/>
      <c r="O68" s="1438"/>
      <c r="P68" s="1438"/>
      <c r="Q68" s="1438"/>
      <c r="R68" s="1438"/>
      <c r="S68" s="1438"/>
      <c r="T68" s="1438"/>
      <c r="U68" s="1438"/>
      <c r="V68" s="1438"/>
      <c r="W68" s="1438"/>
      <c r="X68" s="1438"/>
      <c r="Y68" s="1438"/>
      <c r="Z68" s="1438"/>
      <c r="AA68" s="1438"/>
      <c r="AB68" s="1438"/>
      <c r="AC68" s="1438"/>
      <c r="AD68" s="1438"/>
      <c r="AE68" s="1438"/>
      <c r="AF68" s="1438"/>
    </row>
    <row r="69" spans="1:32" ht="17.45">
      <c r="A69" s="1438"/>
      <c r="B69" s="1438"/>
      <c r="C69" s="1438"/>
      <c r="D69" s="1438"/>
      <c r="E69" s="1438"/>
      <c r="F69" s="1438"/>
      <c r="G69" s="1438"/>
      <c r="H69" s="1438"/>
      <c r="I69" s="1438"/>
      <c r="J69" s="1438"/>
      <c r="K69" s="1438"/>
      <c r="L69" s="1438"/>
      <c r="M69" s="1438"/>
      <c r="N69" s="1438"/>
      <c r="O69" s="1438"/>
      <c r="P69" s="1438"/>
      <c r="Q69" s="1438"/>
      <c r="R69" s="1438"/>
      <c r="S69" s="1438"/>
      <c r="T69" s="1438"/>
      <c r="U69" s="1438"/>
      <c r="V69" s="1438"/>
      <c r="W69" s="1438"/>
      <c r="X69" s="1438"/>
      <c r="Y69" s="1438"/>
      <c r="Z69" s="1438"/>
      <c r="AA69" s="1438"/>
      <c r="AB69" s="1438"/>
      <c r="AC69" s="1438"/>
      <c r="AD69" s="1438"/>
      <c r="AE69" s="1438"/>
      <c r="AF69" s="1438"/>
    </row>
    <row r="70" spans="1:32" ht="17.45">
      <c r="A70" s="1438"/>
      <c r="B70" s="1438"/>
      <c r="C70" s="1438"/>
      <c r="D70" s="1438"/>
      <c r="E70" s="1438"/>
      <c r="F70" s="1438"/>
      <c r="G70" s="1438"/>
      <c r="H70" s="1438"/>
      <c r="I70" s="1438"/>
      <c r="J70" s="1438"/>
      <c r="K70" s="1438"/>
      <c r="L70" s="1438"/>
      <c r="M70" s="1438"/>
      <c r="N70" s="1438"/>
      <c r="O70" s="1438"/>
      <c r="P70" s="1438"/>
      <c r="Q70" s="1438"/>
      <c r="R70" s="1438"/>
      <c r="S70" s="1438"/>
      <c r="T70" s="1438"/>
      <c r="U70" s="1438"/>
      <c r="V70" s="1438"/>
      <c r="W70" s="1438"/>
      <c r="X70" s="1438"/>
      <c r="Y70" s="1438"/>
      <c r="Z70" s="1438"/>
      <c r="AA70" s="1438"/>
      <c r="AB70" s="1438"/>
      <c r="AC70" s="1438"/>
      <c r="AD70" s="1438"/>
      <c r="AE70" s="1438"/>
      <c r="AF70" s="1438"/>
    </row>
    <row r="71" spans="1:32" ht="17.45">
      <c r="A71" s="1438"/>
      <c r="B71" s="1438"/>
      <c r="C71" s="1438"/>
      <c r="D71" s="1438"/>
      <c r="E71" s="1438"/>
      <c r="F71" s="1438"/>
      <c r="G71" s="1438"/>
      <c r="H71" s="1438"/>
      <c r="I71" s="1438"/>
      <c r="J71" s="1438"/>
      <c r="K71" s="1438"/>
      <c r="L71" s="1438"/>
      <c r="M71" s="1438"/>
      <c r="N71" s="1438"/>
      <c r="O71" s="1438"/>
      <c r="P71" s="1438"/>
      <c r="Q71" s="1438"/>
      <c r="R71" s="1438"/>
      <c r="S71" s="1438"/>
      <c r="T71" s="1438"/>
      <c r="U71" s="1438"/>
      <c r="V71" s="1438"/>
      <c r="W71" s="1438"/>
      <c r="X71" s="1438"/>
      <c r="Y71" s="1438"/>
      <c r="Z71" s="1438"/>
      <c r="AA71" s="1438"/>
      <c r="AB71" s="1438"/>
      <c r="AC71" s="1438"/>
      <c r="AD71" s="1438"/>
      <c r="AE71" s="1438"/>
      <c r="AF71" s="1438"/>
    </row>
    <row r="72" spans="1:32" ht="17.45">
      <c r="A72" s="1438"/>
      <c r="B72" s="1438"/>
      <c r="C72" s="1438"/>
      <c r="D72" s="1438"/>
      <c r="E72" s="1438"/>
      <c r="F72" s="1438"/>
      <c r="G72" s="1438"/>
      <c r="H72" s="1438"/>
      <c r="I72" s="1438"/>
      <c r="J72" s="1438"/>
      <c r="K72" s="1438"/>
      <c r="L72" s="1438"/>
      <c r="M72" s="1438"/>
      <c r="N72" s="1438"/>
      <c r="O72" s="1438"/>
      <c r="P72" s="1438"/>
      <c r="Q72" s="1438"/>
      <c r="R72" s="1438"/>
      <c r="S72" s="1438"/>
      <c r="T72" s="1438"/>
      <c r="U72" s="1438"/>
      <c r="V72" s="1438"/>
      <c r="W72" s="1438"/>
      <c r="X72" s="1438"/>
      <c r="Y72" s="1438"/>
      <c r="Z72" s="1438"/>
      <c r="AA72" s="1438"/>
      <c r="AB72" s="1438"/>
      <c r="AC72" s="1438"/>
      <c r="AD72" s="1438"/>
      <c r="AE72" s="1438"/>
      <c r="AF72" s="1438"/>
    </row>
    <row r="73" spans="1:32" ht="17.45">
      <c r="A73" s="1438"/>
      <c r="B73" s="1438"/>
      <c r="C73" s="1438"/>
      <c r="D73" s="1438"/>
      <c r="E73" s="1438"/>
      <c r="F73" s="1438"/>
      <c r="G73" s="1438"/>
      <c r="H73" s="1438"/>
      <c r="I73" s="1438"/>
      <c r="J73" s="1438"/>
      <c r="K73" s="1438"/>
      <c r="L73" s="1438"/>
      <c r="M73" s="1438"/>
      <c r="N73" s="1438"/>
      <c r="O73" s="1438"/>
      <c r="P73" s="1438"/>
      <c r="Q73" s="1438"/>
      <c r="R73" s="1438"/>
      <c r="S73" s="1438"/>
      <c r="T73" s="1438"/>
      <c r="U73" s="1438"/>
      <c r="V73" s="1438"/>
      <c r="W73" s="1438"/>
      <c r="X73" s="1438"/>
      <c r="Y73" s="1438"/>
      <c r="Z73" s="1438"/>
      <c r="AA73" s="1438"/>
      <c r="AB73" s="1438"/>
      <c r="AC73" s="1438"/>
      <c r="AD73" s="1438"/>
      <c r="AE73" s="1438"/>
      <c r="AF73" s="1438"/>
    </row>
    <row r="74" spans="1:32" ht="17.45">
      <c r="A74" s="1438"/>
      <c r="B74" s="1438"/>
      <c r="C74" s="1438"/>
      <c r="D74" s="1438"/>
      <c r="E74" s="1438"/>
      <c r="F74" s="1438"/>
      <c r="G74" s="1438"/>
      <c r="H74" s="1438"/>
      <c r="I74" s="1438"/>
      <c r="J74" s="1438"/>
      <c r="K74" s="1438"/>
      <c r="L74" s="1438"/>
      <c r="M74" s="1438"/>
      <c r="N74" s="1438"/>
      <c r="O74" s="1438"/>
      <c r="P74" s="1438"/>
      <c r="Q74" s="1438"/>
      <c r="R74" s="1438"/>
      <c r="S74" s="1438"/>
      <c r="T74" s="1438"/>
      <c r="U74" s="1438"/>
      <c r="V74" s="1438"/>
      <c r="W74" s="1438"/>
      <c r="X74" s="1438"/>
      <c r="Y74" s="1438"/>
      <c r="Z74" s="1438"/>
      <c r="AA74" s="1438"/>
      <c r="AB74" s="1438"/>
      <c r="AC74" s="1438"/>
      <c r="AD74" s="1438"/>
      <c r="AE74" s="1438"/>
      <c r="AF74" s="1438"/>
    </row>
    <row r="75" spans="1:32" ht="17.45">
      <c r="A75" s="1438"/>
      <c r="B75" s="1438"/>
      <c r="C75" s="1438"/>
      <c r="D75" s="1438"/>
      <c r="E75" s="1438"/>
      <c r="F75" s="1438"/>
      <c r="G75" s="1438"/>
      <c r="H75" s="1438"/>
      <c r="I75" s="1438"/>
      <c r="J75" s="1438"/>
      <c r="K75" s="1438"/>
      <c r="L75" s="1438"/>
      <c r="M75" s="1438"/>
      <c r="N75" s="1438"/>
      <c r="O75" s="1438"/>
      <c r="P75" s="1438"/>
      <c r="Q75" s="1438"/>
      <c r="R75" s="1438"/>
      <c r="S75" s="1438"/>
      <c r="T75" s="1438"/>
      <c r="U75" s="1438"/>
      <c r="V75" s="1438"/>
      <c r="W75" s="1438"/>
      <c r="X75" s="1438"/>
      <c r="Y75" s="1438"/>
      <c r="Z75" s="1438"/>
      <c r="AA75" s="1438"/>
      <c r="AB75" s="1438"/>
      <c r="AC75" s="1438"/>
      <c r="AD75" s="1438"/>
      <c r="AE75" s="1438"/>
      <c r="AF75" s="1438"/>
    </row>
    <row r="76" spans="1:32" ht="17.45">
      <c r="A76" s="1438"/>
      <c r="B76" s="1438"/>
      <c r="C76" s="1438"/>
      <c r="D76" s="1438"/>
      <c r="E76" s="1438"/>
      <c r="F76" s="1438"/>
      <c r="G76" s="1438"/>
      <c r="H76" s="1438"/>
      <c r="I76" s="1438"/>
      <c r="J76" s="1438"/>
      <c r="K76" s="1438"/>
      <c r="L76" s="1438"/>
      <c r="M76" s="1438"/>
      <c r="N76" s="1438"/>
      <c r="O76" s="1438"/>
      <c r="P76" s="1438"/>
      <c r="Q76" s="1438"/>
      <c r="R76" s="1438"/>
      <c r="S76" s="1438"/>
      <c r="T76" s="1438"/>
      <c r="U76" s="1438"/>
      <c r="V76" s="1438"/>
      <c r="W76" s="1438"/>
      <c r="X76" s="1438"/>
      <c r="Y76" s="1438"/>
      <c r="Z76" s="1438"/>
      <c r="AA76" s="1438"/>
      <c r="AB76" s="1438"/>
      <c r="AC76" s="1438"/>
      <c r="AD76" s="1438"/>
      <c r="AE76" s="1438"/>
      <c r="AF76" s="1438"/>
    </row>
    <row r="77" spans="1:32" ht="17.45">
      <c r="A77" s="1438"/>
      <c r="B77" s="1438"/>
      <c r="C77" s="1438"/>
      <c r="D77" s="1438"/>
      <c r="E77" s="1438"/>
      <c r="F77" s="1438"/>
      <c r="G77" s="1438"/>
      <c r="H77" s="1438"/>
      <c r="I77" s="1438"/>
      <c r="J77" s="1438"/>
      <c r="K77" s="1438"/>
      <c r="L77" s="1438"/>
      <c r="M77" s="1438"/>
      <c r="N77" s="1438"/>
      <c r="O77" s="1438"/>
      <c r="P77" s="1438"/>
      <c r="Q77" s="1438"/>
      <c r="R77" s="1438"/>
      <c r="S77" s="1438"/>
      <c r="T77" s="1438"/>
      <c r="U77" s="1438"/>
      <c r="V77" s="1438"/>
      <c r="W77" s="1438"/>
      <c r="X77" s="1438"/>
      <c r="Y77" s="1438"/>
      <c r="Z77" s="1438"/>
      <c r="AA77" s="1438"/>
      <c r="AB77" s="1438"/>
      <c r="AC77" s="1438"/>
      <c r="AD77" s="1438"/>
      <c r="AE77" s="1438"/>
      <c r="AF77" s="1438"/>
    </row>
    <row r="78" spans="1:32" ht="17.45">
      <c r="A78" s="1438"/>
      <c r="B78" s="1438"/>
      <c r="C78" s="1438"/>
      <c r="D78" s="1438"/>
      <c r="E78" s="1438"/>
      <c r="F78" s="1438"/>
      <c r="G78" s="1438"/>
      <c r="H78" s="1438"/>
      <c r="I78" s="1438"/>
      <c r="J78" s="1438"/>
      <c r="K78" s="1438"/>
      <c r="L78" s="1438"/>
      <c r="M78" s="1438"/>
      <c r="N78" s="1438"/>
      <c r="O78" s="1438"/>
      <c r="P78" s="1438"/>
      <c r="Q78" s="1438"/>
      <c r="R78" s="1438"/>
      <c r="S78" s="1438"/>
      <c r="T78" s="1438"/>
      <c r="U78" s="1438"/>
      <c r="V78" s="1438"/>
      <c r="W78" s="1438"/>
      <c r="X78" s="1438"/>
      <c r="Y78" s="1438"/>
      <c r="Z78" s="1438"/>
      <c r="AA78" s="1438"/>
      <c r="AB78" s="1438"/>
      <c r="AC78" s="1438"/>
      <c r="AD78" s="1438"/>
      <c r="AE78" s="1438"/>
      <c r="AF78" s="1438"/>
    </row>
    <row r="79" spans="1:32" ht="17.45">
      <c r="A79" s="1438"/>
      <c r="B79" s="1438"/>
      <c r="C79" s="1438"/>
      <c r="D79" s="1438"/>
      <c r="E79" s="1438"/>
      <c r="F79" s="1438"/>
      <c r="G79" s="1438"/>
      <c r="H79" s="1438"/>
      <c r="I79" s="1438"/>
      <c r="J79" s="1438"/>
      <c r="K79" s="1438"/>
      <c r="L79" s="1438"/>
      <c r="M79" s="1438"/>
      <c r="N79" s="1438"/>
      <c r="O79" s="1438"/>
      <c r="P79" s="1438"/>
      <c r="Q79" s="1438"/>
      <c r="R79" s="1438"/>
      <c r="S79" s="1438"/>
      <c r="T79" s="1438"/>
      <c r="U79" s="1438"/>
      <c r="V79" s="1438"/>
      <c r="W79" s="1438"/>
      <c r="X79" s="1438"/>
      <c r="Y79" s="1438"/>
      <c r="Z79" s="1438"/>
      <c r="AA79" s="1438"/>
      <c r="AB79" s="1438"/>
      <c r="AC79" s="1438"/>
      <c r="AD79" s="1438"/>
      <c r="AE79" s="1438"/>
      <c r="AF79" s="1438"/>
    </row>
    <row r="80" spans="1:32" ht="17.45">
      <c r="A80" s="1438"/>
      <c r="B80" s="1438"/>
      <c r="C80" s="1438"/>
      <c r="D80" s="1438"/>
      <c r="E80" s="1438"/>
      <c r="F80" s="1438"/>
      <c r="G80" s="1438"/>
      <c r="H80" s="1438"/>
      <c r="I80" s="1438"/>
      <c r="J80" s="1438"/>
      <c r="K80" s="1438"/>
      <c r="L80" s="1438"/>
      <c r="M80" s="1438"/>
      <c r="N80" s="1438"/>
      <c r="O80" s="1438"/>
      <c r="P80" s="1438"/>
      <c r="Q80" s="1438"/>
      <c r="R80" s="1438"/>
      <c r="S80" s="1438"/>
      <c r="T80" s="1438"/>
      <c r="U80" s="1438"/>
      <c r="V80" s="1438"/>
      <c r="W80" s="1438"/>
      <c r="X80" s="1438"/>
      <c r="Y80" s="1438"/>
      <c r="Z80" s="1438"/>
      <c r="AA80" s="1438"/>
      <c r="AB80" s="1438"/>
      <c r="AC80" s="1438"/>
      <c r="AD80" s="1438"/>
      <c r="AE80" s="1438"/>
      <c r="AF80" s="1438"/>
    </row>
    <row r="81" spans="1:32" ht="17.45">
      <c r="A81" s="1438"/>
      <c r="B81" s="1438"/>
      <c r="C81" s="1438"/>
      <c r="D81" s="1438"/>
      <c r="E81" s="1438"/>
      <c r="F81" s="1438"/>
      <c r="G81" s="1438"/>
      <c r="H81" s="1438"/>
      <c r="I81" s="1438"/>
      <c r="J81" s="1438"/>
      <c r="K81" s="1438"/>
      <c r="L81" s="1438"/>
      <c r="M81" s="1438"/>
      <c r="N81" s="1438"/>
      <c r="O81" s="1438"/>
      <c r="P81" s="1438"/>
      <c r="Q81" s="1438"/>
      <c r="R81" s="1438"/>
      <c r="S81" s="1438"/>
      <c r="T81" s="1438"/>
      <c r="U81" s="1438"/>
      <c r="V81" s="1438"/>
      <c r="W81" s="1438"/>
      <c r="X81" s="1438"/>
      <c r="Y81" s="1438"/>
      <c r="Z81" s="1438"/>
      <c r="AA81" s="1438"/>
      <c r="AB81" s="1438"/>
      <c r="AC81" s="1438"/>
      <c r="AD81" s="1438"/>
      <c r="AE81" s="1438"/>
      <c r="AF81" s="1438"/>
    </row>
    <row r="82" spans="1:32" ht="17.45">
      <c r="A82" s="1438"/>
      <c r="B82" s="1438"/>
      <c r="C82" s="1438"/>
      <c r="D82" s="1438"/>
      <c r="E82" s="1438"/>
      <c r="F82" s="1438"/>
      <c r="G82" s="1438"/>
      <c r="H82" s="1438"/>
      <c r="I82" s="1438"/>
      <c r="J82" s="1438"/>
      <c r="K82" s="1438"/>
      <c r="L82" s="1438"/>
      <c r="M82" s="1438"/>
      <c r="N82" s="1438"/>
      <c r="O82" s="1438"/>
      <c r="P82" s="1438"/>
      <c r="Q82" s="1438"/>
      <c r="R82" s="1438"/>
      <c r="S82" s="1438"/>
      <c r="T82" s="1438"/>
      <c r="U82" s="1438"/>
      <c r="V82" s="1438"/>
      <c r="W82" s="1438"/>
      <c r="X82" s="1438"/>
      <c r="Y82" s="1438"/>
      <c r="Z82" s="1438"/>
      <c r="AA82" s="1438"/>
      <c r="AB82" s="1438"/>
      <c r="AC82" s="1438"/>
      <c r="AD82" s="1438"/>
      <c r="AE82" s="1438"/>
      <c r="AF82" s="1438"/>
    </row>
    <row r="83" spans="1:32" ht="17.45">
      <c r="A83" s="1438"/>
      <c r="B83" s="1438"/>
      <c r="C83" s="1438"/>
      <c r="D83" s="1438"/>
      <c r="E83" s="1438"/>
      <c r="F83" s="1438"/>
      <c r="G83" s="1438"/>
      <c r="H83" s="1438"/>
      <c r="I83" s="1438"/>
      <c r="J83" s="1438"/>
      <c r="K83" s="1438"/>
      <c r="L83" s="1438"/>
      <c r="M83" s="1438"/>
      <c r="N83" s="1438"/>
      <c r="O83" s="1438"/>
      <c r="P83" s="1438"/>
      <c r="Q83" s="1438"/>
      <c r="R83" s="1438"/>
      <c r="S83" s="1438"/>
      <c r="T83" s="1438"/>
      <c r="U83" s="1438"/>
      <c r="V83" s="1438"/>
      <c r="W83" s="1438"/>
      <c r="X83" s="1438"/>
      <c r="Y83" s="1438"/>
      <c r="Z83" s="1438"/>
      <c r="AA83" s="1438"/>
      <c r="AB83" s="1438"/>
      <c r="AC83" s="1438"/>
      <c r="AD83" s="1438"/>
      <c r="AE83" s="1438"/>
      <c r="AF83" s="1438"/>
    </row>
    <row r="84" spans="1:32" ht="17.45">
      <c r="A84" s="1438"/>
      <c r="B84" s="1438"/>
      <c r="C84" s="1438"/>
      <c r="D84" s="1438"/>
      <c r="E84" s="1438"/>
      <c r="F84" s="1438"/>
      <c r="G84" s="1438"/>
      <c r="H84" s="1438"/>
      <c r="I84" s="1438"/>
      <c r="J84" s="1438"/>
      <c r="K84" s="1438"/>
      <c r="L84" s="1438"/>
      <c r="M84" s="1438"/>
      <c r="N84" s="1438"/>
      <c r="O84" s="1438"/>
      <c r="P84" s="1438"/>
      <c r="Q84" s="1438"/>
      <c r="R84" s="1438"/>
      <c r="S84" s="1438"/>
      <c r="T84" s="1438"/>
      <c r="U84" s="1438"/>
      <c r="V84" s="1438"/>
      <c r="W84" s="1438"/>
      <c r="X84" s="1438"/>
      <c r="Y84" s="1438"/>
      <c r="Z84" s="1438"/>
      <c r="AA84" s="1438"/>
      <c r="AB84" s="1438"/>
      <c r="AC84" s="1438"/>
      <c r="AD84" s="1438"/>
      <c r="AE84" s="1438"/>
      <c r="AF84" s="1438"/>
    </row>
    <row r="85" spans="1:32" ht="17.45">
      <c r="A85" s="1438"/>
      <c r="B85" s="1438"/>
      <c r="C85" s="1438"/>
      <c r="D85" s="1438"/>
      <c r="E85" s="1438"/>
      <c r="F85" s="1438"/>
      <c r="G85" s="1438"/>
      <c r="H85" s="1438"/>
      <c r="I85" s="1438"/>
      <c r="J85" s="1438"/>
      <c r="K85" s="1438"/>
      <c r="L85" s="1438"/>
      <c r="M85" s="1438"/>
      <c r="N85" s="1438"/>
      <c r="O85" s="1438"/>
      <c r="P85" s="1438"/>
      <c r="Q85" s="1438"/>
      <c r="R85" s="1438"/>
      <c r="S85" s="1438"/>
      <c r="T85" s="1438"/>
      <c r="U85" s="1438"/>
      <c r="V85" s="1438"/>
      <c r="W85" s="1438"/>
      <c r="X85" s="1438"/>
      <c r="Y85" s="1438"/>
      <c r="Z85" s="1438"/>
      <c r="AA85" s="1438"/>
      <c r="AB85" s="1438"/>
      <c r="AC85" s="1438"/>
      <c r="AD85" s="1438"/>
      <c r="AE85" s="1438"/>
      <c r="AF85" s="1438"/>
    </row>
    <row r="86" spans="1:32" ht="17.45">
      <c r="A86" s="1438"/>
      <c r="B86" s="1438"/>
      <c r="C86" s="1438"/>
      <c r="D86" s="1438"/>
      <c r="E86" s="1438"/>
      <c r="F86" s="1438"/>
      <c r="G86" s="1438"/>
      <c r="H86" s="1438"/>
      <c r="I86" s="1438"/>
      <c r="J86" s="1438"/>
      <c r="K86" s="1438"/>
      <c r="L86" s="1438"/>
      <c r="M86" s="1438"/>
      <c r="N86" s="1438"/>
      <c r="O86" s="1438"/>
      <c r="P86" s="1438"/>
      <c r="Q86" s="1438"/>
      <c r="R86" s="1438"/>
      <c r="S86" s="1438"/>
      <c r="T86" s="1438"/>
      <c r="U86" s="1438"/>
      <c r="V86" s="1438"/>
      <c r="W86" s="1438"/>
      <c r="X86" s="1438"/>
      <c r="Y86" s="1438"/>
      <c r="Z86" s="1438"/>
      <c r="AA86" s="1438"/>
      <c r="AB86" s="1438"/>
      <c r="AC86" s="1438"/>
      <c r="AD86" s="1438"/>
      <c r="AE86" s="1438"/>
      <c r="AF86" s="1438"/>
    </row>
    <row r="87" spans="1:32" ht="17.45">
      <c r="A87" s="1438"/>
      <c r="B87" s="1438"/>
      <c r="C87" s="1438"/>
      <c r="D87" s="1438"/>
      <c r="E87" s="1438"/>
      <c r="F87" s="1438"/>
      <c r="G87" s="1438"/>
      <c r="H87" s="1438"/>
      <c r="I87" s="1438"/>
      <c r="J87" s="1438"/>
      <c r="K87" s="1438"/>
      <c r="L87" s="1438"/>
      <c r="M87" s="1438"/>
      <c r="N87" s="1438"/>
      <c r="O87" s="1438"/>
      <c r="P87" s="1438"/>
      <c r="Q87" s="1438"/>
      <c r="R87" s="1438"/>
      <c r="S87" s="1438"/>
      <c r="T87" s="1438"/>
      <c r="U87" s="1438"/>
      <c r="V87" s="1438"/>
      <c r="W87" s="1438"/>
      <c r="X87" s="1438"/>
      <c r="Y87" s="1438"/>
      <c r="Z87" s="1438"/>
      <c r="AA87" s="1438"/>
      <c r="AB87" s="1438"/>
      <c r="AC87" s="1438"/>
      <c r="AD87" s="1438"/>
      <c r="AE87" s="1438"/>
      <c r="AF87" s="1438"/>
    </row>
    <row r="88" spans="1:32" ht="17.45">
      <c r="A88" s="1438"/>
      <c r="B88" s="1438"/>
      <c r="C88" s="1438"/>
      <c r="D88" s="1438"/>
      <c r="E88" s="1438"/>
      <c r="F88" s="1438"/>
      <c r="G88" s="1438"/>
      <c r="H88" s="1438"/>
      <c r="I88" s="1438"/>
      <c r="J88" s="1438"/>
      <c r="K88" s="1438"/>
      <c r="L88" s="1438"/>
      <c r="M88" s="1438"/>
      <c r="N88" s="1438"/>
      <c r="O88" s="1438"/>
      <c r="P88" s="1438"/>
      <c r="Q88" s="1438"/>
      <c r="R88" s="1438"/>
      <c r="S88" s="1438"/>
      <c r="T88" s="1438"/>
      <c r="U88" s="1438"/>
      <c r="V88" s="1438"/>
      <c r="W88" s="1438"/>
      <c r="X88" s="1438"/>
      <c r="Y88" s="1438"/>
      <c r="Z88" s="1438"/>
      <c r="AA88" s="1438"/>
      <c r="AB88" s="1438"/>
      <c r="AC88" s="1438"/>
      <c r="AD88" s="1438"/>
      <c r="AE88" s="1438"/>
      <c r="AF88" s="14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AF95-05F2-4F5B-B09C-84DDF4F0C25B}">
  <dimension ref="A1:AF88"/>
  <sheetViews>
    <sheetView topLeftCell="A35" zoomScaleNormal="100" workbookViewId="0">
      <selection activeCell="H32" sqref="H32"/>
    </sheetView>
  </sheetViews>
  <sheetFormatPr defaultColWidth="8.7109375" defaultRowHeight="14.45"/>
  <cols>
    <col min="1" max="1" width="3" style="272" customWidth="1"/>
    <col min="2" max="2" width="21" style="272" customWidth="1"/>
    <col min="3" max="9" width="23.7109375" style="272" customWidth="1"/>
    <col min="10" max="10" width="26.140625" style="272" customWidth="1"/>
    <col min="11" max="11" width="1.7109375" style="272" customWidth="1"/>
    <col min="12" max="12" width="33" style="272" customWidth="1"/>
    <col min="13" max="14" width="23.28515625" style="272" customWidth="1"/>
    <col min="15" max="16384" width="8.7109375" style="272"/>
  </cols>
  <sheetData>
    <row r="1" spans="1:32" ht="23.25" customHeight="1">
      <c r="A1" s="268" t="s">
        <v>484</v>
      </c>
      <c r="B1" s="268" t="s">
        <v>484</v>
      </c>
      <c r="C1" s="269" t="s">
        <v>0</v>
      </c>
      <c r="D1" s="269">
        <v>209.38</v>
      </c>
      <c r="E1" s="270" t="s">
        <v>484</v>
      </c>
      <c r="F1" s="271" t="s">
        <v>484</v>
      </c>
      <c r="G1" s="270" t="s">
        <v>484</v>
      </c>
      <c r="H1" s="270" t="s">
        <v>484</v>
      </c>
      <c r="I1" s="270" t="s">
        <v>484</v>
      </c>
      <c r="J1" s="268" t="s">
        <v>484</v>
      </c>
      <c r="K1" s="268" t="s">
        <v>484</v>
      </c>
      <c r="L1" s="268" t="s">
        <v>484</v>
      </c>
      <c r="M1" s="268" t="s">
        <v>484</v>
      </c>
      <c r="N1" s="268" t="s">
        <v>484</v>
      </c>
      <c r="O1" s="268" t="s">
        <v>484</v>
      </c>
      <c r="P1" s="268" t="s">
        <v>484</v>
      </c>
      <c r="Q1" s="268" t="s">
        <v>484</v>
      </c>
      <c r="R1" s="268" t="s">
        <v>484</v>
      </c>
      <c r="S1" s="268" t="s">
        <v>484</v>
      </c>
      <c r="T1" s="268" t="s">
        <v>484</v>
      </c>
      <c r="U1" s="268" t="s">
        <v>484</v>
      </c>
      <c r="V1" s="268" t="s">
        <v>484</v>
      </c>
      <c r="W1" s="268" t="s">
        <v>484</v>
      </c>
      <c r="X1" s="268" t="s">
        <v>484</v>
      </c>
      <c r="Y1" s="268" t="s">
        <v>484</v>
      </c>
      <c r="Z1" s="268" t="s">
        <v>484</v>
      </c>
      <c r="AA1" s="268" t="s">
        <v>484</v>
      </c>
      <c r="AB1" s="268" t="s">
        <v>484</v>
      </c>
      <c r="AC1" s="268" t="s">
        <v>484</v>
      </c>
      <c r="AD1" s="268" t="s">
        <v>484</v>
      </c>
      <c r="AE1" s="268" t="s">
        <v>484</v>
      </c>
      <c r="AF1" s="268" t="s">
        <v>484</v>
      </c>
    </row>
    <row r="2" spans="1:32" ht="23.25" customHeight="1">
      <c r="A2" s="268" t="s">
        <v>484</v>
      </c>
      <c r="B2" s="356" t="s">
        <v>485</v>
      </c>
      <c r="C2" s="273" t="s">
        <v>1</v>
      </c>
      <c r="D2" s="274">
        <v>0</v>
      </c>
      <c r="E2" s="275" t="s">
        <v>2</v>
      </c>
      <c r="F2" s="276">
        <v>0</v>
      </c>
      <c r="G2" s="277" t="s">
        <v>3</v>
      </c>
      <c r="H2" s="276">
        <v>0</v>
      </c>
      <c r="I2" s="278" t="s">
        <v>484</v>
      </c>
      <c r="J2" s="279" t="s">
        <v>4</v>
      </c>
      <c r="K2" s="279" t="s">
        <v>484</v>
      </c>
      <c r="L2" s="279" t="s">
        <v>484</v>
      </c>
      <c r="M2" s="268" t="s">
        <v>484</v>
      </c>
      <c r="N2" s="268" t="s">
        <v>484</v>
      </c>
      <c r="O2" s="268" t="s">
        <v>484</v>
      </c>
      <c r="P2" s="268" t="s">
        <v>484</v>
      </c>
      <c r="Q2" s="268" t="s">
        <v>484</v>
      </c>
      <c r="R2" s="268" t="s">
        <v>484</v>
      </c>
      <c r="S2" s="268" t="s">
        <v>484</v>
      </c>
      <c r="T2" s="268" t="s">
        <v>484</v>
      </c>
      <c r="U2" s="268" t="s">
        <v>484</v>
      </c>
      <c r="V2" s="268" t="s">
        <v>484</v>
      </c>
      <c r="W2" s="268" t="s">
        <v>484</v>
      </c>
      <c r="X2" s="268" t="s">
        <v>484</v>
      </c>
      <c r="Y2" s="268" t="s">
        <v>484</v>
      </c>
      <c r="Z2" s="268" t="s">
        <v>484</v>
      </c>
      <c r="AA2" s="268" t="s">
        <v>484</v>
      </c>
      <c r="AB2" s="268" t="s">
        <v>484</v>
      </c>
      <c r="AC2" s="268" t="s">
        <v>484</v>
      </c>
      <c r="AD2" s="268" t="s">
        <v>484</v>
      </c>
      <c r="AE2" s="268" t="s">
        <v>484</v>
      </c>
      <c r="AF2" s="268" t="s">
        <v>484</v>
      </c>
    </row>
    <row r="3" spans="1:32" ht="23.25" customHeight="1">
      <c r="A3" s="268" t="s">
        <v>484</v>
      </c>
      <c r="B3" s="280" t="s">
        <v>5</v>
      </c>
      <c r="C3" s="281" t="s">
        <v>6</v>
      </c>
      <c r="D3" s="282" t="s">
        <v>7</v>
      </c>
      <c r="E3" s="283" t="s">
        <v>8</v>
      </c>
      <c r="F3" s="284" t="s">
        <v>9</v>
      </c>
      <c r="G3" s="285" t="s">
        <v>10</v>
      </c>
      <c r="H3" s="341" t="s">
        <v>11</v>
      </c>
      <c r="I3" s="286" t="s">
        <v>12</v>
      </c>
      <c r="J3" s="279" t="s">
        <v>13</v>
      </c>
      <c r="K3" s="287" t="s">
        <v>484</v>
      </c>
      <c r="L3" s="279" t="s">
        <v>484</v>
      </c>
      <c r="M3" s="268" t="s">
        <v>484</v>
      </c>
      <c r="N3" s="268" t="s">
        <v>484</v>
      </c>
      <c r="O3" s="268" t="s">
        <v>484</v>
      </c>
      <c r="P3" s="268" t="s">
        <v>484</v>
      </c>
      <c r="Q3" s="268" t="s">
        <v>484</v>
      </c>
      <c r="R3" s="268" t="s">
        <v>484</v>
      </c>
      <c r="S3" s="268" t="s">
        <v>484</v>
      </c>
      <c r="T3" s="268" t="s">
        <v>484</v>
      </c>
      <c r="U3" s="268" t="s">
        <v>484</v>
      </c>
      <c r="V3" s="268" t="s">
        <v>484</v>
      </c>
      <c r="W3" s="268" t="s">
        <v>484</v>
      </c>
      <c r="X3" s="268" t="s">
        <v>484</v>
      </c>
      <c r="Y3" s="268" t="s">
        <v>484</v>
      </c>
      <c r="Z3" s="268" t="s">
        <v>484</v>
      </c>
      <c r="AA3" s="268" t="s">
        <v>484</v>
      </c>
      <c r="AB3" s="268" t="s">
        <v>484</v>
      </c>
      <c r="AC3" s="268" t="s">
        <v>484</v>
      </c>
      <c r="AD3" s="268" t="s">
        <v>484</v>
      </c>
      <c r="AE3" s="268" t="s">
        <v>484</v>
      </c>
      <c r="AF3" s="268" t="s">
        <v>484</v>
      </c>
    </row>
    <row r="4" spans="1:32" ht="23.25" customHeight="1">
      <c r="A4" s="268" t="s">
        <v>484</v>
      </c>
      <c r="B4" s="288" t="s">
        <v>14</v>
      </c>
      <c r="C4" s="289"/>
      <c r="D4" s="290"/>
      <c r="E4" s="290"/>
      <c r="F4" s="290">
        <v>1</v>
      </c>
      <c r="G4" s="290">
        <v>2</v>
      </c>
      <c r="H4" s="291">
        <v>3</v>
      </c>
      <c r="I4" s="292">
        <v>4</v>
      </c>
      <c r="J4" s="279" t="s">
        <v>15</v>
      </c>
      <c r="K4" s="287" t="s">
        <v>484</v>
      </c>
      <c r="L4" s="293" t="s">
        <v>484</v>
      </c>
      <c r="M4" s="268" t="s">
        <v>484</v>
      </c>
      <c r="N4" s="268" t="s">
        <v>484</v>
      </c>
      <c r="O4" s="268" t="s">
        <v>484</v>
      </c>
      <c r="P4" s="268" t="s">
        <v>484</v>
      </c>
      <c r="Q4" s="268" t="s">
        <v>484</v>
      </c>
      <c r="R4" s="268" t="s">
        <v>484</v>
      </c>
      <c r="S4" s="268" t="s">
        <v>484</v>
      </c>
      <c r="T4" s="268" t="s">
        <v>484</v>
      </c>
      <c r="U4" s="268" t="s">
        <v>484</v>
      </c>
      <c r="V4" s="268" t="s">
        <v>484</v>
      </c>
      <c r="W4" s="268" t="s">
        <v>484</v>
      </c>
      <c r="X4" s="268" t="s">
        <v>484</v>
      </c>
      <c r="Y4" s="268" t="s">
        <v>484</v>
      </c>
      <c r="Z4" s="268" t="s">
        <v>484</v>
      </c>
      <c r="AA4" s="268" t="s">
        <v>484</v>
      </c>
      <c r="AB4" s="268" t="s">
        <v>484</v>
      </c>
      <c r="AC4" s="268" t="s">
        <v>484</v>
      </c>
      <c r="AD4" s="268" t="s">
        <v>484</v>
      </c>
      <c r="AE4" s="268" t="s">
        <v>484</v>
      </c>
      <c r="AF4" s="268" t="s">
        <v>484</v>
      </c>
    </row>
    <row r="5" spans="1:32" ht="23.25" customHeight="1">
      <c r="A5" s="268" t="s">
        <v>484</v>
      </c>
      <c r="B5" s="294" t="s">
        <v>16</v>
      </c>
      <c r="C5" s="295"/>
      <c r="D5" s="296"/>
      <c r="E5" s="297"/>
      <c r="F5" s="297" t="s">
        <v>324</v>
      </c>
      <c r="G5" s="297" t="s">
        <v>379</v>
      </c>
      <c r="H5" s="297" t="s">
        <v>251</v>
      </c>
      <c r="I5" s="298" t="s">
        <v>50</v>
      </c>
      <c r="J5" s="98" t="s">
        <v>17</v>
      </c>
      <c r="K5" s="287" t="s">
        <v>484</v>
      </c>
      <c r="L5" s="293" t="s">
        <v>484</v>
      </c>
      <c r="M5" s="268" t="s">
        <v>484</v>
      </c>
      <c r="N5" s="268" t="s">
        <v>484</v>
      </c>
      <c r="O5" s="268" t="s">
        <v>484</v>
      </c>
      <c r="P5" s="268" t="s">
        <v>484</v>
      </c>
      <c r="Q5" s="268" t="s">
        <v>484</v>
      </c>
      <c r="R5" s="268" t="s">
        <v>484</v>
      </c>
      <c r="S5" s="268" t="s">
        <v>484</v>
      </c>
      <c r="T5" s="268" t="s">
        <v>484</v>
      </c>
      <c r="U5" s="268" t="s">
        <v>484</v>
      </c>
      <c r="V5" s="268" t="s">
        <v>484</v>
      </c>
      <c r="W5" s="268" t="s">
        <v>484</v>
      </c>
      <c r="X5" s="268" t="s">
        <v>484</v>
      </c>
      <c r="Y5" s="268" t="s">
        <v>484</v>
      </c>
      <c r="Z5" s="268" t="s">
        <v>484</v>
      </c>
      <c r="AA5" s="268" t="s">
        <v>484</v>
      </c>
      <c r="AB5" s="268" t="s">
        <v>484</v>
      </c>
      <c r="AC5" s="268" t="s">
        <v>484</v>
      </c>
      <c r="AD5" s="268" t="s">
        <v>484</v>
      </c>
      <c r="AE5" s="268" t="s">
        <v>484</v>
      </c>
      <c r="AF5" s="268" t="s">
        <v>484</v>
      </c>
    </row>
    <row r="6" spans="1:32" ht="23.25" customHeight="1">
      <c r="A6" s="268" t="s">
        <v>484</v>
      </c>
      <c r="B6" s="299" t="s">
        <v>18</v>
      </c>
      <c r="C6" s="300"/>
      <c r="D6" s="300"/>
      <c r="E6" s="300"/>
      <c r="F6" s="349">
        <v>0.05</v>
      </c>
      <c r="G6" s="350">
        <v>0.11</v>
      </c>
      <c r="H6" s="351">
        <v>0.19</v>
      </c>
      <c r="I6" s="352">
        <v>0.28000000000000003</v>
      </c>
      <c r="J6" s="302" t="s">
        <v>484</v>
      </c>
      <c r="K6" s="287" t="s">
        <v>484</v>
      </c>
      <c r="L6" s="268" t="s">
        <v>484</v>
      </c>
      <c r="M6" s="268" t="s">
        <v>484</v>
      </c>
      <c r="N6" s="268" t="s">
        <v>484</v>
      </c>
      <c r="O6" s="268" t="s">
        <v>484</v>
      </c>
      <c r="P6" s="268" t="s">
        <v>484</v>
      </c>
      <c r="Q6" s="268" t="s">
        <v>484</v>
      </c>
      <c r="R6" s="268" t="s">
        <v>484</v>
      </c>
      <c r="S6" s="268" t="s">
        <v>484</v>
      </c>
      <c r="T6" s="268" t="s">
        <v>484</v>
      </c>
      <c r="U6" s="268" t="s">
        <v>484</v>
      </c>
      <c r="V6" s="268" t="s">
        <v>484</v>
      </c>
      <c r="W6" s="268" t="s">
        <v>484</v>
      </c>
      <c r="X6" s="268" t="s">
        <v>484</v>
      </c>
      <c r="Y6" s="268" t="s">
        <v>484</v>
      </c>
      <c r="Z6" s="268" t="s">
        <v>484</v>
      </c>
      <c r="AA6" s="268" t="s">
        <v>484</v>
      </c>
      <c r="AB6" s="268" t="s">
        <v>484</v>
      </c>
      <c r="AC6" s="268" t="s">
        <v>484</v>
      </c>
      <c r="AD6" s="268" t="s">
        <v>484</v>
      </c>
      <c r="AE6" s="268" t="s">
        <v>484</v>
      </c>
      <c r="AF6" s="268" t="s">
        <v>484</v>
      </c>
    </row>
    <row r="7" spans="1:32" ht="23.25" customHeight="1">
      <c r="A7" s="268" t="s">
        <v>484</v>
      </c>
      <c r="B7" s="294" t="s">
        <v>19</v>
      </c>
      <c r="C7" s="303"/>
      <c r="D7" s="304"/>
      <c r="E7" s="304"/>
      <c r="F7" s="304" t="s">
        <v>62</v>
      </c>
      <c r="G7" s="304" t="s">
        <v>340</v>
      </c>
      <c r="H7" s="304" t="s">
        <v>253</v>
      </c>
      <c r="I7" s="305" t="s">
        <v>253</v>
      </c>
      <c r="J7" s="306" t="s">
        <v>20</v>
      </c>
      <c r="K7" s="287" t="s">
        <v>484</v>
      </c>
      <c r="L7" s="307" t="s">
        <v>484</v>
      </c>
      <c r="M7" s="268" t="s">
        <v>484</v>
      </c>
      <c r="N7" s="268" t="s">
        <v>484</v>
      </c>
      <c r="O7" s="268" t="s">
        <v>484</v>
      </c>
      <c r="P7" s="268" t="s">
        <v>484</v>
      </c>
      <c r="Q7" s="268" t="s">
        <v>484</v>
      </c>
      <c r="R7" s="268" t="s">
        <v>484</v>
      </c>
      <c r="S7" s="268" t="s">
        <v>484</v>
      </c>
      <c r="T7" s="268" t="s">
        <v>484</v>
      </c>
      <c r="U7" s="268" t="s">
        <v>484</v>
      </c>
      <c r="V7" s="268" t="s">
        <v>484</v>
      </c>
      <c r="W7" s="268" t="s">
        <v>484</v>
      </c>
      <c r="X7" s="268" t="s">
        <v>484</v>
      </c>
      <c r="Y7" s="268" t="s">
        <v>484</v>
      </c>
      <c r="Z7" s="268" t="s">
        <v>484</v>
      </c>
      <c r="AA7" s="268" t="s">
        <v>484</v>
      </c>
      <c r="AB7" s="268" t="s">
        <v>484</v>
      </c>
      <c r="AC7" s="268" t="s">
        <v>484</v>
      </c>
      <c r="AD7" s="268" t="s">
        <v>484</v>
      </c>
      <c r="AE7" s="268" t="s">
        <v>484</v>
      </c>
      <c r="AF7" s="268" t="s">
        <v>484</v>
      </c>
    </row>
    <row r="8" spans="1:32" ht="23.25" customHeight="1">
      <c r="A8" s="268" t="s">
        <v>484</v>
      </c>
      <c r="B8" s="288" t="s">
        <v>21</v>
      </c>
      <c r="C8" s="308"/>
      <c r="D8" s="300"/>
      <c r="E8" s="300"/>
      <c r="F8" s="300">
        <v>1.4</v>
      </c>
      <c r="G8" s="300">
        <v>11.4</v>
      </c>
      <c r="H8" s="300">
        <v>10.199999999999999</v>
      </c>
      <c r="I8" s="278">
        <v>7.2</v>
      </c>
      <c r="J8" s="309">
        <f>SUM(F8:I8)</f>
        <v>30.2</v>
      </c>
      <c r="K8" s="287" t="s">
        <v>484</v>
      </c>
      <c r="L8" s="212" t="s">
        <v>22</v>
      </c>
      <c r="M8" s="268" t="s">
        <v>484</v>
      </c>
      <c r="N8" s="268" t="s">
        <v>484</v>
      </c>
      <c r="O8" s="268" t="s">
        <v>484</v>
      </c>
      <c r="P8" s="268" t="s">
        <v>484</v>
      </c>
      <c r="Q8" s="268" t="s">
        <v>484</v>
      </c>
      <c r="R8" s="268" t="s">
        <v>484</v>
      </c>
      <c r="S8" s="268" t="s">
        <v>484</v>
      </c>
      <c r="T8" s="268" t="s">
        <v>484</v>
      </c>
      <c r="U8" s="268" t="s">
        <v>484</v>
      </c>
      <c r="V8" s="268" t="s">
        <v>484</v>
      </c>
      <c r="W8" s="268" t="s">
        <v>484</v>
      </c>
      <c r="X8" s="268" t="s">
        <v>484</v>
      </c>
      <c r="Y8" s="268" t="s">
        <v>484</v>
      </c>
      <c r="Z8" s="268" t="s">
        <v>484</v>
      </c>
      <c r="AA8" s="268" t="s">
        <v>484</v>
      </c>
      <c r="AB8" s="268" t="s">
        <v>484</v>
      </c>
      <c r="AC8" s="268" t="s">
        <v>484</v>
      </c>
      <c r="AD8" s="268" t="s">
        <v>484</v>
      </c>
      <c r="AE8" s="268" t="s">
        <v>484</v>
      </c>
      <c r="AF8" s="268" t="s">
        <v>484</v>
      </c>
    </row>
    <row r="9" spans="1:32" ht="23.25" customHeight="1">
      <c r="A9" s="268" t="s">
        <v>484</v>
      </c>
      <c r="B9" s="288" t="s">
        <v>23</v>
      </c>
      <c r="C9" s="308"/>
      <c r="D9" s="300"/>
      <c r="E9" s="300"/>
      <c r="F9" s="300"/>
      <c r="G9" s="300">
        <v>0.8</v>
      </c>
      <c r="H9" s="300">
        <v>0.8</v>
      </c>
      <c r="I9" s="278">
        <v>0.8</v>
      </c>
      <c r="J9" s="309">
        <f>SUM(F9:I9)</f>
        <v>2.4000000000000004</v>
      </c>
      <c r="K9" s="287" t="s">
        <v>484</v>
      </c>
      <c r="L9" s="212" t="s">
        <v>24</v>
      </c>
      <c r="M9" s="268" t="s">
        <v>484</v>
      </c>
      <c r="N9" s="268" t="s">
        <v>484</v>
      </c>
      <c r="O9" s="268" t="s">
        <v>484</v>
      </c>
      <c r="P9" s="268" t="s">
        <v>484</v>
      </c>
      <c r="Q9" s="268" t="s">
        <v>484</v>
      </c>
      <c r="R9" s="268" t="s">
        <v>484</v>
      </c>
      <c r="S9" s="268" t="s">
        <v>484</v>
      </c>
      <c r="T9" s="268" t="s">
        <v>484</v>
      </c>
      <c r="U9" s="268" t="s">
        <v>484</v>
      </c>
      <c r="V9" s="268" t="s">
        <v>484</v>
      </c>
      <c r="W9" s="268" t="s">
        <v>484</v>
      </c>
      <c r="X9" s="268" t="s">
        <v>484</v>
      </c>
      <c r="Y9" s="268" t="s">
        <v>484</v>
      </c>
      <c r="Z9" s="268" t="s">
        <v>484</v>
      </c>
      <c r="AA9" s="268" t="s">
        <v>484</v>
      </c>
      <c r="AB9" s="268" t="s">
        <v>484</v>
      </c>
      <c r="AC9" s="268" t="s">
        <v>484</v>
      </c>
      <c r="AD9" s="268" t="s">
        <v>484</v>
      </c>
      <c r="AE9" s="268" t="s">
        <v>484</v>
      </c>
      <c r="AF9" s="268" t="s">
        <v>484</v>
      </c>
    </row>
    <row r="10" spans="1:32" ht="23.25" customHeight="1">
      <c r="A10" s="268" t="s">
        <v>484</v>
      </c>
      <c r="B10" s="288" t="s">
        <v>25</v>
      </c>
      <c r="C10" s="308"/>
      <c r="D10" s="300"/>
      <c r="E10" s="300"/>
      <c r="F10" s="300"/>
      <c r="G10" s="300">
        <v>0.8</v>
      </c>
      <c r="H10" s="300">
        <v>0.8</v>
      </c>
      <c r="I10" s="278">
        <v>0.3</v>
      </c>
      <c r="J10" s="310">
        <f>SUM(F10:I10)</f>
        <v>1.9000000000000001</v>
      </c>
      <c r="K10" s="287" t="s">
        <v>484</v>
      </c>
      <c r="L10" s="212" t="s">
        <v>26</v>
      </c>
      <c r="M10" s="268" t="s">
        <v>484</v>
      </c>
      <c r="N10" s="268" t="s">
        <v>484</v>
      </c>
      <c r="O10" s="268" t="s">
        <v>484</v>
      </c>
      <c r="P10" s="268" t="s">
        <v>484</v>
      </c>
      <c r="Q10" s="268" t="s">
        <v>484</v>
      </c>
      <c r="R10" s="268" t="s">
        <v>484</v>
      </c>
      <c r="S10" s="268" t="s">
        <v>484</v>
      </c>
      <c r="T10" s="268" t="s">
        <v>484</v>
      </c>
      <c r="U10" s="268" t="s">
        <v>484</v>
      </c>
      <c r="V10" s="268" t="s">
        <v>484</v>
      </c>
      <c r="W10" s="268" t="s">
        <v>484</v>
      </c>
      <c r="X10" s="268" t="s">
        <v>484</v>
      </c>
      <c r="Y10" s="268" t="s">
        <v>484</v>
      </c>
      <c r="Z10" s="268" t="s">
        <v>484</v>
      </c>
      <c r="AA10" s="268" t="s">
        <v>484</v>
      </c>
      <c r="AB10" s="268" t="s">
        <v>484</v>
      </c>
      <c r="AC10" s="268" t="s">
        <v>484</v>
      </c>
      <c r="AD10" s="268" t="s">
        <v>484</v>
      </c>
      <c r="AE10" s="268" t="s">
        <v>484</v>
      </c>
      <c r="AF10" s="268" t="s">
        <v>484</v>
      </c>
    </row>
    <row r="11" spans="1:32" ht="23.25" customHeight="1">
      <c r="A11" s="268" t="s">
        <v>484</v>
      </c>
      <c r="B11" s="311" t="s">
        <v>27</v>
      </c>
      <c r="C11" s="312"/>
      <c r="D11" s="313"/>
      <c r="E11" s="313"/>
      <c r="F11" s="313" t="s">
        <v>486</v>
      </c>
      <c r="G11" s="314" t="s">
        <v>487</v>
      </c>
      <c r="H11" s="314" t="s">
        <v>488</v>
      </c>
      <c r="I11" s="315" t="s">
        <v>489</v>
      </c>
      <c r="J11" s="316">
        <v>28.21</v>
      </c>
      <c r="K11" s="287" t="s">
        <v>484</v>
      </c>
      <c r="L11" s="212" t="s">
        <v>28</v>
      </c>
      <c r="M11" s="268" t="s">
        <v>484</v>
      </c>
      <c r="N11" s="268" t="s">
        <v>484</v>
      </c>
      <c r="O11" s="268" t="s">
        <v>484</v>
      </c>
      <c r="P11" s="268" t="s">
        <v>484</v>
      </c>
      <c r="Q11" s="268" t="s">
        <v>484</v>
      </c>
      <c r="R11" s="268" t="s">
        <v>484</v>
      </c>
      <c r="S11" s="268" t="s">
        <v>484</v>
      </c>
      <c r="T11" s="268" t="s">
        <v>484</v>
      </c>
      <c r="U11" s="268" t="s">
        <v>484</v>
      </c>
      <c r="V11" s="268" t="s">
        <v>484</v>
      </c>
      <c r="W11" s="268" t="s">
        <v>484</v>
      </c>
      <c r="X11" s="268" t="s">
        <v>484</v>
      </c>
      <c r="Y11" s="268" t="s">
        <v>484</v>
      </c>
      <c r="Z11" s="268" t="s">
        <v>484</v>
      </c>
      <c r="AA11" s="268" t="s">
        <v>484</v>
      </c>
      <c r="AB11" s="268" t="s">
        <v>484</v>
      </c>
      <c r="AC11" s="268" t="s">
        <v>484</v>
      </c>
      <c r="AD11" s="268" t="s">
        <v>484</v>
      </c>
      <c r="AE11" s="268" t="s">
        <v>484</v>
      </c>
      <c r="AF11" s="268" t="s">
        <v>484</v>
      </c>
    </row>
    <row r="12" spans="1:32" ht="23.25" customHeight="1">
      <c r="A12" s="268" t="s">
        <v>484</v>
      </c>
      <c r="B12" s="268" t="s">
        <v>4</v>
      </c>
      <c r="C12" s="289">
        <v>5</v>
      </c>
      <c r="D12" s="290">
        <v>6</v>
      </c>
      <c r="E12" s="290">
        <v>7</v>
      </c>
      <c r="F12" s="291">
        <v>8</v>
      </c>
      <c r="G12" s="317">
        <v>9</v>
      </c>
      <c r="H12" s="318">
        <v>10</v>
      </c>
      <c r="I12" s="292">
        <v>11</v>
      </c>
      <c r="J12" s="319" t="s">
        <v>484</v>
      </c>
      <c r="K12" s="287" t="s">
        <v>484</v>
      </c>
      <c r="L12" s="307" t="s">
        <v>484</v>
      </c>
      <c r="M12" s="268" t="s">
        <v>484</v>
      </c>
      <c r="N12" s="268" t="s">
        <v>484</v>
      </c>
      <c r="O12" s="268" t="s">
        <v>484</v>
      </c>
      <c r="P12" s="268" t="s">
        <v>484</v>
      </c>
      <c r="Q12" s="268" t="s">
        <v>484</v>
      </c>
      <c r="R12" s="268" t="s">
        <v>484</v>
      </c>
      <c r="S12" s="268" t="s">
        <v>484</v>
      </c>
      <c r="T12" s="268" t="s">
        <v>484</v>
      </c>
      <c r="U12" s="268" t="s">
        <v>484</v>
      </c>
      <c r="V12" s="268" t="s">
        <v>484</v>
      </c>
      <c r="W12" s="268" t="s">
        <v>484</v>
      </c>
      <c r="X12" s="268" t="s">
        <v>484</v>
      </c>
      <c r="Y12" s="268" t="s">
        <v>484</v>
      </c>
      <c r="Z12" s="268" t="s">
        <v>484</v>
      </c>
      <c r="AA12" s="268" t="s">
        <v>484</v>
      </c>
      <c r="AB12" s="268" t="s">
        <v>484</v>
      </c>
      <c r="AC12" s="268" t="s">
        <v>484</v>
      </c>
      <c r="AD12" s="268" t="s">
        <v>484</v>
      </c>
      <c r="AE12" s="268" t="s">
        <v>484</v>
      </c>
      <c r="AF12" s="268" t="s">
        <v>484</v>
      </c>
    </row>
    <row r="13" spans="1:32" ht="23.25" customHeight="1">
      <c r="A13" s="268" t="s">
        <v>484</v>
      </c>
      <c r="B13" s="268" t="s">
        <v>484</v>
      </c>
      <c r="C13" s="295" t="s">
        <v>207</v>
      </c>
      <c r="D13" s="296" t="s">
        <v>207</v>
      </c>
      <c r="E13" s="297" t="s">
        <v>379</v>
      </c>
      <c r="F13" s="297" t="s">
        <v>50</v>
      </c>
      <c r="G13" s="304" t="s">
        <v>50</v>
      </c>
      <c r="H13" s="342"/>
      <c r="I13" s="343"/>
      <c r="J13" s="319" t="s">
        <v>484</v>
      </c>
      <c r="K13" s="287" t="s">
        <v>484</v>
      </c>
      <c r="L13" s="307" t="s">
        <v>484</v>
      </c>
      <c r="M13" s="268" t="s">
        <v>484</v>
      </c>
      <c r="N13" s="268" t="s">
        <v>484</v>
      </c>
      <c r="O13" s="268" t="s">
        <v>484</v>
      </c>
      <c r="P13" s="268" t="s">
        <v>484</v>
      </c>
      <c r="Q13" s="268" t="s">
        <v>484</v>
      </c>
      <c r="R13" s="268" t="s">
        <v>484</v>
      </c>
      <c r="S13" s="268" t="s">
        <v>484</v>
      </c>
      <c r="T13" s="268" t="s">
        <v>484</v>
      </c>
      <c r="U13" s="268" t="s">
        <v>484</v>
      </c>
      <c r="V13" s="268" t="s">
        <v>484</v>
      </c>
      <c r="W13" s="268" t="s">
        <v>484</v>
      </c>
      <c r="X13" s="268" t="s">
        <v>484</v>
      </c>
      <c r="Y13" s="268" t="s">
        <v>484</v>
      </c>
      <c r="Z13" s="268" t="s">
        <v>484</v>
      </c>
      <c r="AA13" s="268" t="s">
        <v>484</v>
      </c>
      <c r="AB13" s="268" t="s">
        <v>484</v>
      </c>
      <c r="AC13" s="268" t="s">
        <v>484</v>
      </c>
      <c r="AD13" s="268" t="s">
        <v>484</v>
      </c>
      <c r="AE13" s="268" t="s">
        <v>484</v>
      </c>
      <c r="AF13" s="268" t="s">
        <v>484</v>
      </c>
    </row>
    <row r="14" spans="1:32" ht="23.25" customHeight="1">
      <c r="A14" s="268" t="s">
        <v>484</v>
      </c>
      <c r="B14" s="268" t="s">
        <v>484</v>
      </c>
      <c r="C14" s="353">
        <v>0.39</v>
      </c>
      <c r="D14" s="351">
        <v>0.5</v>
      </c>
      <c r="E14" s="349">
        <v>0.62</v>
      </c>
      <c r="F14" s="349">
        <v>0.72</v>
      </c>
      <c r="G14" s="349">
        <v>0.82</v>
      </c>
      <c r="H14" s="350">
        <v>0.9</v>
      </c>
      <c r="I14" s="354">
        <v>0.95</v>
      </c>
      <c r="J14" s="278" t="s">
        <v>484</v>
      </c>
      <c r="K14" s="287" t="s">
        <v>484</v>
      </c>
      <c r="L14" s="307" t="s">
        <v>484</v>
      </c>
      <c r="M14" s="268" t="s">
        <v>484</v>
      </c>
      <c r="N14" s="268" t="s">
        <v>484</v>
      </c>
      <c r="O14" s="268" t="s">
        <v>484</v>
      </c>
      <c r="P14" s="268" t="s">
        <v>484</v>
      </c>
      <c r="Q14" s="268" t="s">
        <v>484</v>
      </c>
      <c r="R14" s="268" t="s">
        <v>484</v>
      </c>
      <c r="S14" s="268" t="s">
        <v>484</v>
      </c>
      <c r="T14" s="268" t="s">
        <v>484</v>
      </c>
      <c r="U14" s="268" t="s">
        <v>484</v>
      </c>
      <c r="V14" s="268" t="s">
        <v>484</v>
      </c>
      <c r="W14" s="268" t="s">
        <v>484</v>
      </c>
      <c r="X14" s="268" t="s">
        <v>484</v>
      </c>
      <c r="Y14" s="268" t="s">
        <v>484</v>
      </c>
      <c r="Z14" s="268" t="s">
        <v>484</v>
      </c>
      <c r="AA14" s="268" t="s">
        <v>484</v>
      </c>
      <c r="AB14" s="268" t="s">
        <v>484</v>
      </c>
      <c r="AC14" s="268" t="s">
        <v>484</v>
      </c>
      <c r="AD14" s="268" t="s">
        <v>484</v>
      </c>
      <c r="AE14" s="268" t="s">
        <v>484</v>
      </c>
      <c r="AF14" s="268" t="s">
        <v>484</v>
      </c>
    </row>
    <row r="15" spans="1:32" ht="23.25" customHeight="1">
      <c r="A15" s="268" t="s">
        <v>484</v>
      </c>
      <c r="B15" s="268" t="s">
        <v>484</v>
      </c>
      <c r="C15" s="303" t="s">
        <v>62</v>
      </c>
      <c r="D15" s="304" t="s">
        <v>253</v>
      </c>
      <c r="E15" s="304" t="s">
        <v>253</v>
      </c>
      <c r="F15" s="304" t="s">
        <v>42</v>
      </c>
      <c r="G15" s="304" t="s">
        <v>42</v>
      </c>
      <c r="H15" s="342"/>
      <c r="I15" s="344"/>
      <c r="J15" s="306" t="s">
        <v>29</v>
      </c>
      <c r="K15" s="287" t="s">
        <v>484</v>
      </c>
      <c r="L15" s="307" t="s">
        <v>484</v>
      </c>
      <c r="M15" s="268" t="s">
        <v>484</v>
      </c>
      <c r="N15" s="268" t="s">
        <v>484</v>
      </c>
      <c r="O15" s="268" t="s">
        <v>484</v>
      </c>
      <c r="P15" s="268" t="s">
        <v>484</v>
      </c>
      <c r="Q15" s="268" t="s">
        <v>484</v>
      </c>
      <c r="R15" s="268" t="s">
        <v>484</v>
      </c>
      <c r="S15" s="268" t="s">
        <v>484</v>
      </c>
      <c r="T15" s="268" t="s">
        <v>484</v>
      </c>
      <c r="U15" s="268" t="s">
        <v>484</v>
      </c>
      <c r="V15" s="268" t="s">
        <v>484</v>
      </c>
      <c r="W15" s="268" t="s">
        <v>484</v>
      </c>
      <c r="X15" s="268" t="s">
        <v>484</v>
      </c>
      <c r="Y15" s="268" t="s">
        <v>484</v>
      </c>
      <c r="Z15" s="268" t="s">
        <v>484</v>
      </c>
      <c r="AA15" s="268" t="s">
        <v>484</v>
      </c>
      <c r="AB15" s="268" t="s">
        <v>484</v>
      </c>
      <c r="AC15" s="268" t="s">
        <v>484</v>
      </c>
      <c r="AD15" s="268" t="s">
        <v>484</v>
      </c>
      <c r="AE15" s="268" t="s">
        <v>484</v>
      </c>
      <c r="AF15" s="268" t="s">
        <v>484</v>
      </c>
    </row>
    <row r="16" spans="1:32" ht="23.25" customHeight="1">
      <c r="A16" s="268" t="s">
        <v>484</v>
      </c>
      <c r="B16" s="268" t="s">
        <v>484</v>
      </c>
      <c r="C16" s="308">
        <v>7.5</v>
      </c>
      <c r="D16" s="300">
        <v>6.5</v>
      </c>
      <c r="E16" s="300" t="s">
        <v>490</v>
      </c>
      <c r="F16" s="300" t="s">
        <v>491</v>
      </c>
      <c r="G16" s="300" t="s">
        <v>492</v>
      </c>
      <c r="H16" s="300"/>
      <c r="I16" s="278"/>
      <c r="J16" s="309">
        <f>SUM(C16:D16)</f>
        <v>14</v>
      </c>
      <c r="K16" s="287" t="s">
        <v>484</v>
      </c>
      <c r="L16" s="212" t="s">
        <v>22</v>
      </c>
      <c r="M16" s="268" t="s">
        <v>484</v>
      </c>
      <c r="N16" s="268" t="s">
        <v>484</v>
      </c>
      <c r="O16" s="268" t="s">
        <v>484</v>
      </c>
      <c r="P16" s="268" t="s">
        <v>484</v>
      </c>
      <c r="Q16" s="268" t="s">
        <v>484</v>
      </c>
      <c r="R16" s="268" t="s">
        <v>484</v>
      </c>
      <c r="S16" s="268" t="s">
        <v>484</v>
      </c>
      <c r="T16" s="268" t="s">
        <v>484</v>
      </c>
      <c r="U16" s="268" t="s">
        <v>484</v>
      </c>
      <c r="V16" s="268" t="s">
        <v>484</v>
      </c>
      <c r="W16" s="268" t="s">
        <v>484</v>
      </c>
      <c r="X16" s="268" t="s">
        <v>484</v>
      </c>
      <c r="Y16" s="268" t="s">
        <v>484</v>
      </c>
      <c r="Z16" s="268" t="s">
        <v>484</v>
      </c>
      <c r="AA16" s="268" t="s">
        <v>484</v>
      </c>
      <c r="AB16" s="268" t="s">
        <v>484</v>
      </c>
      <c r="AC16" s="268" t="s">
        <v>484</v>
      </c>
      <c r="AD16" s="268" t="s">
        <v>484</v>
      </c>
      <c r="AE16" s="268" t="s">
        <v>484</v>
      </c>
      <c r="AF16" s="268" t="s">
        <v>484</v>
      </c>
    </row>
    <row r="17" spans="1:32" ht="23.25" customHeight="1">
      <c r="A17" s="268" t="s">
        <v>484</v>
      </c>
      <c r="B17" s="268" t="s">
        <v>484</v>
      </c>
      <c r="C17" s="308">
        <v>0.8</v>
      </c>
      <c r="D17" s="300">
        <v>0.8</v>
      </c>
      <c r="E17" s="300">
        <v>0</v>
      </c>
      <c r="F17" s="300">
        <v>0</v>
      </c>
      <c r="G17" s="300">
        <v>0</v>
      </c>
      <c r="H17" s="300"/>
      <c r="I17" s="278"/>
      <c r="J17" s="309">
        <f>SUM(C17:G17)</f>
        <v>1.6</v>
      </c>
      <c r="K17" s="287" t="s">
        <v>484</v>
      </c>
      <c r="L17" s="212" t="s">
        <v>24</v>
      </c>
      <c r="M17" s="268" t="s">
        <v>484</v>
      </c>
      <c r="N17" s="268" t="s">
        <v>484</v>
      </c>
      <c r="O17" s="268" t="s">
        <v>484</v>
      </c>
      <c r="P17" s="268" t="s">
        <v>484</v>
      </c>
      <c r="Q17" s="268" t="s">
        <v>484</v>
      </c>
      <c r="R17" s="268" t="s">
        <v>484</v>
      </c>
      <c r="S17" s="268" t="s">
        <v>484</v>
      </c>
      <c r="T17" s="268" t="s">
        <v>484</v>
      </c>
      <c r="U17" s="268" t="s">
        <v>484</v>
      </c>
      <c r="V17" s="268" t="s">
        <v>484</v>
      </c>
      <c r="W17" s="268" t="s">
        <v>484</v>
      </c>
      <c r="X17" s="268" t="s">
        <v>484</v>
      </c>
      <c r="Y17" s="268" t="s">
        <v>484</v>
      </c>
      <c r="Z17" s="268" t="s">
        <v>484</v>
      </c>
      <c r="AA17" s="268" t="s">
        <v>484</v>
      </c>
      <c r="AB17" s="268" t="s">
        <v>484</v>
      </c>
      <c r="AC17" s="268" t="s">
        <v>484</v>
      </c>
      <c r="AD17" s="268" t="s">
        <v>484</v>
      </c>
      <c r="AE17" s="268" t="s">
        <v>484</v>
      </c>
      <c r="AF17" s="268" t="s">
        <v>484</v>
      </c>
    </row>
    <row r="18" spans="1:32" ht="23.25" customHeight="1">
      <c r="A18" s="268" t="s">
        <v>484</v>
      </c>
      <c r="B18" s="268" t="s">
        <v>484</v>
      </c>
      <c r="C18" s="308">
        <v>0.8</v>
      </c>
      <c r="D18" s="300">
        <v>0.8</v>
      </c>
      <c r="E18" s="300">
        <v>0</v>
      </c>
      <c r="F18" s="300">
        <v>0</v>
      </c>
      <c r="G18" s="300">
        <v>0</v>
      </c>
      <c r="H18" s="300"/>
      <c r="I18" s="278"/>
      <c r="J18" s="310">
        <f>SUM(C18:G18)</f>
        <v>1.6</v>
      </c>
      <c r="K18" s="287" t="s">
        <v>484</v>
      </c>
      <c r="L18" s="212" t="s">
        <v>26</v>
      </c>
      <c r="M18" s="268" t="s">
        <v>484</v>
      </c>
      <c r="N18" s="268" t="s">
        <v>484</v>
      </c>
      <c r="O18" s="268" t="s">
        <v>484</v>
      </c>
      <c r="P18" s="268" t="s">
        <v>484</v>
      </c>
      <c r="Q18" s="268" t="s">
        <v>484</v>
      </c>
      <c r="R18" s="268" t="s">
        <v>484</v>
      </c>
      <c r="S18" s="268" t="s">
        <v>484</v>
      </c>
      <c r="T18" s="268" t="s">
        <v>484</v>
      </c>
      <c r="U18" s="268" t="s">
        <v>484</v>
      </c>
      <c r="V18" s="268" t="s">
        <v>484</v>
      </c>
      <c r="W18" s="268" t="s">
        <v>484</v>
      </c>
      <c r="X18" s="268" t="s">
        <v>484</v>
      </c>
      <c r="Y18" s="268" t="s">
        <v>484</v>
      </c>
      <c r="Z18" s="268" t="s">
        <v>484</v>
      </c>
      <c r="AA18" s="268" t="s">
        <v>484</v>
      </c>
      <c r="AB18" s="268" t="s">
        <v>484</v>
      </c>
      <c r="AC18" s="268" t="s">
        <v>484</v>
      </c>
      <c r="AD18" s="268" t="s">
        <v>484</v>
      </c>
      <c r="AE18" s="268" t="s">
        <v>484</v>
      </c>
      <c r="AF18" s="268" t="s">
        <v>484</v>
      </c>
    </row>
    <row r="19" spans="1:32" ht="23.25" customHeight="1">
      <c r="A19" s="268" t="s">
        <v>484</v>
      </c>
      <c r="B19" s="268" t="s">
        <v>484</v>
      </c>
      <c r="C19" s="312" t="s">
        <v>493</v>
      </c>
      <c r="D19" s="313" t="s">
        <v>494</v>
      </c>
      <c r="E19" s="313" t="s">
        <v>495</v>
      </c>
      <c r="F19" s="314" t="s">
        <v>496</v>
      </c>
      <c r="G19" s="314" t="s">
        <v>497</v>
      </c>
      <c r="H19" s="314" t="s">
        <v>498</v>
      </c>
      <c r="I19" s="315" t="s">
        <v>499</v>
      </c>
      <c r="J19" s="316">
        <v>24.35</v>
      </c>
      <c r="K19" s="287" t="s">
        <v>484</v>
      </c>
      <c r="L19" s="212" t="s">
        <v>28</v>
      </c>
      <c r="M19" s="268" t="s">
        <v>484</v>
      </c>
      <c r="N19" s="268" t="s">
        <v>484</v>
      </c>
      <c r="O19" s="268" t="s">
        <v>484</v>
      </c>
      <c r="P19" s="268" t="s">
        <v>484</v>
      </c>
      <c r="Q19" s="268" t="s">
        <v>484</v>
      </c>
      <c r="R19" s="268" t="s">
        <v>484</v>
      </c>
      <c r="S19" s="268" t="s">
        <v>484</v>
      </c>
      <c r="T19" s="268" t="s">
        <v>484</v>
      </c>
      <c r="U19" s="268" t="s">
        <v>484</v>
      </c>
      <c r="V19" s="268" t="s">
        <v>484</v>
      </c>
      <c r="W19" s="268" t="s">
        <v>484</v>
      </c>
      <c r="X19" s="268" t="s">
        <v>484</v>
      </c>
      <c r="Y19" s="268" t="s">
        <v>484</v>
      </c>
      <c r="Z19" s="268" t="s">
        <v>484</v>
      </c>
      <c r="AA19" s="268" t="s">
        <v>484</v>
      </c>
      <c r="AB19" s="268" t="s">
        <v>484</v>
      </c>
      <c r="AC19" s="268" t="s">
        <v>484</v>
      </c>
      <c r="AD19" s="268" t="s">
        <v>484</v>
      </c>
      <c r="AE19" s="268" t="s">
        <v>484</v>
      </c>
      <c r="AF19" s="268" t="s">
        <v>484</v>
      </c>
    </row>
    <row r="20" spans="1:32" ht="23.25" customHeight="1">
      <c r="A20" s="268" t="s">
        <v>484</v>
      </c>
      <c r="B20" s="268" t="s">
        <v>484</v>
      </c>
      <c r="C20" s="320">
        <v>12</v>
      </c>
      <c r="D20" s="321">
        <v>13</v>
      </c>
      <c r="E20" s="322">
        <v>14</v>
      </c>
      <c r="F20" s="323">
        <v>15</v>
      </c>
      <c r="G20" s="324">
        <v>16</v>
      </c>
      <c r="H20" s="324">
        <v>17</v>
      </c>
      <c r="I20" s="325">
        <v>18</v>
      </c>
      <c r="J20" s="319" t="s">
        <v>484</v>
      </c>
      <c r="K20" s="287" t="s">
        <v>484</v>
      </c>
      <c r="L20" s="307" t="s">
        <v>484</v>
      </c>
      <c r="M20" s="268" t="s">
        <v>484</v>
      </c>
      <c r="N20" s="268" t="s">
        <v>484</v>
      </c>
      <c r="O20" s="268" t="s">
        <v>484</v>
      </c>
      <c r="P20" s="268" t="s">
        <v>484</v>
      </c>
      <c r="Q20" s="268" t="s">
        <v>484</v>
      </c>
      <c r="R20" s="268" t="s">
        <v>484</v>
      </c>
      <c r="S20" s="268" t="s">
        <v>484</v>
      </c>
      <c r="T20" s="268" t="s">
        <v>484</v>
      </c>
      <c r="U20" s="268" t="s">
        <v>484</v>
      </c>
      <c r="V20" s="268" t="s">
        <v>484</v>
      </c>
      <c r="W20" s="268" t="s">
        <v>484</v>
      </c>
      <c r="X20" s="268" t="s">
        <v>484</v>
      </c>
      <c r="Y20" s="268" t="s">
        <v>484</v>
      </c>
      <c r="Z20" s="268" t="s">
        <v>484</v>
      </c>
      <c r="AA20" s="268" t="s">
        <v>484</v>
      </c>
      <c r="AB20" s="268" t="s">
        <v>484</v>
      </c>
      <c r="AC20" s="268" t="s">
        <v>484</v>
      </c>
      <c r="AD20" s="268" t="s">
        <v>484</v>
      </c>
      <c r="AE20" s="268" t="s">
        <v>484</v>
      </c>
      <c r="AF20" s="268" t="s">
        <v>484</v>
      </c>
    </row>
    <row r="21" spans="1:32" ht="23.25" customHeight="1">
      <c r="A21" s="268" t="s">
        <v>484</v>
      </c>
      <c r="B21" s="268" t="s">
        <v>484</v>
      </c>
      <c r="C21" s="345"/>
      <c r="D21" s="346"/>
      <c r="E21" s="346"/>
      <c r="F21" s="346"/>
      <c r="G21" s="346"/>
      <c r="H21" s="304" t="s">
        <v>386</v>
      </c>
      <c r="I21" s="298" t="s">
        <v>251</v>
      </c>
      <c r="J21" s="319" t="s">
        <v>484</v>
      </c>
      <c r="K21" s="287" t="s">
        <v>484</v>
      </c>
      <c r="L21" s="307" t="s">
        <v>484</v>
      </c>
      <c r="M21" s="268" t="s">
        <v>484</v>
      </c>
      <c r="N21" s="268" t="s">
        <v>484</v>
      </c>
      <c r="O21" s="268" t="s">
        <v>484</v>
      </c>
      <c r="P21" s="268" t="s">
        <v>484</v>
      </c>
      <c r="Q21" s="268" t="s">
        <v>484</v>
      </c>
      <c r="R21" s="268" t="s">
        <v>484</v>
      </c>
      <c r="S21" s="268" t="s">
        <v>484</v>
      </c>
      <c r="T21" s="268" t="s">
        <v>484</v>
      </c>
      <c r="U21" s="268" t="s">
        <v>484</v>
      </c>
      <c r="V21" s="268" t="s">
        <v>484</v>
      </c>
      <c r="W21" s="268" t="s">
        <v>484</v>
      </c>
      <c r="X21" s="268" t="s">
        <v>484</v>
      </c>
      <c r="Y21" s="268" t="s">
        <v>484</v>
      </c>
      <c r="Z21" s="268" t="s">
        <v>484</v>
      </c>
      <c r="AA21" s="268" t="s">
        <v>484</v>
      </c>
      <c r="AB21" s="268" t="s">
        <v>484</v>
      </c>
      <c r="AC21" s="268" t="s">
        <v>484</v>
      </c>
      <c r="AD21" s="268" t="s">
        <v>484</v>
      </c>
      <c r="AE21" s="268" t="s">
        <v>484</v>
      </c>
      <c r="AF21" s="268" t="s">
        <v>484</v>
      </c>
    </row>
    <row r="22" spans="1:32" ht="23.25" customHeight="1">
      <c r="A22" s="268" t="s">
        <v>484</v>
      </c>
      <c r="B22" s="268" t="s">
        <v>484</v>
      </c>
      <c r="C22" s="355">
        <v>0.99</v>
      </c>
      <c r="D22" s="349">
        <v>1</v>
      </c>
      <c r="E22" s="349">
        <v>0.99</v>
      </c>
      <c r="F22" s="349">
        <v>0.95</v>
      </c>
      <c r="G22" s="350">
        <v>0.9</v>
      </c>
      <c r="H22" s="351">
        <v>0.84</v>
      </c>
      <c r="I22" s="352">
        <v>0.76</v>
      </c>
      <c r="J22" s="278" t="s">
        <v>484</v>
      </c>
      <c r="K22" s="287" t="s">
        <v>484</v>
      </c>
      <c r="L22" s="307" t="s">
        <v>484</v>
      </c>
      <c r="M22" s="268" t="s">
        <v>484</v>
      </c>
      <c r="N22" s="268" t="s">
        <v>484</v>
      </c>
      <c r="O22" s="268" t="s">
        <v>484</v>
      </c>
      <c r="P22" s="268" t="s">
        <v>484</v>
      </c>
      <c r="Q22" s="268" t="s">
        <v>484</v>
      </c>
      <c r="R22" s="268" t="s">
        <v>484</v>
      </c>
      <c r="S22" s="268" t="s">
        <v>484</v>
      </c>
      <c r="T22" s="268" t="s">
        <v>484</v>
      </c>
      <c r="U22" s="268" t="s">
        <v>484</v>
      </c>
      <c r="V22" s="268" t="s">
        <v>484</v>
      </c>
      <c r="W22" s="268" t="s">
        <v>484</v>
      </c>
      <c r="X22" s="268" t="s">
        <v>484</v>
      </c>
      <c r="Y22" s="268" t="s">
        <v>484</v>
      </c>
      <c r="Z22" s="268" t="s">
        <v>484</v>
      </c>
      <c r="AA22" s="268" t="s">
        <v>484</v>
      </c>
      <c r="AB22" s="268" t="s">
        <v>484</v>
      </c>
      <c r="AC22" s="268" t="s">
        <v>484</v>
      </c>
      <c r="AD22" s="268" t="s">
        <v>484</v>
      </c>
      <c r="AE22" s="268" t="s">
        <v>484</v>
      </c>
      <c r="AF22" s="268" t="s">
        <v>484</v>
      </c>
    </row>
    <row r="23" spans="1:32" ht="23.25" customHeight="1">
      <c r="A23" s="268" t="s">
        <v>484</v>
      </c>
      <c r="B23" s="268" t="s">
        <v>484</v>
      </c>
      <c r="C23" s="347"/>
      <c r="D23" s="348"/>
      <c r="E23" s="348"/>
      <c r="F23" s="348"/>
      <c r="G23" s="348"/>
      <c r="H23" s="304" t="s">
        <v>62</v>
      </c>
      <c r="I23" s="298" t="s">
        <v>340</v>
      </c>
      <c r="J23" s="326" t="s">
        <v>30</v>
      </c>
      <c r="K23" s="287" t="s">
        <v>484</v>
      </c>
      <c r="L23" s="307" t="s">
        <v>484</v>
      </c>
      <c r="M23" s="268" t="s">
        <v>484</v>
      </c>
      <c r="N23" s="268" t="s">
        <v>484</v>
      </c>
      <c r="O23" s="268" t="s">
        <v>484</v>
      </c>
      <c r="P23" s="268" t="s">
        <v>484</v>
      </c>
      <c r="Q23" s="268" t="s">
        <v>484</v>
      </c>
      <c r="R23" s="268" t="s">
        <v>484</v>
      </c>
      <c r="S23" s="268" t="s">
        <v>484</v>
      </c>
      <c r="T23" s="268" t="s">
        <v>484</v>
      </c>
      <c r="U23" s="268" t="s">
        <v>484</v>
      </c>
      <c r="V23" s="268" t="s">
        <v>484</v>
      </c>
      <c r="W23" s="268" t="s">
        <v>484</v>
      </c>
      <c r="X23" s="268" t="s">
        <v>484</v>
      </c>
      <c r="Y23" s="268" t="s">
        <v>484</v>
      </c>
      <c r="Z23" s="268" t="s">
        <v>484</v>
      </c>
      <c r="AA23" s="268" t="s">
        <v>484</v>
      </c>
      <c r="AB23" s="268" t="s">
        <v>484</v>
      </c>
      <c r="AC23" s="268" t="s">
        <v>484</v>
      </c>
      <c r="AD23" s="268" t="s">
        <v>484</v>
      </c>
      <c r="AE23" s="268" t="s">
        <v>484</v>
      </c>
      <c r="AF23" s="268" t="s">
        <v>484</v>
      </c>
    </row>
    <row r="24" spans="1:32" ht="23.25" customHeight="1">
      <c r="A24" s="268" t="s">
        <v>484</v>
      </c>
      <c r="B24" s="268" t="s">
        <v>484</v>
      </c>
      <c r="C24" s="308"/>
      <c r="D24" s="300"/>
      <c r="E24" s="300"/>
      <c r="F24" s="300"/>
      <c r="G24" s="300"/>
      <c r="H24" s="327">
        <v>2.5</v>
      </c>
      <c r="I24" s="328" t="s">
        <v>490</v>
      </c>
      <c r="J24" s="329">
        <f>SUM(C24:I24)</f>
        <v>2.5</v>
      </c>
      <c r="K24" s="287" t="s">
        <v>484</v>
      </c>
      <c r="L24" s="212" t="s">
        <v>22</v>
      </c>
      <c r="M24" s="268" t="s">
        <v>484</v>
      </c>
      <c r="N24" s="268" t="s">
        <v>484</v>
      </c>
      <c r="O24" s="268" t="s">
        <v>484</v>
      </c>
      <c r="P24" s="268" t="s">
        <v>484</v>
      </c>
      <c r="Q24" s="268" t="s">
        <v>484</v>
      </c>
      <c r="R24" s="268" t="s">
        <v>484</v>
      </c>
      <c r="S24" s="268" t="s">
        <v>484</v>
      </c>
      <c r="T24" s="268" t="s">
        <v>484</v>
      </c>
      <c r="U24" s="268" t="s">
        <v>484</v>
      </c>
      <c r="V24" s="268" t="s">
        <v>484</v>
      </c>
      <c r="W24" s="268" t="s">
        <v>484</v>
      </c>
      <c r="X24" s="268" t="s">
        <v>484</v>
      </c>
      <c r="Y24" s="268" t="s">
        <v>484</v>
      </c>
      <c r="Z24" s="268" t="s">
        <v>484</v>
      </c>
      <c r="AA24" s="268" t="s">
        <v>484</v>
      </c>
      <c r="AB24" s="268" t="s">
        <v>484</v>
      </c>
      <c r="AC24" s="268" t="s">
        <v>484</v>
      </c>
      <c r="AD24" s="268" t="s">
        <v>484</v>
      </c>
      <c r="AE24" s="268" t="s">
        <v>484</v>
      </c>
      <c r="AF24" s="268" t="s">
        <v>484</v>
      </c>
    </row>
    <row r="25" spans="1:32" ht="23.25" customHeight="1">
      <c r="A25" s="268" t="s">
        <v>484</v>
      </c>
      <c r="B25" s="268" t="s">
        <v>484</v>
      </c>
      <c r="C25" s="308"/>
      <c r="D25" s="300"/>
      <c r="E25" s="300"/>
      <c r="F25" s="300"/>
      <c r="G25" s="300"/>
      <c r="H25" s="327">
        <v>0</v>
      </c>
      <c r="I25" s="328">
        <v>0</v>
      </c>
      <c r="J25" s="329">
        <f>SUM(C25:I25)</f>
        <v>0</v>
      </c>
      <c r="K25" s="287" t="s">
        <v>484</v>
      </c>
      <c r="L25" s="212" t="s">
        <v>24</v>
      </c>
      <c r="M25" s="268" t="s">
        <v>484</v>
      </c>
      <c r="N25" s="268" t="s">
        <v>484</v>
      </c>
      <c r="O25" s="268" t="s">
        <v>484</v>
      </c>
      <c r="P25" s="268" t="s">
        <v>484</v>
      </c>
      <c r="Q25" s="268" t="s">
        <v>484</v>
      </c>
      <c r="R25" s="268" t="s">
        <v>484</v>
      </c>
      <c r="S25" s="268" t="s">
        <v>484</v>
      </c>
      <c r="T25" s="268" t="s">
        <v>484</v>
      </c>
      <c r="U25" s="268" t="s">
        <v>484</v>
      </c>
      <c r="V25" s="268" t="s">
        <v>484</v>
      </c>
      <c r="W25" s="268" t="s">
        <v>484</v>
      </c>
      <c r="X25" s="268" t="s">
        <v>484</v>
      </c>
      <c r="Y25" s="268" t="s">
        <v>484</v>
      </c>
      <c r="Z25" s="268" t="s">
        <v>484</v>
      </c>
      <c r="AA25" s="268" t="s">
        <v>484</v>
      </c>
      <c r="AB25" s="268" t="s">
        <v>484</v>
      </c>
      <c r="AC25" s="268" t="s">
        <v>484</v>
      </c>
      <c r="AD25" s="268" t="s">
        <v>484</v>
      </c>
      <c r="AE25" s="268" t="s">
        <v>484</v>
      </c>
      <c r="AF25" s="268" t="s">
        <v>484</v>
      </c>
    </row>
    <row r="26" spans="1:32" ht="23.25" customHeight="1" thickBot="1">
      <c r="A26" s="268" t="s">
        <v>484</v>
      </c>
      <c r="B26" s="268" t="s">
        <v>484</v>
      </c>
      <c r="C26" s="308"/>
      <c r="D26" s="327"/>
      <c r="E26" s="327"/>
      <c r="F26" s="327"/>
      <c r="G26" s="327"/>
      <c r="H26" s="327">
        <v>0</v>
      </c>
      <c r="I26" s="328">
        <v>0</v>
      </c>
      <c r="J26" s="329">
        <f>SUM(C26:I26)</f>
        <v>0</v>
      </c>
      <c r="K26" s="287" t="s">
        <v>484</v>
      </c>
      <c r="L26" s="212" t="s">
        <v>26</v>
      </c>
      <c r="M26" s="268" t="s">
        <v>484</v>
      </c>
      <c r="N26" s="268" t="s">
        <v>484</v>
      </c>
      <c r="O26" s="268" t="s">
        <v>484</v>
      </c>
      <c r="P26" s="268" t="s">
        <v>484</v>
      </c>
      <c r="Q26" s="268" t="s">
        <v>484</v>
      </c>
      <c r="R26" s="268" t="s">
        <v>484</v>
      </c>
      <c r="S26" s="268" t="s">
        <v>484</v>
      </c>
      <c r="T26" s="268" t="s">
        <v>484</v>
      </c>
      <c r="U26" s="268" t="s">
        <v>484</v>
      </c>
      <c r="V26" s="268" t="s">
        <v>484</v>
      </c>
      <c r="W26" s="268" t="s">
        <v>484</v>
      </c>
      <c r="X26" s="268" t="s">
        <v>484</v>
      </c>
      <c r="Y26" s="268" t="s">
        <v>484</v>
      </c>
      <c r="Z26" s="268" t="s">
        <v>484</v>
      </c>
      <c r="AA26" s="268" t="s">
        <v>484</v>
      </c>
      <c r="AB26" s="268" t="s">
        <v>484</v>
      </c>
      <c r="AC26" s="268" t="s">
        <v>484</v>
      </c>
      <c r="AD26" s="268" t="s">
        <v>484</v>
      </c>
      <c r="AE26" s="268" t="s">
        <v>484</v>
      </c>
      <c r="AF26" s="268" t="s">
        <v>484</v>
      </c>
    </row>
    <row r="27" spans="1:32" ht="23.25" customHeight="1" thickBot="1">
      <c r="A27" s="268" t="s">
        <v>484</v>
      </c>
      <c r="B27" s="268" t="s">
        <v>484</v>
      </c>
      <c r="C27" s="312" t="s">
        <v>500</v>
      </c>
      <c r="D27" s="313" t="s">
        <v>501</v>
      </c>
      <c r="E27" s="313" t="s">
        <v>502</v>
      </c>
      <c r="F27" s="313" t="s">
        <v>503</v>
      </c>
      <c r="G27" s="313" t="s">
        <v>504</v>
      </c>
      <c r="H27" s="313" t="s">
        <v>505</v>
      </c>
      <c r="I27" s="367" t="s">
        <v>506</v>
      </c>
      <c r="J27" s="366">
        <v>18.53</v>
      </c>
      <c r="K27" s="287" t="s">
        <v>484</v>
      </c>
      <c r="L27" s="212" t="s">
        <v>28</v>
      </c>
      <c r="M27" s="268" t="s">
        <v>484</v>
      </c>
      <c r="N27" s="268" t="s">
        <v>484</v>
      </c>
      <c r="O27" s="268" t="s">
        <v>484</v>
      </c>
      <c r="P27" s="268" t="s">
        <v>484</v>
      </c>
      <c r="Q27" s="268" t="s">
        <v>484</v>
      </c>
      <c r="R27" s="268" t="s">
        <v>484</v>
      </c>
      <c r="S27" s="268" t="s">
        <v>484</v>
      </c>
      <c r="T27" s="268" t="s">
        <v>484</v>
      </c>
      <c r="U27" s="268" t="s">
        <v>484</v>
      </c>
      <c r="V27" s="268" t="s">
        <v>484</v>
      </c>
      <c r="W27" s="268" t="s">
        <v>484</v>
      </c>
      <c r="X27" s="268" t="s">
        <v>484</v>
      </c>
      <c r="Y27" s="268" t="s">
        <v>484</v>
      </c>
      <c r="Z27" s="268" t="s">
        <v>484</v>
      </c>
      <c r="AA27" s="268" t="s">
        <v>484</v>
      </c>
      <c r="AB27" s="268" t="s">
        <v>484</v>
      </c>
      <c r="AC27" s="268" t="s">
        <v>484</v>
      </c>
      <c r="AD27" s="268" t="s">
        <v>484</v>
      </c>
      <c r="AE27" s="268" t="s">
        <v>484</v>
      </c>
      <c r="AF27" s="268" t="s">
        <v>484</v>
      </c>
    </row>
    <row r="28" spans="1:32" ht="23.25" customHeight="1" thickBot="1">
      <c r="A28" s="268" t="s">
        <v>484</v>
      </c>
      <c r="B28" s="268" t="s">
        <v>484</v>
      </c>
      <c r="C28" s="289">
        <v>19</v>
      </c>
      <c r="D28" s="290">
        <v>20</v>
      </c>
      <c r="E28" s="290">
        <v>21</v>
      </c>
      <c r="F28" s="290">
        <v>22</v>
      </c>
      <c r="G28" s="290">
        <v>23</v>
      </c>
      <c r="H28" s="290">
        <v>24</v>
      </c>
      <c r="I28" s="290">
        <v>25</v>
      </c>
      <c r="J28" s="319" t="s">
        <v>484</v>
      </c>
      <c r="K28" s="287" t="s">
        <v>484</v>
      </c>
      <c r="L28" s="307" t="s">
        <v>484</v>
      </c>
      <c r="M28" s="268" t="s">
        <v>484</v>
      </c>
      <c r="N28" s="268" t="s">
        <v>484</v>
      </c>
      <c r="O28" s="268" t="s">
        <v>484</v>
      </c>
      <c r="P28" s="268" t="s">
        <v>484</v>
      </c>
      <c r="Q28" s="268" t="s">
        <v>484</v>
      </c>
      <c r="R28" s="268" t="s">
        <v>484</v>
      </c>
      <c r="S28" s="268" t="s">
        <v>484</v>
      </c>
      <c r="T28" s="268" t="s">
        <v>484</v>
      </c>
      <c r="U28" s="268" t="s">
        <v>484</v>
      </c>
      <c r="V28" s="268" t="s">
        <v>484</v>
      </c>
      <c r="W28" s="268" t="s">
        <v>484</v>
      </c>
      <c r="X28" s="268" t="s">
        <v>484</v>
      </c>
      <c r="Y28" s="268" t="s">
        <v>484</v>
      </c>
      <c r="Z28" s="268" t="s">
        <v>484</v>
      </c>
      <c r="AA28" s="268" t="s">
        <v>484</v>
      </c>
      <c r="AB28" s="268" t="s">
        <v>484</v>
      </c>
      <c r="AC28" s="268" t="s">
        <v>484</v>
      </c>
      <c r="AD28" s="268" t="s">
        <v>484</v>
      </c>
      <c r="AE28" s="268" t="s">
        <v>484</v>
      </c>
      <c r="AF28" s="268" t="s">
        <v>484</v>
      </c>
    </row>
    <row r="29" spans="1:32" ht="23.25" customHeight="1">
      <c r="A29" s="268" t="s">
        <v>484</v>
      </c>
      <c r="B29" s="268" t="s">
        <v>484</v>
      </c>
      <c r="C29" s="295" t="s">
        <v>50</v>
      </c>
      <c r="D29" s="296" t="s">
        <v>386</v>
      </c>
      <c r="E29" s="297" t="s">
        <v>379</v>
      </c>
      <c r="F29" s="297" t="s">
        <v>253</v>
      </c>
      <c r="G29" s="297" t="s">
        <v>386</v>
      </c>
      <c r="H29" s="297" t="s">
        <v>50</v>
      </c>
      <c r="I29" s="330" t="s">
        <v>207</v>
      </c>
      <c r="J29" s="319" t="s">
        <v>484</v>
      </c>
      <c r="K29" s="287" t="s">
        <v>484</v>
      </c>
      <c r="L29" s="307" t="s">
        <v>484</v>
      </c>
      <c r="M29" s="268" t="s">
        <v>484</v>
      </c>
      <c r="N29" s="268" t="s">
        <v>484</v>
      </c>
      <c r="O29" s="268" t="s">
        <v>484</v>
      </c>
      <c r="P29" s="268" t="s">
        <v>484</v>
      </c>
      <c r="Q29" s="268" t="s">
        <v>484</v>
      </c>
      <c r="R29" s="268" t="s">
        <v>484</v>
      </c>
      <c r="S29" s="268" t="s">
        <v>484</v>
      </c>
      <c r="T29" s="268" t="s">
        <v>484</v>
      </c>
      <c r="U29" s="268" t="s">
        <v>484</v>
      </c>
      <c r="V29" s="268" t="s">
        <v>484</v>
      </c>
      <c r="W29" s="268" t="s">
        <v>484</v>
      </c>
      <c r="X29" s="268" t="s">
        <v>484</v>
      </c>
      <c r="Y29" s="268" t="s">
        <v>484</v>
      </c>
      <c r="Z29" s="268" t="s">
        <v>484</v>
      </c>
      <c r="AA29" s="268" t="s">
        <v>484</v>
      </c>
      <c r="AB29" s="268" t="s">
        <v>484</v>
      </c>
      <c r="AC29" s="268" t="s">
        <v>484</v>
      </c>
      <c r="AD29" s="268" t="s">
        <v>484</v>
      </c>
      <c r="AE29" s="268" t="s">
        <v>484</v>
      </c>
      <c r="AF29" s="268" t="s">
        <v>484</v>
      </c>
    </row>
    <row r="30" spans="1:32" ht="23.25" customHeight="1">
      <c r="A30" s="268" t="s">
        <v>484</v>
      </c>
      <c r="B30" s="268" t="s">
        <v>484</v>
      </c>
      <c r="C30" s="355">
        <v>0.67</v>
      </c>
      <c r="D30" s="349">
        <v>0.57999999999999996</v>
      </c>
      <c r="E30" s="349">
        <v>0.49</v>
      </c>
      <c r="F30" s="349">
        <v>0.39</v>
      </c>
      <c r="G30" s="349">
        <v>0.3</v>
      </c>
      <c r="H30" s="349">
        <v>0.22</v>
      </c>
      <c r="I30" s="352">
        <v>0.14000000000000001</v>
      </c>
      <c r="J30" s="278" t="s">
        <v>484</v>
      </c>
      <c r="K30" s="287" t="s">
        <v>484</v>
      </c>
      <c r="L30" s="307" t="s">
        <v>484</v>
      </c>
      <c r="M30" s="268" t="s">
        <v>484</v>
      </c>
      <c r="N30" s="268" t="s">
        <v>484</v>
      </c>
      <c r="O30" s="268" t="s">
        <v>484</v>
      </c>
      <c r="P30" s="268" t="s">
        <v>484</v>
      </c>
      <c r="Q30" s="268" t="s">
        <v>484</v>
      </c>
      <c r="R30" s="268" t="s">
        <v>484</v>
      </c>
      <c r="S30" s="268" t="s">
        <v>484</v>
      </c>
      <c r="T30" s="268" t="s">
        <v>484</v>
      </c>
      <c r="U30" s="268" t="s">
        <v>484</v>
      </c>
      <c r="V30" s="268" t="s">
        <v>484</v>
      </c>
      <c r="W30" s="268" t="s">
        <v>484</v>
      </c>
      <c r="X30" s="268" t="s">
        <v>484</v>
      </c>
      <c r="Y30" s="268" t="s">
        <v>484</v>
      </c>
      <c r="Z30" s="268" t="s">
        <v>484</v>
      </c>
      <c r="AA30" s="268" t="s">
        <v>484</v>
      </c>
      <c r="AB30" s="268" t="s">
        <v>484</v>
      </c>
      <c r="AC30" s="268" t="s">
        <v>484</v>
      </c>
      <c r="AD30" s="268" t="s">
        <v>484</v>
      </c>
      <c r="AE30" s="268" t="s">
        <v>484</v>
      </c>
      <c r="AF30" s="268" t="s">
        <v>484</v>
      </c>
    </row>
    <row r="31" spans="1:32" ht="23.25" customHeight="1">
      <c r="A31" s="268" t="s">
        <v>484</v>
      </c>
      <c r="B31" s="268" t="s">
        <v>484</v>
      </c>
      <c r="C31" s="303" t="s">
        <v>62</v>
      </c>
      <c r="D31" s="304" t="s">
        <v>42</v>
      </c>
      <c r="E31" s="304" t="s">
        <v>42</v>
      </c>
      <c r="F31" s="304" t="s">
        <v>252</v>
      </c>
      <c r="G31" s="304" t="s">
        <v>42</v>
      </c>
      <c r="H31" s="304" t="s">
        <v>340</v>
      </c>
      <c r="I31" s="298" t="s">
        <v>340</v>
      </c>
      <c r="J31" s="326" t="s">
        <v>31</v>
      </c>
      <c r="K31" s="287" t="s">
        <v>484</v>
      </c>
      <c r="L31" s="307" t="s">
        <v>484</v>
      </c>
      <c r="M31" s="268" t="s">
        <v>484</v>
      </c>
      <c r="N31" s="268" t="s">
        <v>484</v>
      </c>
      <c r="O31" s="268" t="s">
        <v>484</v>
      </c>
      <c r="P31" s="268" t="s">
        <v>484</v>
      </c>
      <c r="Q31" s="268" t="s">
        <v>484</v>
      </c>
      <c r="R31" s="268" t="s">
        <v>484</v>
      </c>
      <c r="S31" s="268" t="s">
        <v>484</v>
      </c>
      <c r="T31" s="268" t="s">
        <v>484</v>
      </c>
      <c r="U31" s="268" t="s">
        <v>484</v>
      </c>
      <c r="V31" s="268" t="s">
        <v>484</v>
      </c>
      <c r="W31" s="268" t="s">
        <v>484</v>
      </c>
      <c r="X31" s="268" t="s">
        <v>484</v>
      </c>
      <c r="Y31" s="268" t="s">
        <v>484</v>
      </c>
      <c r="Z31" s="268" t="s">
        <v>484</v>
      </c>
      <c r="AA31" s="268" t="s">
        <v>484</v>
      </c>
      <c r="AB31" s="268" t="s">
        <v>484</v>
      </c>
      <c r="AC31" s="268" t="s">
        <v>484</v>
      </c>
      <c r="AD31" s="268" t="s">
        <v>484</v>
      </c>
      <c r="AE31" s="268" t="s">
        <v>484</v>
      </c>
      <c r="AF31" s="268" t="s">
        <v>484</v>
      </c>
    </row>
    <row r="32" spans="1:32" ht="23.25" customHeight="1">
      <c r="A32" s="268" t="s">
        <v>484</v>
      </c>
      <c r="B32" s="268" t="s">
        <v>484</v>
      </c>
      <c r="C32" s="308" t="s">
        <v>490</v>
      </c>
      <c r="D32" s="300" t="s">
        <v>507</v>
      </c>
      <c r="E32" s="300">
        <v>7</v>
      </c>
      <c r="F32" s="300" t="s">
        <v>490</v>
      </c>
      <c r="G32" s="300" t="s">
        <v>490</v>
      </c>
      <c r="H32" s="300">
        <v>10</v>
      </c>
      <c r="I32" s="301" t="s">
        <v>490</v>
      </c>
      <c r="J32" s="329">
        <f>SUM(C32:I32)</f>
        <v>17</v>
      </c>
      <c r="K32" s="287" t="s">
        <v>484</v>
      </c>
      <c r="L32" s="212" t="s">
        <v>22</v>
      </c>
      <c r="M32" s="268" t="s">
        <v>484</v>
      </c>
      <c r="N32" s="268" t="s">
        <v>484</v>
      </c>
      <c r="O32" s="268" t="s">
        <v>484</v>
      </c>
      <c r="P32" s="268" t="s">
        <v>484</v>
      </c>
      <c r="Q32" s="268" t="s">
        <v>484</v>
      </c>
      <c r="R32" s="268" t="s">
        <v>484</v>
      </c>
      <c r="S32" s="268" t="s">
        <v>484</v>
      </c>
      <c r="T32" s="268" t="s">
        <v>484</v>
      </c>
      <c r="U32" s="268" t="s">
        <v>484</v>
      </c>
      <c r="V32" s="268" t="s">
        <v>484</v>
      </c>
      <c r="W32" s="268" t="s">
        <v>484</v>
      </c>
      <c r="X32" s="268" t="s">
        <v>484</v>
      </c>
      <c r="Y32" s="268" t="s">
        <v>484</v>
      </c>
      <c r="Z32" s="268" t="s">
        <v>484</v>
      </c>
      <c r="AA32" s="268" t="s">
        <v>484</v>
      </c>
      <c r="AB32" s="268" t="s">
        <v>484</v>
      </c>
      <c r="AC32" s="268" t="s">
        <v>484</v>
      </c>
      <c r="AD32" s="268" t="s">
        <v>484</v>
      </c>
      <c r="AE32" s="268" t="s">
        <v>484</v>
      </c>
      <c r="AF32" s="268" t="s">
        <v>484</v>
      </c>
    </row>
    <row r="33" spans="1:32" ht="23.25" customHeight="1">
      <c r="A33" s="268" t="s">
        <v>484</v>
      </c>
      <c r="B33" s="268" t="s">
        <v>484</v>
      </c>
      <c r="C33" s="308">
        <v>0</v>
      </c>
      <c r="D33" s="300">
        <v>0</v>
      </c>
      <c r="E33" s="300">
        <v>0</v>
      </c>
      <c r="F33" s="300">
        <v>0</v>
      </c>
      <c r="G33" s="278">
        <v>0</v>
      </c>
      <c r="H33" s="331">
        <v>0.8</v>
      </c>
      <c r="I33" s="301">
        <v>0</v>
      </c>
      <c r="J33" s="329">
        <f>SUM(C33:I33)</f>
        <v>0.8</v>
      </c>
      <c r="K33" s="287" t="s">
        <v>484</v>
      </c>
      <c r="L33" s="212" t="s">
        <v>24</v>
      </c>
      <c r="M33" s="268" t="s">
        <v>484</v>
      </c>
      <c r="N33" s="268" t="s">
        <v>484</v>
      </c>
      <c r="O33" s="268" t="s">
        <v>484</v>
      </c>
      <c r="P33" s="268" t="s">
        <v>484</v>
      </c>
      <c r="Q33" s="268" t="s">
        <v>484</v>
      </c>
      <c r="R33" s="268" t="s">
        <v>484</v>
      </c>
      <c r="S33" s="268" t="s">
        <v>484</v>
      </c>
      <c r="T33" s="268" t="s">
        <v>484</v>
      </c>
      <c r="U33" s="268" t="s">
        <v>484</v>
      </c>
      <c r="V33" s="268" t="s">
        <v>484</v>
      </c>
      <c r="W33" s="268" t="s">
        <v>484</v>
      </c>
      <c r="X33" s="268" t="s">
        <v>484</v>
      </c>
      <c r="Y33" s="268" t="s">
        <v>484</v>
      </c>
      <c r="Z33" s="268" t="s">
        <v>484</v>
      </c>
      <c r="AA33" s="268" t="s">
        <v>484</v>
      </c>
      <c r="AB33" s="268" t="s">
        <v>484</v>
      </c>
      <c r="AC33" s="268" t="s">
        <v>484</v>
      </c>
      <c r="AD33" s="268" t="s">
        <v>484</v>
      </c>
      <c r="AE33" s="268" t="s">
        <v>484</v>
      </c>
      <c r="AF33" s="268" t="s">
        <v>484</v>
      </c>
    </row>
    <row r="34" spans="1:32" ht="23.25" customHeight="1" thickBot="1">
      <c r="A34" s="268" t="s">
        <v>484</v>
      </c>
      <c r="B34" s="268" t="s">
        <v>484</v>
      </c>
      <c r="C34" s="308">
        <v>0</v>
      </c>
      <c r="D34" s="300">
        <v>0</v>
      </c>
      <c r="E34" s="300">
        <v>0.8</v>
      </c>
      <c r="F34" s="300">
        <v>0</v>
      </c>
      <c r="G34" s="332">
        <v>0</v>
      </c>
      <c r="H34" s="331">
        <v>0.8</v>
      </c>
      <c r="I34" s="301">
        <v>0</v>
      </c>
      <c r="J34" s="329">
        <f>SUM(C34:I34)</f>
        <v>1.6</v>
      </c>
      <c r="K34" s="287" t="s">
        <v>484</v>
      </c>
      <c r="L34" s="212" t="s">
        <v>26</v>
      </c>
      <c r="M34" s="268" t="s">
        <v>484</v>
      </c>
      <c r="N34" s="268" t="s">
        <v>484</v>
      </c>
      <c r="O34" s="268" t="s">
        <v>484</v>
      </c>
      <c r="P34" s="268" t="s">
        <v>484</v>
      </c>
      <c r="Q34" s="268" t="s">
        <v>484</v>
      </c>
      <c r="R34" s="268" t="s">
        <v>484</v>
      </c>
      <c r="S34" s="268" t="s">
        <v>484</v>
      </c>
      <c r="T34" s="268" t="s">
        <v>484</v>
      </c>
      <c r="U34" s="268" t="s">
        <v>484</v>
      </c>
      <c r="V34" s="268" t="s">
        <v>484</v>
      </c>
      <c r="W34" s="268" t="s">
        <v>484</v>
      </c>
      <c r="X34" s="268" t="s">
        <v>484</v>
      </c>
      <c r="Y34" s="268" t="s">
        <v>484</v>
      </c>
      <c r="Z34" s="268" t="s">
        <v>484</v>
      </c>
      <c r="AA34" s="268" t="s">
        <v>484</v>
      </c>
      <c r="AB34" s="268" t="s">
        <v>484</v>
      </c>
      <c r="AC34" s="268" t="s">
        <v>484</v>
      </c>
      <c r="AD34" s="268" t="s">
        <v>484</v>
      </c>
      <c r="AE34" s="268" t="s">
        <v>484</v>
      </c>
      <c r="AF34" s="268" t="s">
        <v>484</v>
      </c>
    </row>
    <row r="35" spans="1:32" ht="23.25" customHeight="1" thickBot="1">
      <c r="A35" s="268" t="s">
        <v>484</v>
      </c>
      <c r="B35" s="268" t="s">
        <v>484</v>
      </c>
      <c r="C35" s="312" t="s">
        <v>508</v>
      </c>
      <c r="D35" s="313" t="s">
        <v>509</v>
      </c>
      <c r="E35" s="313" t="s">
        <v>510</v>
      </c>
      <c r="F35" s="313" t="s">
        <v>511</v>
      </c>
      <c r="G35" s="313" t="s">
        <v>512</v>
      </c>
      <c r="H35" s="313" t="s">
        <v>513</v>
      </c>
      <c r="I35" s="367" t="s">
        <v>514</v>
      </c>
      <c r="J35" s="366">
        <v>75.650000000000006</v>
      </c>
      <c r="K35" s="287" t="s">
        <v>484</v>
      </c>
      <c r="L35" s="212" t="s">
        <v>28</v>
      </c>
      <c r="M35" s="268" t="s">
        <v>484</v>
      </c>
      <c r="N35" s="268" t="s">
        <v>484</v>
      </c>
      <c r="O35" s="268" t="s">
        <v>484</v>
      </c>
      <c r="P35" s="268" t="s">
        <v>484</v>
      </c>
      <c r="Q35" s="268" t="s">
        <v>484</v>
      </c>
      <c r="R35" s="268" t="s">
        <v>484</v>
      </c>
      <c r="S35" s="268" t="s">
        <v>484</v>
      </c>
      <c r="T35" s="268" t="s">
        <v>484</v>
      </c>
      <c r="U35" s="268" t="s">
        <v>484</v>
      </c>
      <c r="V35" s="268" t="s">
        <v>484</v>
      </c>
      <c r="W35" s="268" t="s">
        <v>484</v>
      </c>
      <c r="X35" s="268" t="s">
        <v>484</v>
      </c>
      <c r="Y35" s="268" t="s">
        <v>484</v>
      </c>
      <c r="Z35" s="268" t="s">
        <v>484</v>
      </c>
      <c r="AA35" s="268" t="s">
        <v>484</v>
      </c>
      <c r="AB35" s="268" t="s">
        <v>484</v>
      </c>
      <c r="AC35" s="268" t="s">
        <v>484</v>
      </c>
      <c r="AD35" s="268" t="s">
        <v>484</v>
      </c>
      <c r="AE35" s="268" t="s">
        <v>484</v>
      </c>
      <c r="AF35" s="268" t="s">
        <v>484</v>
      </c>
    </row>
    <row r="36" spans="1:32" ht="23.25" customHeight="1" thickBot="1">
      <c r="A36" s="268" t="s">
        <v>484</v>
      </c>
      <c r="B36" s="268" t="s">
        <v>484</v>
      </c>
      <c r="C36" s="289">
        <v>26</v>
      </c>
      <c r="D36" s="290">
        <v>27</v>
      </c>
      <c r="E36" s="290">
        <v>28</v>
      </c>
      <c r="F36" s="290">
        <v>29</v>
      </c>
      <c r="G36" s="290">
        <v>30</v>
      </c>
      <c r="H36" s="290">
        <v>31</v>
      </c>
      <c r="I36" s="290"/>
      <c r="J36" s="319" t="s">
        <v>484</v>
      </c>
      <c r="K36" s="287" t="s">
        <v>484</v>
      </c>
      <c r="L36" s="307" t="s">
        <v>484</v>
      </c>
      <c r="M36" s="268" t="s">
        <v>484</v>
      </c>
      <c r="N36" s="268" t="s">
        <v>484</v>
      </c>
      <c r="O36" s="268" t="s">
        <v>484</v>
      </c>
      <c r="P36" s="268" t="s">
        <v>484</v>
      </c>
      <c r="Q36" s="268" t="s">
        <v>484</v>
      </c>
      <c r="R36" s="268" t="s">
        <v>484</v>
      </c>
      <c r="S36" s="268" t="s">
        <v>484</v>
      </c>
      <c r="T36" s="268" t="s">
        <v>484</v>
      </c>
      <c r="U36" s="268" t="s">
        <v>484</v>
      </c>
      <c r="V36" s="268" t="s">
        <v>484</v>
      </c>
      <c r="W36" s="268" t="s">
        <v>484</v>
      </c>
      <c r="X36" s="268" t="s">
        <v>484</v>
      </c>
      <c r="Y36" s="268" t="s">
        <v>484</v>
      </c>
      <c r="Z36" s="268" t="s">
        <v>484</v>
      </c>
      <c r="AA36" s="268" t="s">
        <v>484</v>
      </c>
      <c r="AB36" s="268" t="s">
        <v>484</v>
      </c>
      <c r="AC36" s="268" t="s">
        <v>484</v>
      </c>
      <c r="AD36" s="268" t="s">
        <v>484</v>
      </c>
      <c r="AE36" s="268" t="s">
        <v>484</v>
      </c>
      <c r="AF36" s="268" t="s">
        <v>484</v>
      </c>
    </row>
    <row r="37" spans="1:32" ht="23.25" customHeight="1">
      <c r="A37" s="268" t="s">
        <v>484</v>
      </c>
      <c r="B37" s="268" t="s">
        <v>484</v>
      </c>
      <c r="C37" s="333" t="s">
        <v>207</v>
      </c>
      <c r="D37" s="297" t="s">
        <v>386</v>
      </c>
      <c r="E37" s="297" t="s">
        <v>324</v>
      </c>
      <c r="F37" s="297" t="s">
        <v>50</v>
      </c>
      <c r="G37" s="297" t="s">
        <v>379</v>
      </c>
      <c r="H37" s="297" t="s">
        <v>251</v>
      </c>
      <c r="I37" s="330"/>
      <c r="J37" s="319" t="s">
        <v>484</v>
      </c>
      <c r="K37" s="287" t="s">
        <v>484</v>
      </c>
      <c r="L37" s="307" t="s">
        <v>484</v>
      </c>
      <c r="M37" s="268" t="s">
        <v>484</v>
      </c>
      <c r="N37" s="268" t="s">
        <v>484</v>
      </c>
      <c r="O37" s="268" t="s">
        <v>484</v>
      </c>
      <c r="P37" s="268" t="s">
        <v>484</v>
      </c>
      <c r="Q37" s="268" t="s">
        <v>484</v>
      </c>
      <c r="R37" s="268" t="s">
        <v>484</v>
      </c>
      <c r="S37" s="268" t="s">
        <v>484</v>
      </c>
      <c r="T37" s="268" t="s">
        <v>484</v>
      </c>
      <c r="U37" s="268" t="s">
        <v>484</v>
      </c>
      <c r="V37" s="268" t="s">
        <v>484</v>
      </c>
      <c r="W37" s="268" t="s">
        <v>484</v>
      </c>
      <c r="X37" s="268" t="s">
        <v>484</v>
      </c>
      <c r="Y37" s="268" t="s">
        <v>484</v>
      </c>
      <c r="Z37" s="268" t="s">
        <v>484</v>
      </c>
      <c r="AA37" s="268" t="s">
        <v>484</v>
      </c>
      <c r="AB37" s="268" t="s">
        <v>484</v>
      </c>
      <c r="AC37" s="268" t="s">
        <v>484</v>
      </c>
      <c r="AD37" s="268" t="s">
        <v>484</v>
      </c>
      <c r="AE37" s="268" t="s">
        <v>484</v>
      </c>
      <c r="AF37" s="268" t="s">
        <v>484</v>
      </c>
    </row>
    <row r="38" spans="1:32" ht="23.25" customHeight="1">
      <c r="A38" s="268" t="s">
        <v>484</v>
      </c>
      <c r="B38" s="268" t="s">
        <v>484</v>
      </c>
      <c r="C38" s="355">
        <v>0.08</v>
      </c>
      <c r="D38" s="349">
        <v>0.03</v>
      </c>
      <c r="E38" s="349">
        <v>0</v>
      </c>
      <c r="F38" s="349">
        <v>0</v>
      </c>
      <c r="G38" s="349">
        <v>0.03</v>
      </c>
      <c r="H38" s="349">
        <v>0.08</v>
      </c>
      <c r="I38" s="301"/>
      <c r="J38" s="278" t="s">
        <v>484</v>
      </c>
      <c r="K38" s="287" t="s">
        <v>484</v>
      </c>
      <c r="L38" s="307" t="s">
        <v>484</v>
      </c>
      <c r="M38" s="268" t="s">
        <v>484</v>
      </c>
      <c r="N38" s="268" t="s">
        <v>484</v>
      </c>
      <c r="O38" s="268" t="s">
        <v>484</v>
      </c>
      <c r="P38" s="268" t="s">
        <v>484</v>
      </c>
      <c r="Q38" s="268" t="s">
        <v>484</v>
      </c>
      <c r="R38" s="268" t="s">
        <v>484</v>
      </c>
      <c r="S38" s="268" t="s">
        <v>484</v>
      </c>
      <c r="T38" s="268" t="s">
        <v>484</v>
      </c>
      <c r="U38" s="268" t="s">
        <v>484</v>
      </c>
      <c r="V38" s="268" t="s">
        <v>484</v>
      </c>
      <c r="W38" s="268" t="s">
        <v>484</v>
      </c>
      <c r="X38" s="268" t="s">
        <v>484</v>
      </c>
      <c r="Y38" s="268" t="s">
        <v>484</v>
      </c>
      <c r="Z38" s="268" t="s">
        <v>484</v>
      </c>
      <c r="AA38" s="268" t="s">
        <v>484</v>
      </c>
      <c r="AB38" s="268" t="s">
        <v>484</v>
      </c>
      <c r="AC38" s="268" t="s">
        <v>484</v>
      </c>
      <c r="AD38" s="268" t="s">
        <v>484</v>
      </c>
      <c r="AE38" s="268" t="s">
        <v>484</v>
      </c>
      <c r="AF38" s="268" t="s">
        <v>484</v>
      </c>
    </row>
    <row r="39" spans="1:32" ht="23.25" customHeight="1">
      <c r="A39" s="268" t="s">
        <v>484</v>
      </c>
      <c r="B39" s="268" t="s">
        <v>484</v>
      </c>
      <c r="C39" s="303" t="s">
        <v>62</v>
      </c>
      <c r="D39" s="304" t="s">
        <v>340</v>
      </c>
      <c r="E39" s="304" t="s">
        <v>42</v>
      </c>
      <c r="F39" s="304" t="s">
        <v>62</v>
      </c>
      <c r="G39" s="304" t="s">
        <v>62</v>
      </c>
      <c r="H39" s="304" t="s">
        <v>340</v>
      </c>
      <c r="I39" s="305"/>
      <c r="J39" s="306" t="s">
        <v>32</v>
      </c>
      <c r="K39" s="287" t="s">
        <v>484</v>
      </c>
      <c r="L39" s="307" t="s">
        <v>484</v>
      </c>
      <c r="M39" s="268" t="s">
        <v>484</v>
      </c>
      <c r="N39" s="268" t="s">
        <v>484</v>
      </c>
      <c r="O39" s="268" t="s">
        <v>484</v>
      </c>
      <c r="P39" s="268" t="s">
        <v>484</v>
      </c>
      <c r="Q39" s="268" t="s">
        <v>484</v>
      </c>
      <c r="R39" s="268" t="s">
        <v>484</v>
      </c>
      <c r="S39" s="268" t="s">
        <v>484</v>
      </c>
      <c r="T39" s="268" t="s">
        <v>484</v>
      </c>
      <c r="U39" s="268" t="s">
        <v>484</v>
      </c>
      <c r="V39" s="268" t="s">
        <v>484</v>
      </c>
      <c r="W39" s="268" t="s">
        <v>484</v>
      </c>
      <c r="X39" s="268" t="s">
        <v>484</v>
      </c>
      <c r="Y39" s="268" t="s">
        <v>484</v>
      </c>
      <c r="Z39" s="268" t="s">
        <v>484</v>
      </c>
      <c r="AA39" s="268" t="s">
        <v>484</v>
      </c>
      <c r="AB39" s="268" t="s">
        <v>484</v>
      </c>
      <c r="AC39" s="268" t="s">
        <v>484</v>
      </c>
      <c r="AD39" s="268" t="s">
        <v>484</v>
      </c>
      <c r="AE39" s="268" t="s">
        <v>484</v>
      </c>
      <c r="AF39" s="268" t="s">
        <v>484</v>
      </c>
    </row>
    <row r="40" spans="1:32" ht="23.25" customHeight="1">
      <c r="A40" s="268" t="s">
        <v>484</v>
      </c>
      <c r="B40" s="268" t="s">
        <v>484</v>
      </c>
      <c r="C40" s="308" t="s">
        <v>380</v>
      </c>
      <c r="D40" s="300">
        <v>9.1999999999999993</v>
      </c>
      <c r="E40" s="300">
        <v>11.3</v>
      </c>
      <c r="F40" s="300">
        <v>9</v>
      </c>
      <c r="G40" s="300">
        <v>4.4000000000000004</v>
      </c>
      <c r="H40" s="300"/>
      <c r="I40" s="319"/>
      <c r="J40" s="309">
        <f>SUM(C40:H40)</f>
        <v>33.9</v>
      </c>
      <c r="K40" s="287" t="s">
        <v>484</v>
      </c>
      <c r="L40" s="212" t="s">
        <v>22</v>
      </c>
      <c r="M40" s="268" t="s">
        <v>484</v>
      </c>
      <c r="N40" s="268" t="s">
        <v>484</v>
      </c>
      <c r="O40" s="268" t="s">
        <v>484</v>
      </c>
      <c r="P40" s="268" t="s">
        <v>484</v>
      </c>
      <c r="Q40" s="268" t="s">
        <v>484</v>
      </c>
      <c r="R40" s="268" t="s">
        <v>484</v>
      </c>
      <c r="S40" s="268" t="s">
        <v>484</v>
      </c>
      <c r="T40" s="268" t="s">
        <v>484</v>
      </c>
      <c r="U40" s="268" t="s">
        <v>484</v>
      </c>
      <c r="V40" s="268" t="s">
        <v>484</v>
      </c>
      <c r="W40" s="268" t="s">
        <v>484</v>
      </c>
      <c r="X40" s="268" t="s">
        <v>484</v>
      </c>
      <c r="Y40" s="268" t="s">
        <v>484</v>
      </c>
      <c r="Z40" s="268" t="s">
        <v>484</v>
      </c>
      <c r="AA40" s="268" t="s">
        <v>484</v>
      </c>
      <c r="AB40" s="268" t="s">
        <v>484</v>
      </c>
      <c r="AC40" s="268" t="s">
        <v>484</v>
      </c>
      <c r="AD40" s="268" t="s">
        <v>484</v>
      </c>
      <c r="AE40" s="268" t="s">
        <v>484</v>
      </c>
      <c r="AF40" s="268" t="s">
        <v>484</v>
      </c>
    </row>
    <row r="41" spans="1:32" ht="23.25" customHeight="1">
      <c r="A41" s="268" t="s">
        <v>484</v>
      </c>
      <c r="B41" s="268" t="s">
        <v>484</v>
      </c>
      <c r="C41" s="308">
        <v>0</v>
      </c>
      <c r="D41" s="300">
        <v>0</v>
      </c>
      <c r="E41" s="300">
        <v>0.8</v>
      </c>
      <c r="F41" s="300">
        <v>0.8</v>
      </c>
      <c r="G41" s="300">
        <v>0</v>
      </c>
      <c r="H41" s="300"/>
      <c r="I41" s="278"/>
      <c r="J41" s="309">
        <f>SUM(C41:H41)</f>
        <v>1.6</v>
      </c>
      <c r="K41" s="287" t="s">
        <v>484</v>
      </c>
      <c r="L41" s="212" t="s">
        <v>24</v>
      </c>
      <c r="M41" s="268" t="s">
        <v>484</v>
      </c>
      <c r="N41" s="268" t="s">
        <v>484</v>
      </c>
      <c r="O41" s="268" t="s">
        <v>484</v>
      </c>
      <c r="P41" s="268" t="s">
        <v>484</v>
      </c>
      <c r="Q41" s="268" t="s">
        <v>484</v>
      </c>
      <c r="R41" s="268" t="s">
        <v>484</v>
      </c>
      <c r="S41" s="268" t="s">
        <v>484</v>
      </c>
      <c r="T41" s="268" t="s">
        <v>484</v>
      </c>
      <c r="U41" s="268" t="s">
        <v>484</v>
      </c>
      <c r="V41" s="268" t="s">
        <v>484</v>
      </c>
      <c r="W41" s="268" t="s">
        <v>484</v>
      </c>
      <c r="X41" s="268" t="s">
        <v>484</v>
      </c>
      <c r="Y41" s="268" t="s">
        <v>484</v>
      </c>
      <c r="Z41" s="268" t="s">
        <v>484</v>
      </c>
      <c r="AA41" s="268" t="s">
        <v>484</v>
      </c>
      <c r="AB41" s="268" t="s">
        <v>484</v>
      </c>
      <c r="AC41" s="268" t="s">
        <v>484</v>
      </c>
      <c r="AD41" s="268" t="s">
        <v>484</v>
      </c>
      <c r="AE41" s="268" t="s">
        <v>484</v>
      </c>
      <c r="AF41" s="268" t="s">
        <v>484</v>
      </c>
    </row>
    <row r="42" spans="1:32" ht="23.25" customHeight="1" thickBot="1">
      <c r="A42" s="268" t="s">
        <v>484</v>
      </c>
      <c r="B42" s="268" t="s">
        <v>484</v>
      </c>
      <c r="C42" s="308">
        <v>0</v>
      </c>
      <c r="D42" s="300">
        <v>0.8</v>
      </c>
      <c r="E42" s="300">
        <v>0.8</v>
      </c>
      <c r="F42" s="300">
        <v>0.8</v>
      </c>
      <c r="G42" s="300">
        <v>0</v>
      </c>
      <c r="H42" s="300"/>
      <c r="I42" s="278"/>
      <c r="J42" s="309">
        <f>SUM(C42:H42)</f>
        <v>2.4000000000000004</v>
      </c>
      <c r="K42" s="287" t="s">
        <v>484</v>
      </c>
      <c r="L42" s="212" t="s">
        <v>26</v>
      </c>
      <c r="M42" s="268" t="s">
        <v>484</v>
      </c>
      <c r="N42" s="268" t="s">
        <v>484</v>
      </c>
      <c r="O42" s="268" t="s">
        <v>484</v>
      </c>
      <c r="P42" s="268" t="s">
        <v>484</v>
      </c>
      <c r="Q42" s="268" t="s">
        <v>484</v>
      </c>
      <c r="R42" s="268" t="s">
        <v>484</v>
      </c>
      <c r="S42" s="268" t="s">
        <v>484</v>
      </c>
      <c r="T42" s="268" t="s">
        <v>484</v>
      </c>
      <c r="U42" s="268" t="s">
        <v>484</v>
      </c>
      <c r="V42" s="268" t="s">
        <v>484</v>
      </c>
      <c r="W42" s="268" t="s">
        <v>484</v>
      </c>
      <c r="X42" s="268" t="s">
        <v>484</v>
      </c>
      <c r="Y42" s="268" t="s">
        <v>484</v>
      </c>
      <c r="Z42" s="268" t="s">
        <v>484</v>
      </c>
      <c r="AA42" s="268" t="s">
        <v>484</v>
      </c>
      <c r="AB42" s="268" t="s">
        <v>484</v>
      </c>
      <c r="AC42" s="268" t="s">
        <v>484</v>
      </c>
      <c r="AD42" s="268" t="s">
        <v>484</v>
      </c>
      <c r="AE42" s="268" t="s">
        <v>484</v>
      </c>
      <c r="AF42" s="268" t="s">
        <v>484</v>
      </c>
    </row>
    <row r="43" spans="1:32" ht="23.25" customHeight="1" thickBot="1">
      <c r="A43" s="268" t="s">
        <v>484</v>
      </c>
      <c r="B43" s="268" t="s">
        <v>484</v>
      </c>
      <c r="C43" s="335" t="s">
        <v>515</v>
      </c>
      <c r="D43" s="314" t="s">
        <v>516</v>
      </c>
      <c r="E43" s="313" t="s">
        <v>517</v>
      </c>
      <c r="F43" s="313" t="s">
        <v>518</v>
      </c>
      <c r="G43" s="313" t="s">
        <v>519</v>
      </c>
      <c r="H43" s="313" t="s">
        <v>520</v>
      </c>
      <c r="I43" s="367"/>
      <c r="J43" s="366">
        <v>62.63</v>
      </c>
      <c r="K43" s="287" t="s">
        <v>484</v>
      </c>
      <c r="L43" s="212" t="s">
        <v>28</v>
      </c>
      <c r="M43" s="268" t="s">
        <v>484</v>
      </c>
      <c r="N43" s="268" t="s">
        <v>484</v>
      </c>
      <c r="O43" s="268" t="s">
        <v>484</v>
      </c>
      <c r="P43" s="268" t="s">
        <v>484</v>
      </c>
      <c r="Q43" s="268" t="s">
        <v>484</v>
      </c>
      <c r="R43" s="268" t="s">
        <v>484</v>
      </c>
      <c r="S43" s="268" t="s">
        <v>484</v>
      </c>
      <c r="T43" s="268" t="s">
        <v>484</v>
      </c>
      <c r="U43" s="268" t="s">
        <v>484</v>
      </c>
      <c r="V43" s="268" t="s">
        <v>484</v>
      </c>
      <c r="W43" s="268" t="s">
        <v>484</v>
      </c>
      <c r="X43" s="268" t="s">
        <v>484</v>
      </c>
      <c r="Y43" s="268" t="s">
        <v>484</v>
      </c>
      <c r="Z43" s="268" t="s">
        <v>484</v>
      </c>
      <c r="AA43" s="268" t="s">
        <v>484</v>
      </c>
      <c r="AB43" s="268" t="s">
        <v>484</v>
      </c>
      <c r="AC43" s="268" t="s">
        <v>484</v>
      </c>
      <c r="AD43" s="268" t="s">
        <v>484</v>
      </c>
      <c r="AE43" s="268" t="s">
        <v>484</v>
      </c>
      <c r="AF43" s="268" t="s">
        <v>484</v>
      </c>
    </row>
    <row r="44" spans="1:32" ht="23.25" customHeight="1" thickBot="1">
      <c r="A44" s="268" t="s">
        <v>484</v>
      </c>
      <c r="B44" s="268" t="s">
        <v>484</v>
      </c>
      <c r="C44" s="292" t="s">
        <v>484</v>
      </c>
      <c r="D44" s="325" t="s">
        <v>484</v>
      </c>
      <c r="E44" s="319" t="s">
        <v>484</v>
      </c>
      <c r="F44" s="278" t="s">
        <v>484</v>
      </c>
      <c r="G44" s="278" t="s">
        <v>484</v>
      </c>
      <c r="H44" s="278" t="s">
        <v>484</v>
      </c>
      <c r="I44" s="278" t="s">
        <v>484</v>
      </c>
      <c r="J44" s="278" t="s">
        <v>484</v>
      </c>
      <c r="K44" s="287" t="s">
        <v>484</v>
      </c>
      <c r="L44" s="307" t="s">
        <v>484</v>
      </c>
      <c r="M44" s="268" t="s">
        <v>484</v>
      </c>
      <c r="N44" s="268" t="s">
        <v>484</v>
      </c>
      <c r="O44" s="268" t="s">
        <v>484</v>
      </c>
      <c r="P44" s="268" t="s">
        <v>484</v>
      </c>
      <c r="Q44" s="268" t="s">
        <v>484</v>
      </c>
      <c r="R44" s="268" t="s">
        <v>484</v>
      </c>
      <c r="S44" s="268" t="s">
        <v>484</v>
      </c>
      <c r="T44" s="268" t="s">
        <v>484</v>
      </c>
      <c r="U44" s="268" t="s">
        <v>484</v>
      </c>
      <c r="V44" s="268" t="s">
        <v>484</v>
      </c>
      <c r="W44" s="268" t="s">
        <v>484</v>
      </c>
      <c r="X44" s="268" t="s">
        <v>484</v>
      </c>
      <c r="Y44" s="268" t="s">
        <v>484</v>
      </c>
      <c r="Z44" s="268" t="s">
        <v>484</v>
      </c>
      <c r="AA44" s="268" t="s">
        <v>484</v>
      </c>
      <c r="AB44" s="268" t="s">
        <v>484</v>
      </c>
      <c r="AC44" s="268" t="s">
        <v>484</v>
      </c>
      <c r="AD44" s="268" t="s">
        <v>484</v>
      </c>
      <c r="AE44" s="268" t="s">
        <v>484</v>
      </c>
      <c r="AF44" s="268" t="s">
        <v>484</v>
      </c>
    </row>
    <row r="45" spans="1:32" ht="23.25" customHeight="1">
      <c r="A45" s="268" t="s">
        <v>484</v>
      </c>
      <c r="B45" s="268" t="s">
        <v>484</v>
      </c>
      <c r="C45" s="303" t="s">
        <v>484</v>
      </c>
      <c r="D45" s="298" t="s">
        <v>484</v>
      </c>
      <c r="E45" s="319" t="s">
        <v>484</v>
      </c>
      <c r="F45" s="278" t="s">
        <v>484</v>
      </c>
      <c r="G45" s="278" t="s">
        <v>484</v>
      </c>
      <c r="H45" s="278" t="s">
        <v>484</v>
      </c>
      <c r="I45" s="278" t="s">
        <v>484</v>
      </c>
      <c r="J45" s="278" t="s">
        <v>484</v>
      </c>
      <c r="K45" s="287" t="s">
        <v>484</v>
      </c>
      <c r="L45" s="268" t="s">
        <v>484</v>
      </c>
      <c r="M45" s="268" t="s">
        <v>484</v>
      </c>
      <c r="N45" s="268" t="s">
        <v>484</v>
      </c>
      <c r="O45" s="268" t="s">
        <v>484</v>
      </c>
      <c r="P45" s="268" t="s">
        <v>484</v>
      </c>
      <c r="Q45" s="268" t="s">
        <v>484</v>
      </c>
      <c r="R45" s="268" t="s">
        <v>484</v>
      </c>
      <c r="S45" s="268" t="s">
        <v>484</v>
      </c>
      <c r="T45" s="268" t="s">
        <v>484</v>
      </c>
      <c r="U45" s="268" t="s">
        <v>484</v>
      </c>
      <c r="V45" s="268" t="s">
        <v>484</v>
      </c>
      <c r="W45" s="268" t="s">
        <v>484</v>
      </c>
      <c r="X45" s="268" t="s">
        <v>484</v>
      </c>
      <c r="Y45" s="268" t="s">
        <v>484</v>
      </c>
      <c r="Z45" s="268" t="s">
        <v>484</v>
      </c>
      <c r="AA45" s="268" t="s">
        <v>484</v>
      </c>
      <c r="AB45" s="268" t="s">
        <v>484</v>
      </c>
      <c r="AC45" s="268" t="s">
        <v>484</v>
      </c>
      <c r="AD45" s="268" t="s">
        <v>484</v>
      </c>
      <c r="AE45" s="268" t="s">
        <v>484</v>
      </c>
      <c r="AF45" s="268" t="s">
        <v>484</v>
      </c>
    </row>
    <row r="46" spans="1:32" ht="23.25" customHeight="1">
      <c r="A46" s="268" t="s">
        <v>484</v>
      </c>
      <c r="B46" s="268" t="s">
        <v>484</v>
      </c>
      <c r="C46" s="308" t="s">
        <v>484</v>
      </c>
      <c r="D46" s="301" t="s">
        <v>484</v>
      </c>
      <c r="E46" s="278" t="s">
        <v>484</v>
      </c>
      <c r="F46" s="278" t="s">
        <v>484</v>
      </c>
      <c r="G46" s="278" t="s">
        <v>484</v>
      </c>
      <c r="H46" s="278" t="s">
        <v>484</v>
      </c>
      <c r="I46" s="278" t="s">
        <v>484</v>
      </c>
      <c r="J46" s="278" t="s">
        <v>484</v>
      </c>
      <c r="K46" s="287" t="s">
        <v>484</v>
      </c>
      <c r="L46" s="268" t="s">
        <v>484</v>
      </c>
      <c r="M46" s="268" t="s">
        <v>484</v>
      </c>
      <c r="N46" s="268" t="s">
        <v>484</v>
      </c>
      <c r="O46" s="268" t="s">
        <v>484</v>
      </c>
      <c r="P46" s="268" t="s">
        <v>484</v>
      </c>
      <c r="Q46" s="268" t="s">
        <v>484</v>
      </c>
      <c r="R46" s="268" t="s">
        <v>484</v>
      </c>
      <c r="S46" s="268" t="s">
        <v>484</v>
      </c>
      <c r="T46" s="268" t="s">
        <v>484</v>
      </c>
      <c r="U46" s="268" t="s">
        <v>484</v>
      </c>
      <c r="V46" s="268" t="s">
        <v>484</v>
      </c>
      <c r="W46" s="268" t="s">
        <v>484</v>
      </c>
      <c r="X46" s="268" t="s">
        <v>484</v>
      </c>
      <c r="Y46" s="268" t="s">
        <v>484</v>
      </c>
      <c r="Z46" s="268" t="s">
        <v>484</v>
      </c>
      <c r="AA46" s="268" t="s">
        <v>484</v>
      </c>
      <c r="AB46" s="268" t="s">
        <v>484</v>
      </c>
      <c r="AC46" s="268" t="s">
        <v>484</v>
      </c>
      <c r="AD46" s="268" t="s">
        <v>484</v>
      </c>
      <c r="AE46" s="268" t="s">
        <v>484</v>
      </c>
      <c r="AF46" s="268" t="s">
        <v>484</v>
      </c>
    </row>
    <row r="47" spans="1:32" ht="23.25" customHeight="1">
      <c r="A47" s="268" t="s">
        <v>484</v>
      </c>
      <c r="B47" s="268" t="s">
        <v>484</v>
      </c>
      <c r="C47" s="303" t="s">
        <v>484</v>
      </c>
      <c r="D47" s="298" t="s">
        <v>484</v>
      </c>
      <c r="E47" s="278" t="s">
        <v>484</v>
      </c>
      <c r="F47" s="332" t="s">
        <v>484</v>
      </c>
      <c r="G47" s="278" t="s">
        <v>484</v>
      </c>
      <c r="H47" s="278" t="s">
        <v>484</v>
      </c>
      <c r="I47" s="278" t="s">
        <v>484</v>
      </c>
      <c r="J47" s="306" t="s">
        <v>33</v>
      </c>
      <c r="K47" s="268" t="s">
        <v>484</v>
      </c>
      <c r="L47" s="268" t="s">
        <v>484</v>
      </c>
      <c r="M47" s="268" t="s">
        <v>484</v>
      </c>
      <c r="N47" s="268" t="s">
        <v>484</v>
      </c>
      <c r="O47" s="268" t="s">
        <v>484</v>
      </c>
      <c r="P47" s="268" t="s">
        <v>484</v>
      </c>
      <c r="Q47" s="268" t="s">
        <v>484</v>
      </c>
      <c r="R47" s="268" t="s">
        <v>484</v>
      </c>
      <c r="S47" s="268" t="s">
        <v>484</v>
      </c>
      <c r="T47" s="268" t="s">
        <v>484</v>
      </c>
      <c r="U47" s="268" t="s">
        <v>484</v>
      </c>
      <c r="V47" s="268" t="s">
        <v>484</v>
      </c>
      <c r="W47" s="268" t="s">
        <v>484</v>
      </c>
      <c r="X47" s="268" t="s">
        <v>484</v>
      </c>
      <c r="Y47" s="268" t="s">
        <v>484</v>
      </c>
      <c r="Z47" s="268" t="s">
        <v>484</v>
      </c>
      <c r="AA47" s="268" t="s">
        <v>484</v>
      </c>
      <c r="AB47" s="268" t="s">
        <v>484</v>
      </c>
      <c r="AC47" s="268" t="s">
        <v>484</v>
      </c>
      <c r="AD47" s="268" t="s">
        <v>484</v>
      </c>
      <c r="AE47" s="268" t="s">
        <v>484</v>
      </c>
      <c r="AF47" s="268" t="s">
        <v>484</v>
      </c>
    </row>
    <row r="48" spans="1:32" ht="23.25" customHeight="1">
      <c r="A48" s="268" t="s">
        <v>484</v>
      </c>
      <c r="B48" s="268" t="s">
        <v>484</v>
      </c>
      <c r="C48" s="334" t="s">
        <v>484</v>
      </c>
      <c r="D48" s="301" t="s">
        <v>484</v>
      </c>
      <c r="E48" s="278" t="s">
        <v>484</v>
      </c>
      <c r="F48" s="332" t="s">
        <v>484</v>
      </c>
      <c r="G48" s="278" t="s">
        <v>484</v>
      </c>
      <c r="H48" s="278" t="s">
        <v>484</v>
      </c>
      <c r="I48" s="278" t="s">
        <v>484</v>
      </c>
      <c r="J48" s="309">
        <v>0</v>
      </c>
      <c r="K48" s="336" t="s">
        <v>484</v>
      </c>
      <c r="L48" s="212" t="s">
        <v>22</v>
      </c>
      <c r="M48" s="268" t="s">
        <v>484</v>
      </c>
      <c r="N48" s="268" t="s">
        <v>484</v>
      </c>
      <c r="O48" s="268" t="s">
        <v>484</v>
      </c>
      <c r="P48" s="268" t="s">
        <v>484</v>
      </c>
      <c r="Q48" s="268" t="s">
        <v>484</v>
      </c>
      <c r="R48" s="268" t="s">
        <v>484</v>
      </c>
      <c r="S48" s="268" t="s">
        <v>484</v>
      </c>
      <c r="T48" s="268" t="s">
        <v>484</v>
      </c>
      <c r="U48" s="268" t="s">
        <v>484</v>
      </c>
      <c r="V48" s="268" t="s">
        <v>484</v>
      </c>
      <c r="W48" s="268" t="s">
        <v>484</v>
      </c>
      <c r="X48" s="268" t="s">
        <v>484</v>
      </c>
      <c r="Y48" s="268" t="s">
        <v>484</v>
      </c>
      <c r="Z48" s="268" t="s">
        <v>484</v>
      </c>
      <c r="AA48" s="268" t="s">
        <v>484</v>
      </c>
      <c r="AB48" s="268" t="s">
        <v>484</v>
      </c>
      <c r="AC48" s="268" t="s">
        <v>484</v>
      </c>
      <c r="AD48" s="268" t="s">
        <v>484</v>
      </c>
      <c r="AE48" s="268" t="s">
        <v>484</v>
      </c>
      <c r="AF48" s="268" t="s">
        <v>484</v>
      </c>
    </row>
    <row r="49" spans="1:32" ht="23.25" customHeight="1">
      <c r="A49" s="268" t="s">
        <v>484</v>
      </c>
      <c r="B49" s="268" t="s">
        <v>484</v>
      </c>
      <c r="C49" s="337" t="s">
        <v>484</v>
      </c>
      <c r="D49" s="338" t="s">
        <v>484</v>
      </c>
      <c r="E49" s="287" t="s">
        <v>484</v>
      </c>
      <c r="F49" s="336" t="s">
        <v>484</v>
      </c>
      <c r="G49" s="287" t="s">
        <v>484</v>
      </c>
      <c r="H49" s="287" t="s">
        <v>484</v>
      </c>
      <c r="I49" s="287" t="s">
        <v>484</v>
      </c>
      <c r="J49" s="309">
        <v>0</v>
      </c>
      <c r="K49" s="336" t="s">
        <v>484</v>
      </c>
      <c r="L49" s="212" t="s">
        <v>24</v>
      </c>
      <c r="M49" s="268" t="s">
        <v>484</v>
      </c>
      <c r="N49" s="268" t="s">
        <v>484</v>
      </c>
      <c r="O49" s="268" t="s">
        <v>484</v>
      </c>
      <c r="P49" s="268" t="s">
        <v>484</v>
      </c>
      <c r="Q49" s="268" t="s">
        <v>484</v>
      </c>
      <c r="R49" s="268" t="s">
        <v>484</v>
      </c>
      <c r="S49" s="268" t="s">
        <v>484</v>
      </c>
      <c r="T49" s="268" t="s">
        <v>484</v>
      </c>
      <c r="U49" s="268" t="s">
        <v>484</v>
      </c>
      <c r="V49" s="268" t="s">
        <v>484</v>
      </c>
      <c r="W49" s="268" t="s">
        <v>484</v>
      </c>
      <c r="X49" s="268" t="s">
        <v>484</v>
      </c>
      <c r="Y49" s="268" t="s">
        <v>484</v>
      </c>
      <c r="Z49" s="268" t="s">
        <v>484</v>
      </c>
      <c r="AA49" s="268" t="s">
        <v>484</v>
      </c>
      <c r="AB49" s="268" t="s">
        <v>484</v>
      </c>
      <c r="AC49" s="268" t="s">
        <v>484</v>
      </c>
      <c r="AD49" s="268" t="s">
        <v>484</v>
      </c>
      <c r="AE49" s="268" t="s">
        <v>484</v>
      </c>
      <c r="AF49" s="268" t="s">
        <v>484</v>
      </c>
    </row>
    <row r="50" spans="1:32" ht="23.25" customHeight="1">
      <c r="A50" s="268" t="s">
        <v>484</v>
      </c>
      <c r="B50" s="268" t="s">
        <v>484</v>
      </c>
      <c r="C50" s="337" t="s">
        <v>484</v>
      </c>
      <c r="D50" s="338" t="s">
        <v>484</v>
      </c>
      <c r="E50" s="287" t="s">
        <v>484</v>
      </c>
      <c r="F50" s="336" t="s">
        <v>484</v>
      </c>
      <c r="G50" s="287" t="s">
        <v>484</v>
      </c>
      <c r="H50" s="287" t="s">
        <v>484</v>
      </c>
      <c r="I50" s="287" t="s">
        <v>484</v>
      </c>
      <c r="J50" s="310">
        <v>0</v>
      </c>
      <c r="K50" s="336" t="s">
        <v>484</v>
      </c>
      <c r="L50" s="212" t="s">
        <v>26</v>
      </c>
      <c r="M50" s="268" t="s">
        <v>484</v>
      </c>
      <c r="N50" s="268" t="s">
        <v>484</v>
      </c>
      <c r="O50" s="268" t="s">
        <v>484</v>
      </c>
      <c r="P50" s="268" t="s">
        <v>484</v>
      </c>
      <c r="Q50" s="268" t="s">
        <v>484</v>
      </c>
      <c r="R50" s="268" t="s">
        <v>484</v>
      </c>
      <c r="S50" s="268" t="s">
        <v>484</v>
      </c>
      <c r="T50" s="268" t="s">
        <v>484</v>
      </c>
      <c r="U50" s="268" t="s">
        <v>484</v>
      </c>
      <c r="V50" s="268" t="s">
        <v>484</v>
      </c>
      <c r="W50" s="268" t="s">
        <v>484</v>
      </c>
      <c r="X50" s="268" t="s">
        <v>484</v>
      </c>
      <c r="Y50" s="268" t="s">
        <v>484</v>
      </c>
      <c r="Z50" s="268" t="s">
        <v>484</v>
      </c>
      <c r="AA50" s="268" t="s">
        <v>484</v>
      </c>
      <c r="AB50" s="268" t="s">
        <v>484</v>
      </c>
      <c r="AC50" s="268" t="s">
        <v>484</v>
      </c>
      <c r="AD50" s="268" t="s">
        <v>484</v>
      </c>
      <c r="AE50" s="268" t="s">
        <v>484</v>
      </c>
      <c r="AF50" s="268" t="s">
        <v>484</v>
      </c>
    </row>
    <row r="51" spans="1:32" ht="23.25" customHeight="1">
      <c r="A51" s="268" t="s">
        <v>484</v>
      </c>
      <c r="B51" s="268" t="s">
        <v>484</v>
      </c>
      <c r="C51" s="339" t="s">
        <v>484</v>
      </c>
      <c r="D51" s="340" t="s">
        <v>484</v>
      </c>
      <c r="E51" s="336" t="s">
        <v>484</v>
      </c>
      <c r="F51" s="336" t="s">
        <v>484</v>
      </c>
      <c r="G51" s="287" t="s">
        <v>484</v>
      </c>
      <c r="H51" s="287" t="s">
        <v>484</v>
      </c>
      <c r="I51" s="287" t="s">
        <v>484</v>
      </c>
      <c r="J51" s="310" t="s">
        <v>484</v>
      </c>
      <c r="K51" s="336" t="s">
        <v>484</v>
      </c>
      <c r="L51" s="212" t="s">
        <v>28</v>
      </c>
      <c r="M51" s="268" t="s">
        <v>484</v>
      </c>
      <c r="N51" s="268" t="s">
        <v>484</v>
      </c>
      <c r="O51" s="268" t="s">
        <v>484</v>
      </c>
      <c r="P51" s="268" t="s">
        <v>484</v>
      </c>
      <c r="Q51" s="268" t="s">
        <v>484</v>
      </c>
      <c r="R51" s="268" t="s">
        <v>484</v>
      </c>
      <c r="S51" s="268" t="s">
        <v>484</v>
      </c>
      <c r="T51" s="268" t="s">
        <v>484</v>
      </c>
      <c r="U51" s="268" t="s">
        <v>484</v>
      </c>
      <c r="V51" s="268" t="s">
        <v>484</v>
      </c>
      <c r="W51" s="268" t="s">
        <v>484</v>
      </c>
      <c r="X51" s="268" t="s">
        <v>484</v>
      </c>
      <c r="Y51" s="268" t="s">
        <v>484</v>
      </c>
      <c r="Z51" s="268" t="s">
        <v>484</v>
      </c>
      <c r="AA51" s="268" t="s">
        <v>484</v>
      </c>
      <c r="AB51" s="268" t="s">
        <v>484</v>
      </c>
      <c r="AC51" s="268" t="s">
        <v>484</v>
      </c>
      <c r="AD51" s="268" t="s">
        <v>484</v>
      </c>
      <c r="AE51" s="268" t="s">
        <v>484</v>
      </c>
      <c r="AF51" s="268" t="s">
        <v>484</v>
      </c>
    </row>
    <row r="52" spans="1:32" ht="23.25" customHeight="1">
      <c r="A52" s="268" t="s">
        <v>484</v>
      </c>
      <c r="B52" s="268" t="s">
        <v>484</v>
      </c>
      <c r="C52" s="287" t="s">
        <v>484</v>
      </c>
      <c r="D52" s="287" t="s">
        <v>484</v>
      </c>
      <c r="E52" s="287" t="s">
        <v>484</v>
      </c>
      <c r="F52" s="287" t="s">
        <v>484</v>
      </c>
      <c r="G52" s="287" t="s">
        <v>484</v>
      </c>
      <c r="H52" s="287" t="s">
        <v>484</v>
      </c>
      <c r="I52" s="287" t="s">
        <v>484</v>
      </c>
      <c r="J52" s="287" t="s">
        <v>484</v>
      </c>
      <c r="K52" s="287" t="s">
        <v>484</v>
      </c>
      <c r="L52" s="268" t="s">
        <v>484</v>
      </c>
      <c r="M52" s="268" t="s">
        <v>484</v>
      </c>
      <c r="N52" s="268" t="s">
        <v>484</v>
      </c>
      <c r="O52" s="268" t="s">
        <v>484</v>
      </c>
      <c r="P52" s="268" t="s">
        <v>484</v>
      </c>
      <c r="Q52" s="268" t="s">
        <v>484</v>
      </c>
      <c r="R52" s="268" t="s">
        <v>484</v>
      </c>
      <c r="S52" s="268" t="s">
        <v>484</v>
      </c>
      <c r="T52" s="268" t="s">
        <v>484</v>
      </c>
      <c r="U52" s="268" t="s">
        <v>484</v>
      </c>
      <c r="V52" s="268" t="s">
        <v>484</v>
      </c>
      <c r="W52" s="268" t="s">
        <v>484</v>
      </c>
      <c r="X52" s="268" t="s">
        <v>484</v>
      </c>
      <c r="Y52" s="268" t="s">
        <v>484</v>
      </c>
      <c r="Z52" s="268" t="s">
        <v>484</v>
      </c>
      <c r="AA52" s="268" t="s">
        <v>484</v>
      </c>
      <c r="AB52" s="268" t="s">
        <v>484</v>
      </c>
      <c r="AC52" s="268" t="s">
        <v>484</v>
      </c>
      <c r="AD52" s="268" t="s">
        <v>484</v>
      </c>
      <c r="AE52" s="268" t="s">
        <v>484</v>
      </c>
      <c r="AF52" s="268" t="s">
        <v>484</v>
      </c>
    </row>
    <row r="53" spans="1:32" ht="22.5" customHeight="1">
      <c r="A53" s="268" t="s">
        <v>484</v>
      </c>
      <c r="B53" s="268" t="s">
        <v>484</v>
      </c>
      <c r="C53" s="268" t="s">
        <v>484</v>
      </c>
      <c r="D53" s="268" t="s">
        <v>484</v>
      </c>
      <c r="E53" s="268" t="s">
        <v>484</v>
      </c>
      <c r="F53" s="268" t="s">
        <v>484</v>
      </c>
      <c r="G53" s="268" t="s">
        <v>484</v>
      </c>
      <c r="H53" s="268" t="s">
        <v>484</v>
      </c>
      <c r="I53" s="268" t="s">
        <v>484</v>
      </c>
      <c r="J53" s="268" t="s">
        <v>484</v>
      </c>
      <c r="K53" s="268" t="s">
        <v>484</v>
      </c>
      <c r="L53" s="268" t="s">
        <v>484</v>
      </c>
      <c r="M53" s="268" t="s">
        <v>484</v>
      </c>
      <c r="N53" s="268" t="s">
        <v>484</v>
      </c>
      <c r="O53" s="268" t="s">
        <v>484</v>
      </c>
      <c r="P53" s="268" t="s">
        <v>484</v>
      </c>
      <c r="Q53" s="268" t="s">
        <v>484</v>
      </c>
      <c r="R53" s="268" t="s">
        <v>484</v>
      </c>
      <c r="S53" s="268" t="s">
        <v>484</v>
      </c>
      <c r="T53" s="268" t="s">
        <v>484</v>
      </c>
      <c r="U53" s="268" t="s">
        <v>484</v>
      </c>
      <c r="V53" s="268" t="s">
        <v>484</v>
      </c>
      <c r="W53" s="268" t="s">
        <v>484</v>
      </c>
      <c r="X53" s="268" t="s">
        <v>484</v>
      </c>
      <c r="Y53" s="268" t="s">
        <v>484</v>
      </c>
      <c r="Z53" s="268" t="s">
        <v>484</v>
      </c>
      <c r="AA53" s="268" t="s">
        <v>484</v>
      </c>
      <c r="AB53" s="268" t="s">
        <v>484</v>
      </c>
      <c r="AC53" s="268" t="s">
        <v>484</v>
      </c>
      <c r="AD53" s="268" t="s">
        <v>484</v>
      </c>
      <c r="AE53" s="268" t="s">
        <v>484</v>
      </c>
      <c r="AF53" s="268" t="s">
        <v>484</v>
      </c>
    </row>
    <row r="54" spans="1:32" ht="17.45">
      <c r="A54" s="268" t="s">
        <v>484</v>
      </c>
      <c r="B54" s="268" t="s">
        <v>484</v>
      </c>
      <c r="C54" s="268" t="s">
        <v>484</v>
      </c>
      <c r="D54" s="268" t="s">
        <v>484</v>
      </c>
      <c r="E54" s="268" t="s">
        <v>484</v>
      </c>
      <c r="F54" s="268" t="s">
        <v>484</v>
      </c>
      <c r="G54" s="268" t="s">
        <v>484</v>
      </c>
      <c r="H54" s="268" t="s">
        <v>484</v>
      </c>
      <c r="I54" s="268" t="s">
        <v>484</v>
      </c>
      <c r="J54" s="268" t="s">
        <v>484</v>
      </c>
      <c r="K54" s="268" t="s">
        <v>484</v>
      </c>
      <c r="L54" s="268" t="s">
        <v>484</v>
      </c>
      <c r="M54" s="268" t="s">
        <v>484</v>
      </c>
      <c r="N54" s="268" t="s">
        <v>484</v>
      </c>
      <c r="O54" s="268" t="s">
        <v>484</v>
      </c>
      <c r="P54" s="268" t="s">
        <v>484</v>
      </c>
      <c r="Q54" s="268" t="s">
        <v>484</v>
      </c>
      <c r="R54" s="268" t="s">
        <v>484</v>
      </c>
      <c r="S54" s="268" t="s">
        <v>484</v>
      </c>
      <c r="T54" s="268" t="s">
        <v>484</v>
      </c>
      <c r="U54" s="268" t="s">
        <v>484</v>
      </c>
      <c r="V54" s="268" t="s">
        <v>484</v>
      </c>
      <c r="W54" s="268" t="s">
        <v>484</v>
      </c>
      <c r="X54" s="268" t="s">
        <v>484</v>
      </c>
      <c r="Y54" s="268" t="s">
        <v>484</v>
      </c>
      <c r="Z54" s="268" t="s">
        <v>484</v>
      </c>
      <c r="AA54" s="268" t="s">
        <v>484</v>
      </c>
      <c r="AB54" s="268" t="s">
        <v>484</v>
      </c>
      <c r="AC54" s="268" t="s">
        <v>484</v>
      </c>
      <c r="AD54" s="268" t="s">
        <v>484</v>
      </c>
      <c r="AE54" s="268" t="s">
        <v>484</v>
      </c>
      <c r="AF54" s="268" t="s">
        <v>484</v>
      </c>
    </row>
    <row r="55" spans="1:32" ht="17.45">
      <c r="A55" s="268" t="s">
        <v>484</v>
      </c>
      <c r="B55" s="268" t="s">
        <v>484</v>
      </c>
      <c r="C55" s="268" t="s">
        <v>484</v>
      </c>
      <c r="D55" s="268" t="s">
        <v>484</v>
      </c>
      <c r="E55" s="268" t="s">
        <v>484</v>
      </c>
      <c r="F55" s="268" t="s">
        <v>484</v>
      </c>
      <c r="G55" s="268" t="s">
        <v>484</v>
      </c>
      <c r="H55" s="268" t="s">
        <v>484</v>
      </c>
      <c r="I55" s="268" t="s">
        <v>484</v>
      </c>
      <c r="J55" s="268" t="s">
        <v>484</v>
      </c>
      <c r="K55" s="268" t="s">
        <v>484</v>
      </c>
      <c r="L55" s="268" t="s">
        <v>484</v>
      </c>
      <c r="M55" s="268" t="s">
        <v>484</v>
      </c>
      <c r="N55" s="268" t="s">
        <v>484</v>
      </c>
      <c r="O55" s="268" t="s">
        <v>484</v>
      </c>
      <c r="P55" s="268" t="s">
        <v>484</v>
      </c>
      <c r="Q55" s="268" t="s">
        <v>484</v>
      </c>
      <c r="R55" s="268" t="s">
        <v>484</v>
      </c>
      <c r="S55" s="268" t="s">
        <v>484</v>
      </c>
      <c r="T55" s="268" t="s">
        <v>484</v>
      </c>
      <c r="U55" s="268" t="s">
        <v>484</v>
      </c>
      <c r="V55" s="268" t="s">
        <v>484</v>
      </c>
      <c r="W55" s="268" t="s">
        <v>484</v>
      </c>
      <c r="X55" s="268" t="s">
        <v>484</v>
      </c>
      <c r="Y55" s="268" t="s">
        <v>484</v>
      </c>
      <c r="Z55" s="268" t="s">
        <v>484</v>
      </c>
      <c r="AA55" s="268" t="s">
        <v>484</v>
      </c>
      <c r="AB55" s="268" t="s">
        <v>484</v>
      </c>
      <c r="AC55" s="268" t="s">
        <v>484</v>
      </c>
      <c r="AD55" s="268" t="s">
        <v>484</v>
      </c>
      <c r="AE55" s="268" t="s">
        <v>484</v>
      </c>
      <c r="AF55" s="268" t="s">
        <v>484</v>
      </c>
    </row>
    <row r="56" spans="1:32" ht="17.45">
      <c r="A56" s="268" t="s">
        <v>484</v>
      </c>
      <c r="B56" s="268" t="s">
        <v>484</v>
      </c>
      <c r="C56" s="268" t="s">
        <v>484</v>
      </c>
      <c r="D56" s="268" t="s">
        <v>484</v>
      </c>
      <c r="E56" s="268" t="s">
        <v>484</v>
      </c>
      <c r="F56" s="268" t="s">
        <v>484</v>
      </c>
      <c r="G56" s="268" t="s">
        <v>484</v>
      </c>
      <c r="H56" s="268" t="s">
        <v>484</v>
      </c>
      <c r="I56" s="268" t="s">
        <v>484</v>
      </c>
      <c r="J56" s="268" t="s">
        <v>484</v>
      </c>
      <c r="K56" s="268" t="s">
        <v>484</v>
      </c>
      <c r="L56" s="268" t="s">
        <v>484</v>
      </c>
      <c r="M56" s="268" t="s">
        <v>484</v>
      </c>
      <c r="N56" s="268" t="s">
        <v>484</v>
      </c>
      <c r="O56" s="268" t="s">
        <v>484</v>
      </c>
      <c r="P56" s="268" t="s">
        <v>484</v>
      </c>
      <c r="Q56" s="268" t="s">
        <v>484</v>
      </c>
      <c r="R56" s="268" t="s">
        <v>484</v>
      </c>
      <c r="S56" s="268" t="s">
        <v>484</v>
      </c>
      <c r="T56" s="268" t="s">
        <v>484</v>
      </c>
      <c r="U56" s="268" t="s">
        <v>484</v>
      </c>
      <c r="V56" s="268" t="s">
        <v>484</v>
      </c>
      <c r="W56" s="268" t="s">
        <v>484</v>
      </c>
      <c r="X56" s="268" t="s">
        <v>484</v>
      </c>
      <c r="Y56" s="268" t="s">
        <v>484</v>
      </c>
      <c r="Z56" s="268" t="s">
        <v>484</v>
      </c>
      <c r="AA56" s="268" t="s">
        <v>484</v>
      </c>
      <c r="AB56" s="268" t="s">
        <v>484</v>
      </c>
      <c r="AC56" s="268" t="s">
        <v>484</v>
      </c>
      <c r="AD56" s="268" t="s">
        <v>484</v>
      </c>
      <c r="AE56" s="268" t="s">
        <v>484</v>
      </c>
      <c r="AF56" s="268" t="s">
        <v>484</v>
      </c>
    </row>
    <row r="57" spans="1:32" ht="17.45">
      <c r="A57" s="268" t="s">
        <v>484</v>
      </c>
      <c r="B57" s="268" t="s">
        <v>484</v>
      </c>
      <c r="C57" s="268" t="s">
        <v>484</v>
      </c>
      <c r="D57" s="268" t="s">
        <v>484</v>
      </c>
      <c r="E57" s="268" t="s">
        <v>484</v>
      </c>
      <c r="F57" s="268" t="s">
        <v>484</v>
      </c>
      <c r="G57" s="268" t="s">
        <v>484</v>
      </c>
      <c r="H57" s="268" t="s">
        <v>484</v>
      </c>
      <c r="I57" s="268" t="s">
        <v>484</v>
      </c>
      <c r="J57" s="268" t="s">
        <v>484</v>
      </c>
      <c r="K57" s="268" t="s">
        <v>484</v>
      </c>
      <c r="L57" s="268" t="s">
        <v>484</v>
      </c>
      <c r="M57" s="268" t="s">
        <v>484</v>
      </c>
      <c r="N57" s="268" t="s">
        <v>484</v>
      </c>
      <c r="O57" s="268" t="s">
        <v>484</v>
      </c>
      <c r="P57" s="268" t="s">
        <v>484</v>
      </c>
      <c r="Q57" s="268" t="s">
        <v>484</v>
      </c>
      <c r="R57" s="268" t="s">
        <v>484</v>
      </c>
      <c r="S57" s="268" t="s">
        <v>484</v>
      </c>
      <c r="T57" s="268" t="s">
        <v>484</v>
      </c>
      <c r="U57" s="268" t="s">
        <v>484</v>
      </c>
      <c r="V57" s="268" t="s">
        <v>484</v>
      </c>
      <c r="W57" s="268" t="s">
        <v>484</v>
      </c>
      <c r="X57" s="268" t="s">
        <v>484</v>
      </c>
      <c r="Y57" s="268" t="s">
        <v>484</v>
      </c>
      <c r="Z57" s="268" t="s">
        <v>484</v>
      </c>
      <c r="AA57" s="268" t="s">
        <v>484</v>
      </c>
      <c r="AB57" s="268" t="s">
        <v>484</v>
      </c>
      <c r="AC57" s="268" t="s">
        <v>484</v>
      </c>
      <c r="AD57" s="268" t="s">
        <v>484</v>
      </c>
      <c r="AE57" s="268" t="s">
        <v>484</v>
      </c>
      <c r="AF57" s="268" t="s">
        <v>484</v>
      </c>
    </row>
    <row r="58" spans="1:32" ht="17.45">
      <c r="A58" s="268" t="s">
        <v>484</v>
      </c>
      <c r="B58" s="268" t="s">
        <v>484</v>
      </c>
      <c r="C58" s="268" t="s">
        <v>484</v>
      </c>
      <c r="D58" s="268" t="s">
        <v>484</v>
      </c>
      <c r="E58" s="268" t="s">
        <v>484</v>
      </c>
      <c r="F58" s="268" t="s">
        <v>484</v>
      </c>
      <c r="G58" s="268" t="s">
        <v>484</v>
      </c>
      <c r="H58" s="268" t="s">
        <v>484</v>
      </c>
      <c r="I58" s="268" t="s">
        <v>484</v>
      </c>
      <c r="J58" s="268" t="s">
        <v>484</v>
      </c>
      <c r="K58" s="268" t="s">
        <v>484</v>
      </c>
      <c r="L58" s="268" t="s">
        <v>484</v>
      </c>
      <c r="M58" s="268" t="s">
        <v>484</v>
      </c>
      <c r="N58" s="268" t="s">
        <v>484</v>
      </c>
      <c r="O58" s="268" t="s">
        <v>484</v>
      </c>
      <c r="P58" s="268" t="s">
        <v>484</v>
      </c>
      <c r="Q58" s="268" t="s">
        <v>484</v>
      </c>
      <c r="R58" s="268" t="s">
        <v>484</v>
      </c>
      <c r="S58" s="268" t="s">
        <v>484</v>
      </c>
      <c r="T58" s="268" t="s">
        <v>484</v>
      </c>
      <c r="U58" s="268" t="s">
        <v>484</v>
      </c>
      <c r="V58" s="268" t="s">
        <v>484</v>
      </c>
      <c r="W58" s="268" t="s">
        <v>484</v>
      </c>
      <c r="X58" s="268" t="s">
        <v>484</v>
      </c>
      <c r="Y58" s="268" t="s">
        <v>484</v>
      </c>
      <c r="Z58" s="268" t="s">
        <v>484</v>
      </c>
      <c r="AA58" s="268" t="s">
        <v>484</v>
      </c>
      <c r="AB58" s="268" t="s">
        <v>484</v>
      </c>
      <c r="AC58" s="268" t="s">
        <v>484</v>
      </c>
      <c r="AD58" s="268" t="s">
        <v>484</v>
      </c>
      <c r="AE58" s="268" t="s">
        <v>484</v>
      </c>
      <c r="AF58" s="268" t="s">
        <v>484</v>
      </c>
    </row>
    <row r="59" spans="1:32" ht="17.45">
      <c r="A59" s="268" t="s">
        <v>484</v>
      </c>
      <c r="B59" s="268" t="s">
        <v>484</v>
      </c>
      <c r="C59" s="268" t="s">
        <v>484</v>
      </c>
      <c r="D59" s="268" t="s">
        <v>484</v>
      </c>
      <c r="E59" s="268" t="s">
        <v>484</v>
      </c>
      <c r="F59" s="268" t="s">
        <v>484</v>
      </c>
      <c r="G59" s="268" t="s">
        <v>484</v>
      </c>
      <c r="H59" s="268" t="s">
        <v>484</v>
      </c>
      <c r="I59" s="268" t="s">
        <v>484</v>
      </c>
      <c r="J59" s="268" t="s">
        <v>484</v>
      </c>
      <c r="K59" s="268" t="s">
        <v>484</v>
      </c>
      <c r="L59" s="268" t="s">
        <v>484</v>
      </c>
      <c r="M59" s="268" t="s">
        <v>484</v>
      </c>
      <c r="N59" s="268" t="s">
        <v>484</v>
      </c>
      <c r="O59" s="268" t="s">
        <v>484</v>
      </c>
      <c r="P59" s="268" t="s">
        <v>484</v>
      </c>
      <c r="Q59" s="268" t="s">
        <v>484</v>
      </c>
      <c r="R59" s="268" t="s">
        <v>484</v>
      </c>
      <c r="S59" s="268" t="s">
        <v>484</v>
      </c>
      <c r="T59" s="268" t="s">
        <v>484</v>
      </c>
      <c r="U59" s="268" t="s">
        <v>484</v>
      </c>
      <c r="V59" s="268" t="s">
        <v>484</v>
      </c>
      <c r="W59" s="268" t="s">
        <v>484</v>
      </c>
      <c r="X59" s="268" t="s">
        <v>484</v>
      </c>
      <c r="Y59" s="268" t="s">
        <v>484</v>
      </c>
      <c r="Z59" s="268" t="s">
        <v>484</v>
      </c>
      <c r="AA59" s="268" t="s">
        <v>484</v>
      </c>
      <c r="AB59" s="268" t="s">
        <v>484</v>
      </c>
      <c r="AC59" s="268" t="s">
        <v>484</v>
      </c>
      <c r="AD59" s="268" t="s">
        <v>484</v>
      </c>
      <c r="AE59" s="268" t="s">
        <v>484</v>
      </c>
      <c r="AF59" s="268" t="s">
        <v>484</v>
      </c>
    </row>
    <row r="60" spans="1:32" ht="17.45">
      <c r="A60" s="268" t="s">
        <v>484</v>
      </c>
      <c r="B60" s="268" t="s">
        <v>484</v>
      </c>
      <c r="C60" s="268" t="s">
        <v>484</v>
      </c>
      <c r="D60" s="268" t="s">
        <v>484</v>
      </c>
      <c r="E60" s="268" t="s">
        <v>484</v>
      </c>
      <c r="F60" s="268" t="s">
        <v>484</v>
      </c>
      <c r="G60" s="268" t="s">
        <v>484</v>
      </c>
      <c r="H60" s="268" t="s">
        <v>484</v>
      </c>
      <c r="I60" s="268" t="s">
        <v>484</v>
      </c>
      <c r="J60" s="268" t="s">
        <v>484</v>
      </c>
      <c r="K60" s="268" t="s">
        <v>484</v>
      </c>
      <c r="L60" s="268" t="s">
        <v>484</v>
      </c>
      <c r="M60" s="268" t="s">
        <v>484</v>
      </c>
      <c r="N60" s="268" t="s">
        <v>484</v>
      </c>
      <c r="O60" s="268" t="s">
        <v>484</v>
      </c>
      <c r="P60" s="268" t="s">
        <v>484</v>
      </c>
      <c r="Q60" s="268" t="s">
        <v>484</v>
      </c>
      <c r="R60" s="268" t="s">
        <v>484</v>
      </c>
      <c r="S60" s="268" t="s">
        <v>484</v>
      </c>
      <c r="T60" s="268" t="s">
        <v>484</v>
      </c>
      <c r="U60" s="268" t="s">
        <v>484</v>
      </c>
      <c r="V60" s="268" t="s">
        <v>484</v>
      </c>
      <c r="W60" s="268" t="s">
        <v>484</v>
      </c>
      <c r="X60" s="268" t="s">
        <v>484</v>
      </c>
      <c r="Y60" s="268" t="s">
        <v>484</v>
      </c>
      <c r="Z60" s="268" t="s">
        <v>484</v>
      </c>
      <c r="AA60" s="268" t="s">
        <v>484</v>
      </c>
      <c r="AB60" s="268" t="s">
        <v>484</v>
      </c>
      <c r="AC60" s="268" t="s">
        <v>484</v>
      </c>
      <c r="AD60" s="268" t="s">
        <v>484</v>
      </c>
      <c r="AE60" s="268" t="s">
        <v>484</v>
      </c>
      <c r="AF60" s="268" t="s">
        <v>484</v>
      </c>
    </row>
    <row r="61" spans="1:32" ht="17.45">
      <c r="A61" s="268" t="s">
        <v>484</v>
      </c>
      <c r="B61" s="268" t="s">
        <v>484</v>
      </c>
      <c r="C61" s="268" t="s">
        <v>484</v>
      </c>
      <c r="D61" s="268" t="s">
        <v>484</v>
      </c>
      <c r="E61" s="268" t="s">
        <v>484</v>
      </c>
      <c r="F61" s="268" t="s">
        <v>484</v>
      </c>
      <c r="G61" s="268" t="s">
        <v>484</v>
      </c>
      <c r="H61" s="268" t="s">
        <v>484</v>
      </c>
      <c r="I61" s="268" t="s">
        <v>484</v>
      </c>
      <c r="J61" s="268" t="s">
        <v>484</v>
      </c>
      <c r="K61" s="268" t="s">
        <v>484</v>
      </c>
      <c r="L61" s="268" t="s">
        <v>484</v>
      </c>
      <c r="M61" s="268" t="s">
        <v>484</v>
      </c>
      <c r="N61" s="268" t="s">
        <v>484</v>
      </c>
      <c r="O61" s="268" t="s">
        <v>484</v>
      </c>
      <c r="P61" s="268" t="s">
        <v>484</v>
      </c>
      <c r="Q61" s="268" t="s">
        <v>484</v>
      </c>
      <c r="R61" s="268" t="s">
        <v>484</v>
      </c>
      <c r="S61" s="268" t="s">
        <v>484</v>
      </c>
      <c r="T61" s="268" t="s">
        <v>484</v>
      </c>
      <c r="U61" s="268" t="s">
        <v>484</v>
      </c>
      <c r="V61" s="268" t="s">
        <v>484</v>
      </c>
      <c r="W61" s="268" t="s">
        <v>484</v>
      </c>
      <c r="X61" s="268" t="s">
        <v>484</v>
      </c>
      <c r="Y61" s="268" t="s">
        <v>484</v>
      </c>
      <c r="Z61" s="268" t="s">
        <v>484</v>
      </c>
      <c r="AA61" s="268" t="s">
        <v>484</v>
      </c>
      <c r="AB61" s="268" t="s">
        <v>484</v>
      </c>
      <c r="AC61" s="268" t="s">
        <v>484</v>
      </c>
      <c r="AD61" s="268" t="s">
        <v>484</v>
      </c>
      <c r="AE61" s="268" t="s">
        <v>484</v>
      </c>
      <c r="AF61" s="268" t="s">
        <v>484</v>
      </c>
    </row>
    <row r="62" spans="1:32" ht="17.45">
      <c r="A62" s="268" t="s">
        <v>484</v>
      </c>
      <c r="B62" s="268" t="s">
        <v>484</v>
      </c>
      <c r="C62" s="268" t="s">
        <v>484</v>
      </c>
      <c r="D62" s="268" t="s">
        <v>484</v>
      </c>
      <c r="E62" s="268" t="s">
        <v>484</v>
      </c>
      <c r="F62" s="268" t="s">
        <v>484</v>
      </c>
      <c r="G62" s="268" t="s">
        <v>484</v>
      </c>
      <c r="H62" s="268" t="s">
        <v>484</v>
      </c>
      <c r="I62" s="268" t="s">
        <v>484</v>
      </c>
      <c r="J62" s="268" t="s">
        <v>484</v>
      </c>
      <c r="K62" s="268" t="s">
        <v>484</v>
      </c>
      <c r="L62" s="268" t="s">
        <v>484</v>
      </c>
      <c r="M62" s="268" t="s">
        <v>484</v>
      </c>
      <c r="N62" s="268" t="s">
        <v>484</v>
      </c>
      <c r="O62" s="268" t="s">
        <v>484</v>
      </c>
      <c r="P62" s="268" t="s">
        <v>484</v>
      </c>
      <c r="Q62" s="268" t="s">
        <v>484</v>
      </c>
      <c r="R62" s="268" t="s">
        <v>484</v>
      </c>
      <c r="S62" s="268" t="s">
        <v>484</v>
      </c>
      <c r="T62" s="268" t="s">
        <v>484</v>
      </c>
      <c r="U62" s="268" t="s">
        <v>484</v>
      </c>
      <c r="V62" s="268" t="s">
        <v>484</v>
      </c>
      <c r="W62" s="268" t="s">
        <v>484</v>
      </c>
      <c r="X62" s="268" t="s">
        <v>484</v>
      </c>
      <c r="Y62" s="268" t="s">
        <v>484</v>
      </c>
      <c r="Z62" s="268" t="s">
        <v>484</v>
      </c>
      <c r="AA62" s="268" t="s">
        <v>484</v>
      </c>
      <c r="AB62" s="268" t="s">
        <v>484</v>
      </c>
      <c r="AC62" s="268" t="s">
        <v>484</v>
      </c>
      <c r="AD62" s="268" t="s">
        <v>484</v>
      </c>
      <c r="AE62" s="268" t="s">
        <v>484</v>
      </c>
      <c r="AF62" s="268" t="s">
        <v>484</v>
      </c>
    </row>
    <row r="63" spans="1:32" ht="17.45">
      <c r="A63" s="268" t="s">
        <v>484</v>
      </c>
      <c r="B63" s="268" t="s">
        <v>484</v>
      </c>
      <c r="C63" s="268" t="s">
        <v>484</v>
      </c>
      <c r="D63" s="268" t="s">
        <v>484</v>
      </c>
      <c r="E63" s="268" t="s">
        <v>484</v>
      </c>
      <c r="F63" s="268" t="s">
        <v>484</v>
      </c>
      <c r="G63" s="268" t="s">
        <v>484</v>
      </c>
      <c r="H63" s="268" t="s">
        <v>484</v>
      </c>
      <c r="I63" s="268" t="s">
        <v>484</v>
      </c>
      <c r="J63" s="268" t="s">
        <v>484</v>
      </c>
      <c r="K63" s="268" t="s">
        <v>484</v>
      </c>
      <c r="L63" s="268" t="s">
        <v>484</v>
      </c>
      <c r="M63" s="268" t="s">
        <v>484</v>
      </c>
      <c r="N63" s="268" t="s">
        <v>484</v>
      </c>
      <c r="O63" s="268" t="s">
        <v>484</v>
      </c>
      <c r="P63" s="268" t="s">
        <v>484</v>
      </c>
      <c r="Q63" s="268" t="s">
        <v>484</v>
      </c>
      <c r="R63" s="268" t="s">
        <v>484</v>
      </c>
      <c r="S63" s="268" t="s">
        <v>484</v>
      </c>
      <c r="T63" s="268" t="s">
        <v>484</v>
      </c>
      <c r="U63" s="268" t="s">
        <v>484</v>
      </c>
      <c r="V63" s="268" t="s">
        <v>484</v>
      </c>
      <c r="W63" s="268" t="s">
        <v>484</v>
      </c>
      <c r="X63" s="268" t="s">
        <v>484</v>
      </c>
      <c r="Y63" s="268" t="s">
        <v>484</v>
      </c>
      <c r="Z63" s="268" t="s">
        <v>484</v>
      </c>
      <c r="AA63" s="268" t="s">
        <v>484</v>
      </c>
      <c r="AB63" s="268" t="s">
        <v>484</v>
      </c>
      <c r="AC63" s="268" t="s">
        <v>484</v>
      </c>
      <c r="AD63" s="268" t="s">
        <v>484</v>
      </c>
      <c r="AE63" s="268" t="s">
        <v>484</v>
      </c>
      <c r="AF63" s="268" t="s">
        <v>484</v>
      </c>
    </row>
    <row r="64" spans="1:32" ht="17.45">
      <c r="A64" s="268" t="s">
        <v>484</v>
      </c>
      <c r="B64" s="268" t="s">
        <v>484</v>
      </c>
      <c r="C64" s="268" t="s">
        <v>484</v>
      </c>
      <c r="D64" s="268" t="s">
        <v>484</v>
      </c>
      <c r="E64" s="268" t="s">
        <v>484</v>
      </c>
      <c r="F64" s="268" t="s">
        <v>484</v>
      </c>
      <c r="G64" s="268" t="s">
        <v>484</v>
      </c>
      <c r="H64" s="268" t="s">
        <v>484</v>
      </c>
      <c r="I64" s="268" t="s">
        <v>484</v>
      </c>
      <c r="J64" s="268" t="s">
        <v>484</v>
      </c>
      <c r="K64" s="268" t="s">
        <v>484</v>
      </c>
      <c r="L64" s="268" t="s">
        <v>484</v>
      </c>
      <c r="M64" s="268" t="s">
        <v>484</v>
      </c>
      <c r="N64" s="268" t="s">
        <v>484</v>
      </c>
      <c r="O64" s="268" t="s">
        <v>484</v>
      </c>
      <c r="P64" s="268" t="s">
        <v>484</v>
      </c>
      <c r="Q64" s="268" t="s">
        <v>484</v>
      </c>
      <c r="R64" s="268" t="s">
        <v>484</v>
      </c>
      <c r="S64" s="268" t="s">
        <v>484</v>
      </c>
      <c r="T64" s="268" t="s">
        <v>484</v>
      </c>
      <c r="U64" s="268" t="s">
        <v>484</v>
      </c>
      <c r="V64" s="268" t="s">
        <v>484</v>
      </c>
      <c r="W64" s="268" t="s">
        <v>484</v>
      </c>
      <c r="X64" s="268" t="s">
        <v>484</v>
      </c>
      <c r="Y64" s="268" t="s">
        <v>484</v>
      </c>
      <c r="Z64" s="268" t="s">
        <v>484</v>
      </c>
      <c r="AA64" s="268" t="s">
        <v>484</v>
      </c>
      <c r="AB64" s="268" t="s">
        <v>484</v>
      </c>
      <c r="AC64" s="268" t="s">
        <v>484</v>
      </c>
      <c r="AD64" s="268" t="s">
        <v>484</v>
      </c>
      <c r="AE64" s="268" t="s">
        <v>484</v>
      </c>
      <c r="AF64" s="268" t="s">
        <v>484</v>
      </c>
    </row>
    <row r="65" spans="1:32" ht="17.45">
      <c r="A65" s="268" t="s">
        <v>484</v>
      </c>
      <c r="B65" s="268" t="s">
        <v>484</v>
      </c>
      <c r="C65" s="268" t="s">
        <v>484</v>
      </c>
      <c r="D65" s="268" t="s">
        <v>484</v>
      </c>
      <c r="E65" s="268" t="s">
        <v>484</v>
      </c>
      <c r="F65" s="268" t="s">
        <v>484</v>
      </c>
      <c r="G65" s="268" t="s">
        <v>484</v>
      </c>
      <c r="H65" s="268" t="s">
        <v>484</v>
      </c>
      <c r="I65" s="268" t="s">
        <v>484</v>
      </c>
      <c r="J65" s="268" t="s">
        <v>484</v>
      </c>
      <c r="K65" s="268" t="s">
        <v>484</v>
      </c>
      <c r="L65" s="268" t="s">
        <v>484</v>
      </c>
      <c r="M65" s="268" t="s">
        <v>484</v>
      </c>
      <c r="N65" s="268" t="s">
        <v>484</v>
      </c>
      <c r="O65" s="268" t="s">
        <v>484</v>
      </c>
      <c r="P65" s="268" t="s">
        <v>484</v>
      </c>
      <c r="Q65" s="268" t="s">
        <v>484</v>
      </c>
      <c r="R65" s="268" t="s">
        <v>484</v>
      </c>
      <c r="S65" s="268" t="s">
        <v>484</v>
      </c>
      <c r="T65" s="268" t="s">
        <v>484</v>
      </c>
      <c r="U65" s="268" t="s">
        <v>484</v>
      </c>
      <c r="V65" s="268" t="s">
        <v>484</v>
      </c>
      <c r="W65" s="268" t="s">
        <v>484</v>
      </c>
      <c r="X65" s="268" t="s">
        <v>484</v>
      </c>
      <c r="Y65" s="268" t="s">
        <v>484</v>
      </c>
      <c r="Z65" s="268" t="s">
        <v>484</v>
      </c>
      <c r="AA65" s="268" t="s">
        <v>484</v>
      </c>
      <c r="AB65" s="268" t="s">
        <v>484</v>
      </c>
      <c r="AC65" s="268" t="s">
        <v>484</v>
      </c>
      <c r="AD65" s="268" t="s">
        <v>484</v>
      </c>
      <c r="AE65" s="268" t="s">
        <v>484</v>
      </c>
      <c r="AF65" s="268" t="s">
        <v>484</v>
      </c>
    </row>
    <row r="66" spans="1:32" ht="17.45">
      <c r="A66" s="268" t="s">
        <v>484</v>
      </c>
      <c r="B66" s="268" t="s">
        <v>484</v>
      </c>
      <c r="C66" s="268" t="s">
        <v>484</v>
      </c>
      <c r="D66" s="268" t="s">
        <v>484</v>
      </c>
      <c r="E66" s="268" t="s">
        <v>484</v>
      </c>
      <c r="F66" s="268" t="s">
        <v>484</v>
      </c>
      <c r="G66" s="268" t="s">
        <v>484</v>
      </c>
      <c r="H66" s="268" t="s">
        <v>484</v>
      </c>
      <c r="I66" s="268" t="s">
        <v>484</v>
      </c>
      <c r="J66" s="268" t="s">
        <v>484</v>
      </c>
      <c r="K66" s="268" t="s">
        <v>484</v>
      </c>
      <c r="L66" s="268" t="s">
        <v>484</v>
      </c>
      <c r="M66" s="268" t="s">
        <v>484</v>
      </c>
      <c r="N66" s="268" t="s">
        <v>484</v>
      </c>
      <c r="O66" s="268" t="s">
        <v>484</v>
      </c>
      <c r="P66" s="268" t="s">
        <v>484</v>
      </c>
      <c r="Q66" s="268" t="s">
        <v>484</v>
      </c>
      <c r="R66" s="268" t="s">
        <v>484</v>
      </c>
      <c r="S66" s="268" t="s">
        <v>484</v>
      </c>
      <c r="T66" s="268" t="s">
        <v>484</v>
      </c>
      <c r="U66" s="268" t="s">
        <v>484</v>
      </c>
      <c r="V66" s="268" t="s">
        <v>484</v>
      </c>
      <c r="W66" s="268" t="s">
        <v>484</v>
      </c>
      <c r="X66" s="268" t="s">
        <v>484</v>
      </c>
      <c r="Y66" s="268" t="s">
        <v>484</v>
      </c>
      <c r="Z66" s="268" t="s">
        <v>484</v>
      </c>
      <c r="AA66" s="268" t="s">
        <v>484</v>
      </c>
      <c r="AB66" s="268" t="s">
        <v>484</v>
      </c>
      <c r="AC66" s="268" t="s">
        <v>484</v>
      </c>
      <c r="AD66" s="268" t="s">
        <v>484</v>
      </c>
      <c r="AE66" s="268" t="s">
        <v>484</v>
      </c>
      <c r="AF66" s="268" t="s">
        <v>484</v>
      </c>
    </row>
    <row r="67" spans="1:32" ht="17.45">
      <c r="A67" s="268" t="s">
        <v>484</v>
      </c>
      <c r="B67" s="268" t="s">
        <v>484</v>
      </c>
      <c r="C67" s="268" t="s">
        <v>484</v>
      </c>
      <c r="D67" s="268" t="s">
        <v>484</v>
      </c>
      <c r="E67" s="268" t="s">
        <v>484</v>
      </c>
      <c r="F67" s="268" t="s">
        <v>484</v>
      </c>
      <c r="G67" s="268" t="s">
        <v>484</v>
      </c>
      <c r="H67" s="268" t="s">
        <v>484</v>
      </c>
      <c r="I67" s="268" t="s">
        <v>484</v>
      </c>
      <c r="J67" s="268" t="s">
        <v>484</v>
      </c>
      <c r="K67" s="268" t="s">
        <v>484</v>
      </c>
      <c r="L67" s="268" t="s">
        <v>484</v>
      </c>
      <c r="M67" s="268" t="s">
        <v>484</v>
      </c>
      <c r="N67" s="268" t="s">
        <v>484</v>
      </c>
      <c r="O67" s="268" t="s">
        <v>484</v>
      </c>
      <c r="P67" s="268" t="s">
        <v>484</v>
      </c>
      <c r="Q67" s="268" t="s">
        <v>484</v>
      </c>
      <c r="R67" s="268" t="s">
        <v>484</v>
      </c>
      <c r="S67" s="268" t="s">
        <v>484</v>
      </c>
      <c r="T67" s="268" t="s">
        <v>484</v>
      </c>
      <c r="U67" s="268" t="s">
        <v>484</v>
      </c>
      <c r="V67" s="268" t="s">
        <v>484</v>
      </c>
      <c r="W67" s="268" t="s">
        <v>484</v>
      </c>
      <c r="X67" s="268" t="s">
        <v>484</v>
      </c>
      <c r="Y67" s="268" t="s">
        <v>484</v>
      </c>
      <c r="Z67" s="268" t="s">
        <v>484</v>
      </c>
      <c r="AA67" s="268" t="s">
        <v>484</v>
      </c>
      <c r="AB67" s="268" t="s">
        <v>484</v>
      </c>
      <c r="AC67" s="268" t="s">
        <v>484</v>
      </c>
      <c r="AD67" s="268" t="s">
        <v>484</v>
      </c>
      <c r="AE67" s="268" t="s">
        <v>484</v>
      </c>
      <c r="AF67" s="268" t="s">
        <v>484</v>
      </c>
    </row>
    <row r="68" spans="1:32" ht="17.45">
      <c r="A68" s="268" t="s">
        <v>484</v>
      </c>
      <c r="B68" s="268" t="s">
        <v>484</v>
      </c>
      <c r="C68" s="268" t="s">
        <v>484</v>
      </c>
      <c r="D68" s="268" t="s">
        <v>484</v>
      </c>
      <c r="E68" s="268" t="s">
        <v>484</v>
      </c>
      <c r="F68" s="268" t="s">
        <v>484</v>
      </c>
      <c r="G68" s="268" t="s">
        <v>484</v>
      </c>
      <c r="H68" s="268" t="s">
        <v>484</v>
      </c>
      <c r="I68" s="268" t="s">
        <v>484</v>
      </c>
      <c r="J68" s="268" t="s">
        <v>484</v>
      </c>
      <c r="K68" s="268" t="s">
        <v>484</v>
      </c>
      <c r="L68" s="268" t="s">
        <v>484</v>
      </c>
      <c r="M68" s="268" t="s">
        <v>484</v>
      </c>
      <c r="N68" s="268" t="s">
        <v>484</v>
      </c>
      <c r="O68" s="268" t="s">
        <v>484</v>
      </c>
      <c r="P68" s="268" t="s">
        <v>484</v>
      </c>
      <c r="Q68" s="268" t="s">
        <v>484</v>
      </c>
      <c r="R68" s="268" t="s">
        <v>484</v>
      </c>
      <c r="S68" s="268" t="s">
        <v>484</v>
      </c>
      <c r="T68" s="268" t="s">
        <v>484</v>
      </c>
      <c r="U68" s="268" t="s">
        <v>484</v>
      </c>
      <c r="V68" s="268" t="s">
        <v>484</v>
      </c>
      <c r="W68" s="268" t="s">
        <v>484</v>
      </c>
      <c r="X68" s="268" t="s">
        <v>484</v>
      </c>
      <c r="Y68" s="268" t="s">
        <v>484</v>
      </c>
      <c r="Z68" s="268" t="s">
        <v>484</v>
      </c>
      <c r="AA68" s="268" t="s">
        <v>484</v>
      </c>
      <c r="AB68" s="268" t="s">
        <v>484</v>
      </c>
      <c r="AC68" s="268" t="s">
        <v>484</v>
      </c>
      <c r="AD68" s="268" t="s">
        <v>484</v>
      </c>
      <c r="AE68" s="268" t="s">
        <v>484</v>
      </c>
      <c r="AF68" s="268" t="s">
        <v>484</v>
      </c>
    </row>
    <row r="69" spans="1:32" ht="17.45">
      <c r="A69" s="268" t="s">
        <v>484</v>
      </c>
      <c r="B69" s="268" t="s">
        <v>484</v>
      </c>
      <c r="C69" s="268" t="s">
        <v>484</v>
      </c>
      <c r="D69" s="268" t="s">
        <v>484</v>
      </c>
      <c r="E69" s="268" t="s">
        <v>484</v>
      </c>
      <c r="F69" s="268" t="s">
        <v>484</v>
      </c>
      <c r="G69" s="268" t="s">
        <v>484</v>
      </c>
      <c r="H69" s="268" t="s">
        <v>484</v>
      </c>
      <c r="I69" s="268" t="s">
        <v>484</v>
      </c>
      <c r="J69" s="268" t="s">
        <v>484</v>
      </c>
      <c r="K69" s="268" t="s">
        <v>484</v>
      </c>
      <c r="L69" s="268" t="s">
        <v>484</v>
      </c>
      <c r="M69" s="268" t="s">
        <v>484</v>
      </c>
      <c r="N69" s="268" t="s">
        <v>484</v>
      </c>
      <c r="O69" s="268" t="s">
        <v>484</v>
      </c>
      <c r="P69" s="268" t="s">
        <v>484</v>
      </c>
      <c r="Q69" s="268" t="s">
        <v>484</v>
      </c>
      <c r="R69" s="268" t="s">
        <v>484</v>
      </c>
      <c r="S69" s="268" t="s">
        <v>484</v>
      </c>
      <c r="T69" s="268" t="s">
        <v>484</v>
      </c>
      <c r="U69" s="268" t="s">
        <v>484</v>
      </c>
      <c r="V69" s="268" t="s">
        <v>484</v>
      </c>
      <c r="W69" s="268" t="s">
        <v>484</v>
      </c>
      <c r="X69" s="268" t="s">
        <v>484</v>
      </c>
      <c r="Y69" s="268" t="s">
        <v>484</v>
      </c>
      <c r="Z69" s="268" t="s">
        <v>484</v>
      </c>
      <c r="AA69" s="268" t="s">
        <v>484</v>
      </c>
      <c r="AB69" s="268" t="s">
        <v>484</v>
      </c>
      <c r="AC69" s="268" t="s">
        <v>484</v>
      </c>
      <c r="AD69" s="268" t="s">
        <v>484</v>
      </c>
      <c r="AE69" s="268" t="s">
        <v>484</v>
      </c>
      <c r="AF69" s="268" t="s">
        <v>484</v>
      </c>
    </row>
    <row r="70" spans="1:32" ht="17.45">
      <c r="A70" s="268" t="s">
        <v>484</v>
      </c>
      <c r="B70" s="268" t="s">
        <v>484</v>
      </c>
      <c r="C70" s="268" t="s">
        <v>484</v>
      </c>
      <c r="D70" s="268" t="s">
        <v>484</v>
      </c>
      <c r="E70" s="268" t="s">
        <v>484</v>
      </c>
      <c r="F70" s="268" t="s">
        <v>484</v>
      </c>
      <c r="G70" s="268" t="s">
        <v>484</v>
      </c>
      <c r="H70" s="268" t="s">
        <v>484</v>
      </c>
      <c r="I70" s="268" t="s">
        <v>484</v>
      </c>
      <c r="J70" s="268" t="s">
        <v>484</v>
      </c>
      <c r="K70" s="268" t="s">
        <v>484</v>
      </c>
      <c r="L70" s="268" t="s">
        <v>484</v>
      </c>
      <c r="M70" s="268" t="s">
        <v>484</v>
      </c>
      <c r="N70" s="268" t="s">
        <v>484</v>
      </c>
      <c r="O70" s="268" t="s">
        <v>484</v>
      </c>
      <c r="P70" s="268" t="s">
        <v>484</v>
      </c>
      <c r="Q70" s="268" t="s">
        <v>484</v>
      </c>
      <c r="R70" s="268" t="s">
        <v>484</v>
      </c>
      <c r="S70" s="268" t="s">
        <v>484</v>
      </c>
      <c r="T70" s="268" t="s">
        <v>484</v>
      </c>
      <c r="U70" s="268" t="s">
        <v>484</v>
      </c>
      <c r="V70" s="268" t="s">
        <v>484</v>
      </c>
      <c r="W70" s="268" t="s">
        <v>484</v>
      </c>
      <c r="X70" s="268" t="s">
        <v>484</v>
      </c>
      <c r="Y70" s="268" t="s">
        <v>484</v>
      </c>
      <c r="Z70" s="268" t="s">
        <v>484</v>
      </c>
      <c r="AA70" s="268" t="s">
        <v>484</v>
      </c>
      <c r="AB70" s="268" t="s">
        <v>484</v>
      </c>
      <c r="AC70" s="268" t="s">
        <v>484</v>
      </c>
      <c r="AD70" s="268" t="s">
        <v>484</v>
      </c>
      <c r="AE70" s="268" t="s">
        <v>484</v>
      </c>
      <c r="AF70" s="268" t="s">
        <v>484</v>
      </c>
    </row>
    <row r="71" spans="1:32" ht="17.45">
      <c r="A71" s="268" t="s">
        <v>484</v>
      </c>
      <c r="B71" s="268" t="s">
        <v>484</v>
      </c>
      <c r="C71" s="268" t="s">
        <v>484</v>
      </c>
      <c r="D71" s="268" t="s">
        <v>484</v>
      </c>
      <c r="E71" s="268" t="s">
        <v>484</v>
      </c>
      <c r="F71" s="268" t="s">
        <v>484</v>
      </c>
      <c r="G71" s="268" t="s">
        <v>484</v>
      </c>
      <c r="H71" s="268" t="s">
        <v>484</v>
      </c>
      <c r="I71" s="268" t="s">
        <v>484</v>
      </c>
      <c r="J71" s="268" t="s">
        <v>484</v>
      </c>
      <c r="K71" s="268" t="s">
        <v>484</v>
      </c>
      <c r="L71" s="268" t="s">
        <v>484</v>
      </c>
      <c r="M71" s="268" t="s">
        <v>484</v>
      </c>
      <c r="N71" s="268" t="s">
        <v>484</v>
      </c>
      <c r="O71" s="268" t="s">
        <v>484</v>
      </c>
      <c r="P71" s="268" t="s">
        <v>484</v>
      </c>
      <c r="Q71" s="268" t="s">
        <v>484</v>
      </c>
      <c r="R71" s="268" t="s">
        <v>484</v>
      </c>
      <c r="S71" s="268" t="s">
        <v>484</v>
      </c>
      <c r="T71" s="268" t="s">
        <v>484</v>
      </c>
      <c r="U71" s="268" t="s">
        <v>484</v>
      </c>
      <c r="V71" s="268" t="s">
        <v>484</v>
      </c>
      <c r="W71" s="268" t="s">
        <v>484</v>
      </c>
      <c r="X71" s="268" t="s">
        <v>484</v>
      </c>
      <c r="Y71" s="268" t="s">
        <v>484</v>
      </c>
      <c r="Z71" s="268" t="s">
        <v>484</v>
      </c>
      <c r="AA71" s="268" t="s">
        <v>484</v>
      </c>
      <c r="AB71" s="268" t="s">
        <v>484</v>
      </c>
      <c r="AC71" s="268" t="s">
        <v>484</v>
      </c>
      <c r="AD71" s="268" t="s">
        <v>484</v>
      </c>
      <c r="AE71" s="268" t="s">
        <v>484</v>
      </c>
      <c r="AF71" s="268" t="s">
        <v>484</v>
      </c>
    </row>
    <row r="72" spans="1:32" ht="17.45">
      <c r="A72" s="268" t="s">
        <v>484</v>
      </c>
      <c r="B72" s="268" t="s">
        <v>484</v>
      </c>
      <c r="C72" s="268" t="s">
        <v>484</v>
      </c>
      <c r="D72" s="268" t="s">
        <v>484</v>
      </c>
      <c r="E72" s="268" t="s">
        <v>484</v>
      </c>
      <c r="F72" s="268" t="s">
        <v>484</v>
      </c>
      <c r="G72" s="268" t="s">
        <v>484</v>
      </c>
      <c r="H72" s="268" t="s">
        <v>484</v>
      </c>
      <c r="I72" s="268" t="s">
        <v>484</v>
      </c>
      <c r="J72" s="268" t="s">
        <v>484</v>
      </c>
      <c r="K72" s="268" t="s">
        <v>484</v>
      </c>
      <c r="L72" s="268" t="s">
        <v>484</v>
      </c>
      <c r="M72" s="268" t="s">
        <v>484</v>
      </c>
      <c r="N72" s="268" t="s">
        <v>484</v>
      </c>
      <c r="O72" s="268" t="s">
        <v>484</v>
      </c>
      <c r="P72" s="268" t="s">
        <v>484</v>
      </c>
      <c r="Q72" s="268" t="s">
        <v>484</v>
      </c>
      <c r="R72" s="268" t="s">
        <v>484</v>
      </c>
      <c r="S72" s="268" t="s">
        <v>484</v>
      </c>
      <c r="T72" s="268" t="s">
        <v>484</v>
      </c>
      <c r="U72" s="268" t="s">
        <v>484</v>
      </c>
      <c r="V72" s="268" t="s">
        <v>484</v>
      </c>
      <c r="W72" s="268" t="s">
        <v>484</v>
      </c>
      <c r="X72" s="268" t="s">
        <v>484</v>
      </c>
      <c r="Y72" s="268" t="s">
        <v>484</v>
      </c>
      <c r="Z72" s="268" t="s">
        <v>484</v>
      </c>
      <c r="AA72" s="268" t="s">
        <v>484</v>
      </c>
      <c r="AB72" s="268" t="s">
        <v>484</v>
      </c>
      <c r="AC72" s="268" t="s">
        <v>484</v>
      </c>
      <c r="AD72" s="268" t="s">
        <v>484</v>
      </c>
      <c r="AE72" s="268" t="s">
        <v>484</v>
      </c>
      <c r="AF72" s="268" t="s">
        <v>484</v>
      </c>
    </row>
    <row r="73" spans="1:32" ht="17.45">
      <c r="A73" s="268" t="s">
        <v>484</v>
      </c>
      <c r="B73" s="268" t="s">
        <v>484</v>
      </c>
      <c r="C73" s="268" t="s">
        <v>484</v>
      </c>
      <c r="D73" s="268" t="s">
        <v>484</v>
      </c>
      <c r="E73" s="268" t="s">
        <v>484</v>
      </c>
      <c r="F73" s="268" t="s">
        <v>484</v>
      </c>
      <c r="G73" s="268" t="s">
        <v>484</v>
      </c>
      <c r="H73" s="268" t="s">
        <v>484</v>
      </c>
      <c r="I73" s="268" t="s">
        <v>484</v>
      </c>
      <c r="J73" s="268" t="s">
        <v>484</v>
      </c>
      <c r="K73" s="268" t="s">
        <v>484</v>
      </c>
      <c r="L73" s="268" t="s">
        <v>484</v>
      </c>
      <c r="M73" s="268" t="s">
        <v>484</v>
      </c>
      <c r="N73" s="268" t="s">
        <v>484</v>
      </c>
      <c r="O73" s="268" t="s">
        <v>484</v>
      </c>
      <c r="P73" s="268" t="s">
        <v>484</v>
      </c>
      <c r="Q73" s="268" t="s">
        <v>484</v>
      </c>
      <c r="R73" s="268" t="s">
        <v>484</v>
      </c>
      <c r="S73" s="268" t="s">
        <v>484</v>
      </c>
      <c r="T73" s="268" t="s">
        <v>484</v>
      </c>
      <c r="U73" s="268" t="s">
        <v>484</v>
      </c>
      <c r="V73" s="268" t="s">
        <v>484</v>
      </c>
      <c r="W73" s="268" t="s">
        <v>484</v>
      </c>
      <c r="X73" s="268" t="s">
        <v>484</v>
      </c>
      <c r="Y73" s="268" t="s">
        <v>484</v>
      </c>
      <c r="Z73" s="268" t="s">
        <v>484</v>
      </c>
      <c r="AA73" s="268" t="s">
        <v>484</v>
      </c>
      <c r="AB73" s="268" t="s">
        <v>484</v>
      </c>
      <c r="AC73" s="268" t="s">
        <v>484</v>
      </c>
      <c r="AD73" s="268" t="s">
        <v>484</v>
      </c>
      <c r="AE73" s="268" t="s">
        <v>484</v>
      </c>
      <c r="AF73" s="268" t="s">
        <v>484</v>
      </c>
    </row>
    <row r="74" spans="1:32" ht="17.45">
      <c r="A74" s="268" t="s">
        <v>484</v>
      </c>
      <c r="B74" s="268" t="s">
        <v>484</v>
      </c>
      <c r="C74" s="268" t="s">
        <v>484</v>
      </c>
      <c r="D74" s="268" t="s">
        <v>484</v>
      </c>
      <c r="E74" s="268" t="s">
        <v>484</v>
      </c>
      <c r="F74" s="268" t="s">
        <v>484</v>
      </c>
      <c r="G74" s="268" t="s">
        <v>484</v>
      </c>
      <c r="H74" s="268" t="s">
        <v>484</v>
      </c>
      <c r="I74" s="268" t="s">
        <v>484</v>
      </c>
      <c r="J74" s="268" t="s">
        <v>484</v>
      </c>
      <c r="K74" s="268" t="s">
        <v>484</v>
      </c>
      <c r="L74" s="268" t="s">
        <v>484</v>
      </c>
      <c r="M74" s="268" t="s">
        <v>484</v>
      </c>
      <c r="N74" s="268" t="s">
        <v>484</v>
      </c>
      <c r="O74" s="268" t="s">
        <v>484</v>
      </c>
      <c r="P74" s="268" t="s">
        <v>484</v>
      </c>
      <c r="Q74" s="268" t="s">
        <v>484</v>
      </c>
      <c r="R74" s="268" t="s">
        <v>484</v>
      </c>
      <c r="S74" s="268" t="s">
        <v>484</v>
      </c>
      <c r="T74" s="268" t="s">
        <v>484</v>
      </c>
      <c r="U74" s="268" t="s">
        <v>484</v>
      </c>
      <c r="V74" s="268" t="s">
        <v>484</v>
      </c>
      <c r="W74" s="268" t="s">
        <v>484</v>
      </c>
      <c r="X74" s="268" t="s">
        <v>484</v>
      </c>
      <c r="Y74" s="268" t="s">
        <v>484</v>
      </c>
      <c r="Z74" s="268" t="s">
        <v>484</v>
      </c>
      <c r="AA74" s="268" t="s">
        <v>484</v>
      </c>
      <c r="AB74" s="268" t="s">
        <v>484</v>
      </c>
      <c r="AC74" s="268" t="s">
        <v>484</v>
      </c>
      <c r="AD74" s="268" t="s">
        <v>484</v>
      </c>
      <c r="AE74" s="268" t="s">
        <v>484</v>
      </c>
      <c r="AF74" s="268" t="s">
        <v>484</v>
      </c>
    </row>
    <row r="75" spans="1:32" ht="17.45">
      <c r="A75" s="268" t="s">
        <v>484</v>
      </c>
      <c r="B75" s="268" t="s">
        <v>484</v>
      </c>
      <c r="C75" s="268" t="s">
        <v>484</v>
      </c>
      <c r="D75" s="268" t="s">
        <v>484</v>
      </c>
      <c r="E75" s="268" t="s">
        <v>484</v>
      </c>
      <c r="F75" s="268" t="s">
        <v>484</v>
      </c>
      <c r="G75" s="268" t="s">
        <v>484</v>
      </c>
      <c r="H75" s="268" t="s">
        <v>484</v>
      </c>
      <c r="I75" s="268" t="s">
        <v>484</v>
      </c>
      <c r="J75" s="268" t="s">
        <v>484</v>
      </c>
      <c r="K75" s="268" t="s">
        <v>484</v>
      </c>
      <c r="L75" s="268" t="s">
        <v>484</v>
      </c>
      <c r="M75" s="268" t="s">
        <v>484</v>
      </c>
      <c r="N75" s="268" t="s">
        <v>484</v>
      </c>
      <c r="O75" s="268" t="s">
        <v>484</v>
      </c>
      <c r="P75" s="268" t="s">
        <v>484</v>
      </c>
      <c r="Q75" s="268" t="s">
        <v>484</v>
      </c>
      <c r="R75" s="268" t="s">
        <v>484</v>
      </c>
      <c r="S75" s="268" t="s">
        <v>484</v>
      </c>
      <c r="T75" s="268" t="s">
        <v>484</v>
      </c>
      <c r="U75" s="268" t="s">
        <v>484</v>
      </c>
      <c r="V75" s="268" t="s">
        <v>484</v>
      </c>
      <c r="W75" s="268" t="s">
        <v>484</v>
      </c>
      <c r="X75" s="268" t="s">
        <v>484</v>
      </c>
      <c r="Y75" s="268" t="s">
        <v>484</v>
      </c>
      <c r="Z75" s="268" t="s">
        <v>484</v>
      </c>
      <c r="AA75" s="268" t="s">
        <v>484</v>
      </c>
      <c r="AB75" s="268" t="s">
        <v>484</v>
      </c>
      <c r="AC75" s="268" t="s">
        <v>484</v>
      </c>
      <c r="AD75" s="268" t="s">
        <v>484</v>
      </c>
      <c r="AE75" s="268" t="s">
        <v>484</v>
      </c>
      <c r="AF75" s="268" t="s">
        <v>484</v>
      </c>
    </row>
    <row r="76" spans="1:32" ht="17.45">
      <c r="A76" s="268" t="s">
        <v>484</v>
      </c>
      <c r="B76" s="268" t="s">
        <v>484</v>
      </c>
      <c r="C76" s="268" t="s">
        <v>484</v>
      </c>
      <c r="D76" s="268" t="s">
        <v>484</v>
      </c>
      <c r="E76" s="268" t="s">
        <v>484</v>
      </c>
      <c r="F76" s="268" t="s">
        <v>484</v>
      </c>
      <c r="G76" s="268" t="s">
        <v>484</v>
      </c>
      <c r="H76" s="268" t="s">
        <v>484</v>
      </c>
      <c r="I76" s="268" t="s">
        <v>484</v>
      </c>
      <c r="J76" s="268" t="s">
        <v>484</v>
      </c>
      <c r="K76" s="268" t="s">
        <v>484</v>
      </c>
      <c r="L76" s="268" t="s">
        <v>484</v>
      </c>
      <c r="M76" s="268" t="s">
        <v>484</v>
      </c>
      <c r="N76" s="268" t="s">
        <v>484</v>
      </c>
      <c r="O76" s="268" t="s">
        <v>484</v>
      </c>
      <c r="P76" s="268" t="s">
        <v>484</v>
      </c>
      <c r="Q76" s="268" t="s">
        <v>484</v>
      </c>
      <c r="R76" s="268" t="s">
        <v>484</v>
      </c>
      <c r="S76" s="268" t="s">
        <v>484</v>
      </c>
      <c r="T76" s="268" t="s">
        <v>484</v>
      </c>
      <c r="U76" s="268" t="s">
        <v>484</v>
      </c>
      <c r="V76" s="268" t="s">
        <v>484</v>
      </c>
      <c r="W76" s="268" t="s">
        <v>484</v>
      </c>
      <c r="X76" s="268" t="s">
        <v>484</v>
      </c>
      <c r="Y76" s="268" t="s">
        <v>484</v>
      </c>
      <c r="Z76" s="268" t="s">
        <v>484</v>
      </c>
      <c r="AA76" s="268" t="s">
        <v>484</v>
      </c>
      <c r="AB76" s="268" t="s">
        <v>484</v>
      </c>
      <c r="AC76" s="268" t="s">
        <v>484</v>
      </c>
      <c r="AD76" s="268" t="s">
        <v>484</v>
      </c>
      <c r="AE76" s="268" t="s">
        <v>484</v>
      </c>
      <c r="AF76" s="268" t="s">
        <v>484</v>
      </c>
    </row>
    <row r="77" spans="1:32" ht="17.45">
      <c r="A77" s="268" t="s">
        <v>484</v>
      </c>
      <c r="B77" s="268" t="s">
        <v>484</v>
      </c>
      <c r="C77" s="268" t="s">
        <v>484</v>
      </c>
      <c r="D77" s="268" t="s">
        <v>484</v>
      </c>
      <c r="E77" s="268" t="s">
        <v>484</v>
      </c>
      <c r="F77" s="268" t="s">
        <v>484</v>
      </c>
      <c r="G77" s="268" t="s">
        <v>484</v>
      </c>
      <c r="H77" s="268" t="s">
        <v>484</v>
      </c>
      <c r="I77" s="268" t="s">
        <v>484</v>
      </c>
      <c r="J77" s="268" t="s">
        <v>484</v>
      </c>
      <c r="K77" s="268" t="s">
        <v>484</v>
      </c>
      <c r="L77" s="268" t="s">
        <v>484</v>
      </c>
      <c r="M77" s="268" t="s">
        <v>484</v>
      </c>
      <c r="N77" s="268" t="s">
        <v>484</v>
      </c>
      <c r="O77" s="268" t="s">
        <v>484</v>
      </c>
      <c r="P77" s="268" t="s">
        <v>484</v>
      </c>
      <c r="Q77" s="268" t="s">
        <v>484</v>
      </c>
      <c r="R77" s="268" t="s">
        <v>484</v>
      </c>
      <c r="S77" s="268" t="s">
        <v>484</v>
      </c>
      <c r="T77" s="268" t="s">
        <v>484</v>
      </c>
      <c r="U77" s="268" t="s">
        <v>484</v>
      </c>
      <c r="V77" s="268" t="s">
        <v>484</v>
      </c>
      <c r="W77" s="268" t="s">
        <v>484</v>
      </c>
      <c r="X77" s="268" t="s">
        <v>484</v>
      </c>
      <c r="Y77" s="268" t="s">
        <v>484</v>
      </c>
      <c r="Z77" s="268" t="s">
        <v>484</v>
      </c>
      <c r="AA77" s="268" t="s">
        <v>484</v>
      </c>
      <c r="AB77" s="268" t="s">
        <v>484</v>
      </c>
      <c r="AC77" s="268" t="s">
        <v>484</v>
      </c>
      <c r="AD77" s="268" t="s">
        <v>484</v>
      </c>
      <c r="AE77" s="268" t="s">
        <v>484</v>
      </c>
      <c r="AF77" s="268" t="s">
        <v>484</v>
      </c>
    </row>
    <row r="78" spans="1:32" ht="17.45">
      <c r="A78" s="268" t="s">
        <v>484</v>
      </c>
      <c r="B78" s="268" t="s">
        <v>484</v>
      </c>
      <c r="C78" s="268" t="s">
        <v>484</v>
      </c>
      <c r="D78" s="268" t="s">
        <v>484</v>
      </c>
      <c r="E78" s="268" t="s">
        <v>484</v>
      </c>
      <c r="F78" s="268" t="s">
        <v>484</v>
      </c>
      <c r="G78" s="268" t="s">
        <v>484</v>
      </c>
      <c r="H78" s="268" t="s">
        <v>484</v>
      </c>
      <c r="I78" s="268" t="s">
        <v>484</v>
      </c>
      <c r="J78" s="268" t="s">
        <v>484</v>
      </c>
      <c r="K78" s="268" t="s">
        <v>484</v>
      </c>
      <c r="L78" s="268" t="s">
        <v>484</v>
      </c>
      <c r="M78" s="268" t="s">
        <v>484</v>
      </c>
      <c r="N78" s="268" t="s">
        <v>484</v>
      </c>
      <c r="O78" s="268" t="s">
        <v>484</v>
      </c>
      <c r="P78" s="268" t="s">
        <v>484</v>
      </c>
      <c r="Q78" s="268" t="s">
        <v>484</v>
      </c>
      <c r="R78" s="268" t="s">
        <v>484</v>
      </c>
      <c r="S78" s="268" t="s">
        <v>484</v>
      </c>
      <c r="T78" s="268" t="s">
        <v>484</v>
      </c>
      <c r="U78" s="268" t="s">
        <v>484</v>
      </c>
      <c r="V78" s="268" t="s">
        <v>484</v>
      </c>
      <c r="W78" s="268" t="s">
        <v>484</v>
      </c>
      <c r="X78" s="268" t="s">
        <v>484</v>
      </c>
      <c r="Y78" s="268" t="s">
        <v>484</v>
      </c>
      <c r="Z78" s="268" t="s">
        <v>484</v>
      </c>
      <c r="AA78" s="268" t="s">
        <v>484</v>
      </c>
      <c r="AB78" s="268" t="s">
        <v>484</v>
      </c>
      <c r="AC78" s="268" t="s">
        <v>484</v>
      </c>
      <c r="AD78" s="268" t="s">
        <v>484</v>
      </c>
      <c r="AE78" s="268" t="s">
        <v>484</v>
      </c>
      <c r="AF78" s="268" t="s">
        <v>484</v>
      </c>
    </row>
    <row r="79" spans="1:32" ht="17.45">
      <c r="A79" s="268" t="s">
        <v>484</v>
      </c>
      <c r="B79" s="268" t="s">
        <v>484</v>
      </c>
      <c r="C79" s="268" t="s">
        <v>484</v>
      </c>
      <c r="D79" s="268" t="s">
        <v>484</v>
      </c>
      <c r="E79" s="268" t="s">
        <v>484</v>
      </c>
      <c r="F79" s="268" t="s">
        <v>484</v>
      </c>
      <c r="G79" s="268" t="s">
        <v>484</v>
      </c>
      <c r="H79" s="268" t="s">
        <v>484</v>
      </c>
      <c r="I79" s="268" t="s">
        <v>484</v>
      </c>
      <c r="J79" s="268" t="s">
        <v>484</v>
      </c>
      <c r="K79" s="268" t="s">
        <v>484</v>
      </c>
      <c r="L79" s="268" t="s">
        <v>484</v>
      </c>
      <c r="M79" s="268" t="s">
        <v>484</v>
      </c>
      <c r="N79" s="268" t="s">
        <v>484</v>
      </c>
      <c r="O79" s="268" t="s">
        <v>484</v>
      </c>
      <c r="P79" s="268" t="s">
        <v>484</v>
      </c>
      <c r="Q79" s="268" t="s">
        <v>484</v>
      </c>
      <c r="R79" s="268" t="s">
        <v>484</v>
      </c>
      <c r="S79" s="268" t="s">
        <v>484</v>
      </c>
      <c r="T79" s="268" t="s">
        <v>484</v>
      </c>
      <c r="U79" s="268" t="s">
        <v>484</v>
      </c>
      <c r="V79" s="268" t="s">
        <v>484</v>
      </c>
      <c r="W79" s="268" t="s">
        <v>484</v>
      </c>
      <c r="X79" s="268" t="s">
        <v>484</v>
      </c>
      <c r="Y79" s="268" t="s">
        <v>484</v>
      </c>
      <c r="Z79" s="268" t="s">
        <v>484</v>
      </c>
      <c r="AA79" s="268" t="s">
        <v>484</v>
      </c>
      <c r="AB79" s="268" t="s">
        <v>484</v>
      </c>
      <c r="AC79" s="268" t="s">
        <v>484</v>
      </c>
      <c r="AD79" s="268" t="s">
        <v>484</v>
      </c>
      <c r="AE79" s="268" t="s">
        <v>484</v>
      </c>
      <c r="AF79" s="268" t="s">
        <v>484</v>
      </c>
    </row>
    <row r="80" spans="1:32" ht="17.45">
      <c r="A80" s="268" t="s">
        <v>484</v>
      </c>
      <c r="B80" s="268" t="s">
        <v>484</v>
      </c>
      <c r="C80" s="268" t="s">
        <v>484</v>
      </c>
      <c r="D80" s="268" t="s">
        <v>484</v>
      </c>
      <c r="E80" s="268" t="s">
        <v>484</v>
      </c>
      <c r="F80" s="268" t="s">
        <v>484</v>
      </c>
      <c r="G80" s="268" t="s">
        <v>484</v>
      </c>
      <c r="H80" s="268" t="s">
        <v>484</v>
      </c>
      <c r="I80" s="268" t="s">
        <v>484</v>
      </c>
      <c r="J80" s="268" t="s">
        <v>484</v>
      </c>
      <c r="K80" s="268" t="s">
        <v>484</v>
      </c>
      <c r="L80" s="268" t="s">
        <v>484</v>
      </c>
      <c r="M80" s="268" t="s">
        <v>484</v>
      </c>
      <c r="N80" s="268" t="s">
        <v>484</v>
      </c>
      <c r="O80" s="268" t="s">
        <v>484</v>
      </c>
      <c r="P80" s="268" t="s">
        <v>484</v>
      </c>
      <c r="Q80" s="268" t="s">
        <v>484</v>
      </c>
      <c r="R80" s="268" t="s">
        <v>484</v>
      </c>
      <c r="S80" s="268" t="s">
        <v>484</v>
      </c>
      <c r="T80" s="268" t="s">
        <v>484</v>
      </c>
      <c r="U80" s="268" t="s">
        <v>484</v>
      </c>
      <c r="V80" s="268" t="s">
        <v>484</v>
      </c>
      <c r="W80" s="268" t="s">
        <v>484</v>
      </c>
      <c r="X80" s="268" t="s">
        <v>484</v>
      </c>
      <c r="Y80" s="268" t="s">
        <v>484</v>
      </c>
      <c r="Z80" s="268" t="s">
        <v>484</v>
      </c>
      <c r="AA80" s="268" t="s">
        <v>484</v>
      </c>
      <c r="AB80" s="268" t="s">
        <v>484</v>
      </c>
      <c r="AC80" s="268" t="s">
        <v>484</v>
      </c>
      <c r="AD80" s="268" t="s">
        <v>484</v>
      </c>
      <c r="AE80" s="268" t="s">
        <v>484</v>
      </c>
      <c r="AF80" s="268" t="s">
        <v>484</v>
      </c>
    </row>
    <row r="81" spans="1:32" ht="17.45">
      <c r="A81" s="268" t="s">
        <v>484</v>
      </c>
      <c r="B81" s="268" t="s">
        <v>484</v>
      </c>
      <c r="C81" s="268" t="s">
        <v>484</v>
      </c>
      <c r="D81" s="268" t="s">
        <v>484</v>
      </c>
      <c r="E81" s="268" t="s">
        <v>484</v>
      </c>
      <c r="F81" s="268" t="s">
        <v>484</v>
      </c>
      <c r="G81" s="268" t="s">
        <v>484</v>
      </c>
      <c r="H81" s="268" t="s">
        <v>484</v>
      </c>
      <c r="I81" s="268" t="s">
        <v>484</v>
      </c>
      <c r="J81" s="268" t="s">
        <v>484</v>
      </c>
      <c r="K81" s="268" t="s">
        <v>484</v>
      </c>
      <c r="L81" s="268" t="s">
        <v>484</v>
      </c>
      <c r="M81" s="268" t="s">
        <v>484</v>
      </c>
      <c r="N81" s="268" t="s">
        <v>484</v>
      </c>
      <c r="O81" s="268" t="s">
        <v>484</v>
      </c>
      <c r="P81" s="268" t="s">
        <v>484</v>
      </c>
      <c r="Q81" s="268" t="s">
        <v>484</v>
      </c>
      <c r="R81" s="268" t="s">
        <v>484</v>
      </c>
      <c r="S81" s="268" t="s">
        <v>484</v>
      </c>
      <c r="T81" s="268" t="s">
        <v>484</v>
      </c>
      <c r="U81" s="268" t="s">
        <v>484</v>
      </c>
      <c r="V81" s="268" t="s">
        <v>484</v>
      </c>
      <c r="W81" s="268" t="s">
        <v>484</v>
      </c>
      <c r="X81" s="268" t="s">
        <v>484</v>
      </c>
      <c r="Y81" s="268" t="s">
        <v>484</v>
      </c>
      <c r="Z81" s="268" t="s">
        <v>484</v>
      </c>
      <c r="AA81" s="268" t="s">
        <v>484</v>
      </c>
      <c r="AB81" s="268" t="s">
        <v>484</v>
      </c>
      <c r="AC81" s="268" t="s">
        <v>484</v>
      </c>
      <c r="AD81" s="268" t="s">
        <v>484</v>
      </c>
      <c r="AE81" s="268" t="s">
        <v>484</v>
      </c>
      <c r="AF81" s="268" t="s">
        <v>484</v>
      </c>
    </row>
    <row r="82" spans="1:32" ht="17.45">
      <c r="A82" s="268" t="s">
        <v>484</v>
      </c>
      <c r="B82" s="268" t="s">
        <v>484</v>
      </c>
      <c r="C82" s="268" t="s">
        <v>484</v>
      </c>
      <c r="D82" s="268" t="s">
        <v>484</v>
      </c>
      <c r="E82" s="268" t="s">
        <v>484</v>
      </c>
      <c r="F82" s="268" t="s">
        <v>484</v>
      </c>
      <c r="G82" s="268" t="s">
        <v>484</v>
      </c>
      <c r="H82" s="268" t="s">
        <v>484</v>
      </c>
      <c r="I82" s="268" t="s">
        <v>484</v>
      </c>
      <c r="J82" s="268" t="s">
        <v>484</v>
      </c>
      <c r="K82" s="268" t="s">
        <v>484</v>
      </c>
      <c r="L82" s="268" t="s">
        <v>484</v>
      </c>
      <c r="M82" s="268" t="s">
        <v>484</v>
      </c>
      <c r="N82" s="268" t="s">
        <v>484</v>
      </c>
      <c r="O82" s="268" t="s">
        <v>484</v>
      </c>
      <c r="P82" s="268" t="s">
        <v>484</v>
      </c>
      <c r="Q82" s="268" t="s">
        <v>484</v>
      </c>
      <c r="R82" s="268" t="s">
        <v>484</v>
      </c>
      <c r="S82" s="268" t="s">
        <v>484</v>
      </c>
      <c r="T82" s="268" t="s">
        <v>484</v>
      </c>
      <c r="U82" s="268" t="s">
        <v>484</v>
      </c>
      <c r="V82" s="268" t="s">
        <v>484</v>
      </c>
      <c r="W82" s="268" t="s">
        <v>484</v>
      </c>
      <c r="X82" s="268" t="s">
        <v>484</v>
      </c>
      <c r="Y82" s="268" t="s">
        <v>484</v>
      </c>
      <c r="Z82" s="268" t="s">
        <v>484</v>
      </c>
      <c r="AA82" s="268" t="s">
        <v>484</v>
      </c>
      <c r="AB82" s="268" t="s">
        <v>484</v>
      </c>
      <c r="AC82" s="268" t="s">
        <v>484</v>
      </c>
      <c r="AD82" s="268" t="s">
        <v>484</v>
      </c>
      <c r="AE82" s="268" t="s">
        <v>484</v>
      </c>
      <c r="AF82" s="268" t="s">
        <v>484</v>
      </c>
    </row>
    <row r="83" spans="1:32" ht="17.45">
      <c r="A83" s="268" t="s">
        <v>484</v>
      </c>
      <c r="B83" s="268" t="s">
        <v>484</v>
      </c>
      <c r="C83" s="268" t="s">
        <v>484</v>
      </c>
      <c r="D83" s="268" t="s">
        <v>484</v>
      </c>
      <c r="E83" s="268" t="s">
        <v>484</v>
      </c>
      <c r="F83" s="268" t="s">
        <v>484</v>
      </c>
      <c r="G83" s="268" t="s">
        <v>484</v>
      </c>
      <c r="H83" s="268" t="s">
        <v>484</v>
      </c>
      <c r="I83" s="268" t="s">
        <v>484</v>
      </c>
      <c r="J83" s="268" t="s">
        <v>484</v>
      </c>
      <c r="K83" s="268" t="s">
        <v>484</v>
      </c>
      <c r="L83" s="268" t="s">
        <v>484</v>
      </c>
      <c r="M83" s="268" t="s">
        <v>484</v>
      </c>
      <c r="N83" s="268" t="s">
        <v>484</v>
      </c>
      <c r="O83" s="268" t="s">
        <v>484</v>
      </c>
      <c r="P83" s="268" t="s">
        <v>484</v>
      </c>
      <c r="Q83" s="268" t="s">
        <v>484</v>
      </c>
      <c r="R83" s="268" t="s">
        <v>484</v>
      </c>
      <c r="S83" s="268" t="s">
        <v>484</v>
      </c>
      <c r="T83" s="268" t="s">
        <v>484</v>
      </c>
      <c r="U83" s="268" t="s">
        <v>484</v>
      </c>
      <c r="V83" s="268" t="s">
        <v>484</v>
      </c>
      <c r="W83" s="268" t="s">
        <v>484</v>
      </c>
      <c r="X83" s="268" t="s">
        <v>484</v>
      </c>
      <c r="Y83" s="268" t="s">
        <v>484</v>
      </c>
      <c r="Z83" s="268" t="s">
        <v>484</v>
      </c>
      <c r="AA83" s="268" t="s">
        <v>484</v>
      </c>
      <c r="AB83" s="268" t="s">
        <v>484</v>
      </c>
      <c r="AC83" s="268" t="s">
        <v>484</v>
      </c>
      <c r="AD83" s="268" t="s">
        <v>484</v>
      </c>
      <c r="AE83" s="268" t="s">
        <v>484</v>
      </c>
      <c r="AF83" s="268" t="s">
        <v>484</v>
      </c>
    </row>
    <row r="84" spans="1:32" ht="17.45">
      <c r="A84" s="268" t="s">
        <v>484</v>
      </c>
      <c r="B84" s="268" t="s">
        <v>484</v>
      </c>
      <c r="C84" s="268" t="s">
        <v>484</v>
      </c>
      <c r="D84" s="268" t="s">
        <v>484</v>
      </c>
      <c r="E84" s="268" t="s">
        <v>484</v>
      </c>
      <c r="F84" s="268" t="s">
        <v>484</v>
      </c>
      <c r="G84" s="268" t="s">
        <v>484</v>
      </c>
      <c r="H84" s="268" t="s">
        <v>484</v>
      </c>
      <c r="I84" s="268" t="s">
        <v>484</v>
      </c>
      <c r="J84" s="268" t="s">
        <v>484</v>
      </c>
      <c r="K84" s="268" t="s">
        <v>484</v>
      </c>
      <c r="L84" s="268" t="s">
        <v>484</v>
      </c>
      <c r="M84" s="268" t="s">
        <v>484</v>
      </c>
      <c r="N84" s="268" t="s">
        <v>484</v>
      </c>
      <c r="O84" s="268" t="s">
        <v>484</v>
      </c>
      <c r="P84" s="268" t="s">
        <v>484</v>
      </c>
      <c r="Q84" s="268" t="s">
        <v>484</v>
      </c>
      <c r="R84" s="268" t="s">
        <v>484</v>
      </c>
      <c r="S84" s="268" t="s">
        <v>484</v>
      </c>
      <c r="T84" s="268" t="s">
        <v>484</v>
      </c>
      <c r="U84" s="268" t="s">
        <v>484</v>
      </c>
      <c r="V84" s="268" t="s">
        <v>484</v>
      </c>
      <c r="W84" s="268" t="s">
        <v>484</v>
      </c>
      <c r="X84" s="268" t="s">
        <v>484</v>
      </c>
      <c r="Y84" s="268" t="s">
        <v>484</v>
      </c>
      <c r="Z84" s="268" t="s">
        <v>484</v>
      </c>
      <c r="AA84" s="268" t="s">
        <v>484</v>
      </c>
      <c r="AB84" s="268" t="s">
        <v>484</v>
      </c>
      <c r="AC84" s="268" t="s">
        <v>484</v>
      </c>
      <c r="AD84" s="268" t="s">
        <v>484</v>
      </c>
      <c r="AE84" s="268" t="s">
        <v>484</v>
      </c>
      <c r="AF84" s="268" t="s">
        <v>484</v>
      </c>
    </row>
    <row r="85" spans="1:32" ht="17.45">
      <c r="A85" s="268" t="s">
        <v>484</v>
      </c>
      <c r="B85" s="268" t="s">
        <v>484</v>
      </c>
      <c r="C85" s="268" t="s">
        <v>484</v>
      </c>
      <c r="D85" s="268" t="s">
        <v>484</v>
      </c>
      <c r="E85" s="268" t="s">
        <v>484</v>
      </c>
      <c r="F85" s="268" t="s">
        <v>484</v>
      </c>
      <c r="G85" s="268" t="s">
        <v>484</v>
      </c>
      <c r="H85" s="268" t="s">
        <v>484</v>
      </c>
      <c r="I85" s="268" t="s">
        <v>484</v>
      </c>
      <c r="J85" s="268" t="s">
        <v>484</v>
      </c>
      <c r="K85" s="268" t="s">
        <v>484</v>
      </c>
      <c r="L85" s="268" t="s">
        <v>484</v>
      </c>
      <c r="M85" s="268" t="s">
        <v>484</v>
      </c>
      <c r="N85" s="268" t="s">
        <v>484</v>
      </c>
      <c r="O85" s="268" t="s">
        <v>484</v>
      </c>
      <c r="P85" s="268" t="s">
        <v>484</v>
      </c>
      <c r="Q85" s="268" t="s">
        <v>484</v>
      </c>
      <c r="R85" s="268" t="s">
        <v>484</v>
      </c>
      <c r="S85" s="268" t="s">
        <v>484</v>
      </c>
      <c r="T85" s="268" t="s">
        <v>484</v>
      </c>
      <c r="U85" s="268" t="s">
        <v>484</v>
      </c>
      <c r="V85" s="268" t="s">
        <v>484</v>
      </c>
      <c r="W85" s="268" t="s">
        <v>484</v>
      </c>
      <c r="X85" s="268" t="s">
        <v>484</v>
      </c>
      <c r="Y85" s="268" t="s">
        <v>484</v>
      </c>
      <c r="Z85" s="268" t="s">
        <v>484</v>
      </c>
      <c r="AA85" s="268" t="s">
        <v>484</v>
      </c>
      <c r="AB85" s="268" t="s">
        <v>484</v>
      </c>
      <c r="AC85" s="268" t="s">
        <v>484</v>
      </c>
      <c r="AD85" s="268" t="s">
        <v>484</v>
      </c>
      <c r="AE85" s="268" t="s">
        <v>484</v>
      </c>
      <c r="AF85" s="268" t="s">
        <v>484</v>
      </c>
    </row>
    <row r="86" spans="1:32" ht="17.45">
      <c r="A86" s="268" t="s">
        <v>484</v>
      </c>
      <c r="B86" s="268" t="s">
        <v>484</v>
      </c>
      <c r="C86" s="268" t="s">
        <v>484</v>
      </c>
      <c r="D86" s="268" t="s">
        <v>484</v>
      </c>
      <c r="E86" s="268" t="s">
        <v>484</v>
      </c>
      <c r="F86" s="268" t="s">
        <v>484</v>
      </c>
      <c r="G86" s="268" t="s">
        <v>484</v>
      </c>
      <c r="H86" s="268" t="s">
        <v>484</v>
      </c>
      <c r="I86" s="268" t="s">
        <v>484</v>
      </c>
      <c r="J86" s="268" t="s">
        <v>484</v>
      </c>
      <c r="K86" s="268" t="s">
        <v>484</v>
      </c>
      <c r="L86" s="268" t="s">
        <v>484</v>
      </c>
      <c r="M86" s="268" t="s">
        <v>484</v>
      </c>
      <c r="N86" s="268" t="s">
        <v>484</v>
      </c>
      <c r="O86" s="268" t="s">
        <v>484</v>
      </c>
      <c r="P86" s="268" t="s">
        <v>484</v>
      </c>
      <c r="Q86" s="268" t="s">
        <v>484</v>
      </c>
      <c r="R86" s="268" t="s">
        <v>484</v>
      </c>
      <c r="S86" s="268" t="s">
        <v>484</v>
      </c>
      <c r="T86" s="268" t="s">
        <v>484</v>
      </c>
      <c r="U86" s="268" t="s">
        <v>484</v>
      </c>
      <c r="V86" s="268" t="s">
        <v>484</v>
      </c>
      <c r="W86" s="268" t="s">
        <v>484</v>
      </c>
      <c r="X86" s="268" t="s">
        <v>484</v>
      </c>
      <c r="Y86" s="268" t="s">
        <v>484</v>
      </c>
      <c r="Z86" s="268" t="s">
        <v>484</v>
      </c>
      <c r="AA86" s="268" t="s">
        <v>484</v>
      </c>
      <c r="AB86" s="268" t="s">
        <v>484</v>
      </c>
      <c r="AC86" s="268" t="s">
        <v>484</v>
      </c>
      <c r="AD86" s="268" t="s">
        <v>484</v>
      </c>
      <c r="AE86" s="268" t="s">
        <v>484</v>
      </c>
      <c r="AF86" s="268" t="s">
        <v>484</v>
      </c>
    </row>
    <row r="87" spans="1:32" ht="17.45">
      <c r="A87" s="268" t="s">
        <v>484</v>
      </c>
      <c r="B87" s="268" t="s">
        <v>484</v>
      </c>
      <c r="C87" s="268" t="s">
        <v>484</v>
      </c>
      <c r="D87" s="268" t="s">
        <v>484</v>
      </c>
      <c r="E87" s="268" t="s">
        <v>484</v>
      </c>
      <c r="F87" s="268" t="s">
        <v>484</v>
      </c>
      <c r="G87" s="268" t="s">
        <v>484</v>
      </c>
      <c r="H87" s="268" t="s">
        <v>484</v>
      </c>
      <c r="I87" s="268" t="s">
        <v>484</v>
      </c>
      <c r="J87" s="268" t="s">
        <v>484</v>
      </c>
      <c r="K87" s="268" t="s">
        <v>484</v>
      </c>
      <c r="L87" s="268" t="s">
        <v>484</v>
      </c>
      <c r="M87" s="268" t="s">
        <v>484</v>
      </c>
      <c r="N87" s="268" t="s">
        <v>484</v>
      </c>
      <c r="O87" s="268" t="s">
        <v>484</v>
      </c>
      <c r="P87" s="268" t="s">
        <v>484</v>
      </c>
      <c r="Q87" s="268" t="s">
        <v>484</v>
      </c>
      <c r="R87" s="268" t="s">
        <v>484</v>
      </c>
      <c r="S87" s="268" t="s">
        <v>484</v>
      </c>
      <c r="T87" s="268" t="s">
        <v>484</v>
      </c>
      <c r="U87" s="268" t="s">
        <v>484</v>
      </c>
      <c r="V87" s="268" t="s">
        <v>484</v>
      </c>
      <c r="W87" s="268" t="s">
        <v>484</v>
      </c>
      <c r="X87" s="268" t="s">
        <v>484</v>
      </c>
      <c r="Y87" s="268" t="s">
        <v>484</v>
      </c>
      <c r="Z87" s="268" t="s">
        <v>484</v>
      </c>
      <c r="AA87" s="268" t="s">
        <v>484</v>
      </c>
      <c r="AB87" s="268" t="s">
        <v>484</v>
      </c>
      <c r="AC87" s="268" t="s">
        <v>484</v>
      </c>
      <c r="AD87" s="268" t="s">
        <v>484</v>
      </c>
      <c r="AE87" s="268" t="s">
        <v>484</v>
      </c>
      <c r="AF87" s="268" t="s">
        <v>484</v>
      </c>
    </row>
    <row r="88" spans="1:32" ht="17.45">
      <c r="A88" s="268" t="s">
        <v>484</v>
      </c>
      <c r="B88" s="268" t="s">
        <v>484</v>
      </c>
      <c r="C88" s="268" t="s">
        <v>484</v>
      </c>
      <c r="D88" s="268" t="s">
        <v>484</v>
      </c>
      <c r="E88" s="268" t="s">
        <v>484</v>
      </c>
      <c r="F88" s="268" t="s">
        <v>484</v>
      </c>
      <c r="G88" s="268" t="s">
        <v>484</v>
      </c>
      <c r="H88" s="268" t="s">
        <v>484</v>
      </c>
      <c r="I88" s="268" t="s">
        <v>484</v>
      </c>
      <c r="J88" s="268" t="s">
        <v>484</v>
      </c>
      <c r="K88" s="268" t="s">
        <v>484</v>
      </c>
      <c r="L88" s="268" t="s">
        <v>484</v>
      </c>
      <c r="M88" s="268" t="s">
        <v>484</v>
      </c>
      <c r="N88" s="268" t="s">
        <v>484</v>
      </c>
      <c r="O88" s="268" t="s">
        <v>484</v>
      </c>
      <c r="P88" s="268" t="s">
        <v>484</v>
      </c>
      <c r="Q88" s="268" t="s">
        <v>484</v>
      </c>
      <c r="R88" s="268" t="s">
        <v>484</v>
      </c>
      <c r="S88" s="268" t="s">
        <v>484</v>
      </c>
      <c r="T88" s="268" t="s">
        <v>484</v>
      </c>
      <c r="U88" s="268" t="s">
        <v>484</v>
      </c>
      <c r="V88" s="268" t="s">
        <v>484</v>
      </c>
      <c r="W88" s="268" t="s">
        <v>484</v>
      </c>
      <c r="X88" s="268" t="s">
        <v>484</v>
      </c>
      <c r="Y88" s="268" t="s">
        <v>484</v>
      </c>
      <c r="Z88" s="268" t="s">
        <v>484</v>
      </c>
      <c r="AA88" s="268" t="s">
        <v>484</v>
      </c>
      <c r="AB88" s="268" t="s">
        <v>484</v>
      </c>
      <c r="AC88" s="268" t="s">
        <v>484</v>
      </c>
      <c r="AD88" s="268" t="s">
        <v>484</v>
      </c>
      <c r="AE88" s="268" t="s">
        <v>484</v>
      </c>
      <c r="AF88" s="268" t="s">
        <v>484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C2C8-2314-4BB2-9CB8-0CCD50DCCC5E}">
  <dimension ref="A1:AF88"/>
  <sheetViews>
    <sheetView topLeftCell="A32" zoomScaleNormal="100" workbookViewId="0">
      <selection activeCell="E52" sqref="E52"/>
    </sheetView>
  </sheetViews>
  <sheetFormatPr defaultColWidth="8.7109375" defaultRowHeight="14.45"/>
  <cols>
    <col min="1" max="1" width="3" customWidth="1"/>
    <col min="2" max="2" width="21" customWidth="1"/>
    <col min="3" max="10" width="23.7109375" customWidth="1"/>
    <col min="11" max="11" width="1.7109375" customWidth="1"/>
    <col min="12" max="12" width="33" customWidth="1"/>
    <col min="13" max="14" width="23.28515625" customWidth="1"/>
  </cols>
  <sheetData>
    <row r="1" spans="1:32" ht="23.25" customHeight="1">
      <c r="A1" s="35"/>
      <c r="B1" s="35"/>
      <c r="C1" s="206" t="s">
        <v>0</v>
      </c>
      <c r="D1" s="207">
        <v>230.8</v>
      </c>
      <c r="E1" s="35"/>
      <c r="F1" s="20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23.25" customHeight="1">
      <c r="A2" s="35"/>
      <c r="B2" s="209" t="s">
        <v>37</v>
      </c>
      <c r="C2" s="70" t="s">
        <v>1</v>
      </c>
      <c r="D2" s="152">
        <f>J8+J16+J24+J32+J40+E48</f>
        <v>129.30000000000001</v>
      </c>
      <c r="E2" s="154" t="s">
        <v>2</v>
      </c>
      <c r="F2" s="204">
        <f>J9+J17+J25+J33+J41+E49</f>
        <v>2.4000000000000004</v>
      </c>
      <c r="G2" s="154" t="s">
        <v>3</v>
      </c>
      <c r="H2" s="204">
        <f>J10+J18+J26+J34+J42+E50</f>
        <v>9.1999999999999993</v>
      </c>
      <c r="I2" s="72"/>
      <c r="J2" s="98" t="s">
        <v>4</v>
      </c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 customHeight="1">
      <c r="A3" s="35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8</v>
      </c>
      <c r="H3" s="75" t="s">
        <v>11</v>
      </c>
      <c r="I3" s="175" t="s">
        <v>6</v>
      </c>
      <c r="J3" s="98" t="s">
        <v>13</v>
      </c>
      <c r="K3" s="73"/>
      <c r="L3" s="98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3.25" customHeight="1">
      <c r="A4" s="35"/>
      <c r="B4" s="93" t="s">
        <v>14</v>
      </c>
      <c r="C4" s="232">
        <v>1</v>
      </c>
      <c r="D4" s="232">
        <v>2</v>
      </c>
      <c r="E4" s="232">
        <v>3</v>
      </c>
      <c r="F4" s="232">
        <v>4</v>
      </c>
      <c r="G4" s="232">
        <v>5</v>
      </c>
      <c r="H4" s="173">
        <v>6</v>
      </c>
      <c r="I4" s="174">
        <v>7</v>
      </c>
      <c r="J4" s="98" t="s">
        <v>15</v>
      </c>
      <c r="K4" s="73"/>
      <c r="L4" s="99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>
      <c r="A5" s="35"/>
      <c r="B5" s="94" t="s">
        <v>16</v>
      </c>
      <c r="C5" s="252" t="s">
        <v>386</v>
      </c>
      <c r="D5" s="221" t="s">
        <v>386</v>
      </c>
      <c r="E5" s="244" t="s">
        <v>379</v>
      </c>
      <c r="F5" s="221" t="s">
        <v>207</v>
      </c>
      <c r="G5" s="221" t="s">
        <v>50</v>
      </c>
      <c r="H5" s="186" t="s">
        <v>50</v>
      </c>
      <c r="I5" s="161" t="s">
        <v>324</v>
      </c>
      <c r="J5" s="98" t="s">
        <v>17</v>
      </c>
      <c r="K5" s="73"/>
      <c r="L5" s="236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23.25" customHeight="1">
      <c r="A6" s="35"/>
      <c r="B6" s="93" t="s">
        <v>18</v>
      </c>
      <c r="C6" s="257">
        <v>0.01</v>
      </c>
      <c r="D6" s="258">
        <v>0.03</v>
      </c>
      <c r="E6" s="257">
        <v>0.08</v>
      </c>
      <c r="F6" s="257">
        <v>0.14000000000000001</v>
      </c>
      <c r="G6" s="123">
        <v>0.23</v>
      </c>
      <c r="H6" s="163">
        <v>0.32</v>
      </c>
      <c r="I6" s="163">
        <v>0.43</v>
      </c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23.25" customHeight="1">
      <c r="A7" s="35"/>
      <c r="B7" s="94" t="s">
        <v>19</v>
      </c>
      <c r="C7" s="253" t="s">
        <v>62</v>
      </c>
      <c r="D7" s="218" t="s">
        <v>253</v>
      </c>
      <c r="E7" s="255" t="s">
        <v>253</v>
      </c>
      <c r="F7" s="218" t="s">
        <v>521</v>
      </c>
      <c r="G7" s="218" t="s">
        <v>42</v>
      </c>
      <c r="H7" s="122" t="s">
        <v>42</v>
      </c>
      <c r="I7" s="158" t="s">
        <v>42</v>
      </c>
      <c r="J7" s="156" t="s">
        <v>20</v>
      </c>
      <c r="K7" s="73"/>
      <c r="L7" s="2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23.25" customHeight="1">
      <c r="A8" s="35"/>
      <c r="B8" s="93" t="s">
        <v>21</v>
      </c>
      <c r="C8" s="166">
        <v>11</v>
      </c>
      <c r="D8" s="125">
        <v>11</v>
      </c>
      <c r="E8" s="134">
        <v>3</v>
      </c>
      <c r="F8" s="125">
        <v>0</v>
      </c>
      <c r="G8" s="125">
        <v>8</v>
      </c>
      <c r="H8" s="125">
        <v>8</v>
      </c>
      <c r="I8" s="155">
        <v>6</v>
      </c>
      <c r="J8" s="176" cm="1">
        <f t="array" ref="J8">SUM(IF(ISNUMBER(C8:I8), C8:I8, 0))</f>
        <v>47</v>
      </c>
      <c r="K8" s="73"/>
      <c r="L8" s="210" t="s">
        <v>22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23.25" customHeight="1">
      <c r="A9" s="35"/>
      <c r="B9" s="93" t="s">
        <v>23</v>
      </c>
      <c r="C9" s="166">
        <v>0</v>
      </c>
      <c r="D9" s="125">
        <v>0</v>
      </c>
      <c r="E9" s="134" t="s">
        <v>108</v>
      </c>
      <c r="F9" s="125" t="s">
        <v>108</v>
      </c>
      <c r="G9" s="125" t="s">
        <v>108</v>
      </c>
      <c r="H9" s="125" t="s">
        <v>108</v>
      </c>
      <c r="I9" s="155"/>
      <c r="J9" s="176" cm="1">
        <f t="array" ref="J9">SUM(IF(ISNUMBER(B9:I9), B9:I9, 0))</f>
        <v>0</v>
      </c>
      <c r="K9" s="73"/>
      <c r="L9" s="210" t="s">
        <v>24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23.25" customHeight="1" thickBot="1">
      <c r="A10" s="35"/>
      <c r="B10" s="93" t="s">
        <v>25</v>
      </c>
      <c r="C10" s="166">
        <v>0.8</v>
      </c>
      <c r="D10" s="125">
        <v>0.8</v>
      </c>
      <c r="E10" s="134" t="s">
        <v>326</v>
      </c>
      <c r="F10" s="125">
        <v>0</v>
      </c>
      <c r="G10" s="125">
        <v>0.8</v>
      </c>
      <c r="H10" s="125">
        <v>0.8</v>
      </c>
      <c r="I10" s="222">
        <v>0.8</v>
      </c>
      <c r="J10" s="157" cm="1">
        <f t="array" ref="J10">SUM(IF(ISNUMBER(B10:I10), B10:I10, 0))</f>
        <v>4</v>
      </c>
      <c r="K10" s="73"/>
      <c r="L10" s="210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23.25" customHeight="1" thickBot="1">
      <c r="A11" s="35"/>
      <c r="B11" s="95" t="s">
        <v>27</v>
      </c>
      <c r="C11" s="167" t="s">
        <v>522</v>
      </c>
      <c r="D11" s="168" t="s">
        <v>522</v>
      </c>
      <c r="E11" s="169" t="s">
        <v>523</v>
      </c>
      <c r="F11" s="233" t="s">
        <v>524</v>
      </c>
      <c r="G11" s="168" t="s">
        <v>525</v>
      </c>
      <c r="H11" s="170" t="s">
        <v>526</v>
      </c>
      <c r="I11" s="177" t="s">
        <v>527</v>
      </c>
      <c r="J11" s="157">
        <v>57.4</v>
      </c>
      <c r="K11" s="73"/>
      <c r="L11" s="210" t="s">
        <v>28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23.25" customHeight="1" thickBot="1">
      <c r="A12" s="35"/>
      <c r="B12" s="35" t="s">
        <v>4</v>
      </c>
      <c r="C12" s="182">
        <v>8</v>
      </c>
      <c r="D12" s="182">
        <v>9</v>
      </c>
      <c r="E12" s="182">
        <v>10</v>
      </c>
      <c r="F12" s="182">
        <v>11</v>
      </c>
      <c r="G12" s="182">
        <v>12</v>
      </c>
      <c r="H12" s="183">
        <v>13</v>
      </c>
      <c r="I12" s="184">
        <v>14</v>
      </c>
      <c r="J12" s="159"/>
      <c r="K12" s="73"/>
      <c r="L12" s="213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23.25" customHeight="1">
      <c r="A13" s="35"/>
      <c r="B13" s="35"/>
      <c r="C13" s="245" t="s">
        <v>50</v>
      </c>
      <c r="D13" s="186" t="s">
        <v>528</v>
      </c>
      <c r="E13" s="244" t="s">
        <v>386</v>
      </c>
      <c r="F13" s="221" t="s">
        <v>379</v>
      </c>
      <c r="G13" s="265"/>
      <c r="H13" s="265"/>
      <c r="I13" s="237"/>
      <c r="J13" s="159"/>
      <c r="K13" s="73"/>
      <c r="L13" s="213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23.25" customHeight="1">
      <c r="A14" s="35"/>
      <c r="B14" s="35"/>
      <c r="C14" s="123">
        <v>0.54</v>
      </c>
      <c r="D14" s="123">
        <v>0.66</v>
      </c>
      <c r="E14" s="123">
        <v>0.76</v>
      </c>
      <c r="F14" s="123">
        <v>0.85</v>
      </c>
      <c r="G14" s="123">
        <v>0.92</v>
      </c>
      <c r="H14" s="163">
        <v>0.97</v>
      </c>
      <c r="I14" s="163">
        <v>1</v>
      </c>
      <c r="J14" s="73"/>
      <c r="K14" s="73"/>
      <c r="L14" s="213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23.25" customHeight="1">
      <c r="A15" s="35"/>
      <c r="B15" s="35"/>
      <c r="C15" s="164" t="s">
        <v>62</v>
      </c>
      <c r="D15" s="218" t="s">
        <v>253</v>
      </c>
      <c r="E15" s="122" t="s">
        <v>42</v>
      </c>
      <c r="F15" s="122" t="s">
        <v>42</v>
      </c>
      <c r="G15" s="261"/>
      <c r="H15" s="261"/>
      <c r="I15" s="266"/>
      <c r="J15" s="156" t="s">
        <v>29</v>
      </c>
      <c r="K15" s="73"/>
      <c r="L15" s="21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23.25" customHeight="1">
      <c r="A16" s="35"/>
      <c r="B16" s="35"/>
      <c r="C16" s="166">
        <v>5</v>
      </c>
      <c r="D16" s="125">
        <v>4</v>
      </c>
      <c r="E16" s="125">
        <v>1</v>
      </c>
      <c r="F16" s="125">
        <v>2</v>
      </c>
      <c r="G16" s="125"/>
      <c r="H16" s="125"/>
      <c r="I16" s="155"/>
      <c r="J16" s="176" cm="1">
        <f t="array" ref="J16">SUM(IF(ISNUMBER(B16:I16), B16:I16, 0))</f>
        <v>12</v>
      </c>
      <c r="K16" s="73"/>
      <c r="L16" s="212" t="s">
        <v>22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23.25" customHeight="1">
      <c r="A17" s="35"/>
      <c r="B17" s="35"/>
      <c r="C17" s="166">
        <v>0</v>
      </c>
      <c r="D17" s="125">
        <v>0</v>
      </c>
      <c r="E17" s="125">
        <v>0</v>
      </c>
      <c r="F17" s="125">
        <v>0</v>
      </c>
      <c r="G17" s="125"/>
      <c r="H17" s="125"/>
      <c r="I17" s="155"/>
      <c r="J17" s="176" cm="1">
        <f t="array" ref="J17">SUM(IF(ISNUMBER(B17:I17), B17:I17, 0))</f>
        <v>0</v>
      </c>
      <c r="K17" s="73"/>
      <c r="L17" s="212" t="s">
        <v>24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23.25" customHeight="1" thickBot="1">
      <c r="A18" s="35"/>
      <c r="B18" s="35"/>
      <c r="C18" s="166">
        <v>0.8</v>
      </c>
      <c r="D18" s="125">
        <v>0.8</v>
      </c>
      <c r="E18" s="125">
        <v>0</v>
      </c>
      <c r="F18" s="125">
        <v>0</v>
      </c>
      <c r="G18" s="125"/>
      <c r="H18" s="125"/>
      <c r="I18" s="155"/>
      <c r="J18" s="157" cm="1">
        <f t="array" ref="J18">SUM(IF(ISNUMBER(B18:I18), B18:I18, 0))</f>
        <v>1.6</v>
      </c>
      <c r="K18" s="73"/>
      <c r="L18" s="212" t="s">
        <v>26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23.25" customHeight="1" thickBot="1">
      <c r="A19" s="35"/>
      <c r="B19" s="35"/>
      <c r="C19" s="179" t="s">
        <v>529</v>
      </c>
      <c r="D19" s="180" t="s">
        <v>530</v>
      </c>
      <c r="E19" s="168" t="s">
        <v>531</v>
      </c>
      <c r="F19" s="168" t="s">
        <v>532</v>
      </c>
      <c r="G19" s="181" t="s">
        <v>533</v>
      </c>
      <c r="H19" s="208" t="s">
        <v>534</v>
      </c>
      <c r="I19" s="177" t="s">
        <v>535</v>
      </c>
      <c r="J19" s="157">
        <v>18.61</v>
      </c>
      <c r="K19" s="73"/>
      <c r="L19" s="210" t="s">
        <v>28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23.25" customHeight="1" thickBot="1">
      <c r="A20" s="35"/>
      <c r="B20" s="35"/>
      <c r="C20" s="182">
        <v>15</v>
      </c>
      <c r="D20" s="182">
        <v>16</v>
      </c>
      <c r="E20" s="182">
        <v>17</v>
      </c>
      <c r="F20" s="182">
        <v>18</v>
      </c>
      <c r="G20" s="182">
        <v>19</v>
      </c>
      <c r="H20" s="183">
        <v>20</v>
      </c>
      <c r="I20" s="184">
        <v>21</v>
      </c>
      <c r="J20" s="159"/>
      <c r="K20" s="73"/>
      <c r="L20" s="213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23.25" customHeight="1">
      <c r="A21" s="35"/>
      <c r="B21" s="35"/>
      <c r="C21" s="251"/>
      <c r="D21" s="265"/>
      <c r="E21" s="267"/>
      <c r="F21" s="216" t="s">
        <v>379</v>
      </c>
      <c r="G21" s="160" t="s">
        <v>251</v>
      </c>
      <c r="H21" s="160" t="s">
        <v>251</v>
      </c>
      <c r="I21" s="161" t="s">
        <v>50</v>
      </c>
      <c r="J21" s="159"/>
      <c r="K21" s="73"/>
      <c r="L21" s="21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23.25" customHeight="1">
      <c r="A22" s="35"/>
      <c r="B22" s="35"/>
      <c r="C22" s="123">
        <v>0.99</v>
      </c>
      <c r="D22" s="123">
        <v>0.96</v>
      </c>
      <c r="E22" s="123">
        <v>0.92</v>
      </c>
      <c r="F22" s="123">
        <v>0.85</v>
      </c>
      <c r="G22" s="123">
        <v>0.77</v>
      </c>
      <c r="H22" s="163">
        <v>0.68</v>
      </c>
      <c r="I22" s="163">
        <v>0.59</v>
      </c>
      <c r="J22" s="73"/>
      <c r="K22" s="73"/>
      <c r="L22" s="21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3.25" customHeight="1">
      <c r="A23" s="35"/>
      <c r="B23" s="35"/>
      <c r="C23" s="263"/>
      <c r="D23" s="242"/>
      <c r="E23" s="242"/>
      <c r="F23" s="122" t="s">
        <v>340</v>
      </c>
      <c r="G23" s="122" t="s">
        <v>62</v>
      </c>
      <c r="H23" s="218" t="s">
        <v>340</v>
      </c>
      <c r="I23" s="165" t="s">
        <v>62</v>
      </c>
      <c r="J23" s="239" t="s">
        <v>30</v>
      </c>
      <c r="K23" s="73"/>
      <c r="L23" s="213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3.25" customHeight="1">
      <c r="A24" s="35"/>
      <c r="B24" s="35"/>
      <c r="C24" s="166"/>
      <c r="D24" s="138"/>
      <c r="E24" s="125"/>
      <c r="F24" s="125">
        <v>2</v>
      </c>
      <c r="G24" s="125">
        <v>2</v>
      </c>
      <c r="H24" s="124">
        <v>4.5</v>
      </c>
      <c r="I24" s="238">
        <v>6.4</v>
      </c>
      <c r="J24" s="240" cm="1">
        <f t="array" ref="J24">SUM(IF(ISNUMBER(B24:I24), B24:I24, 0))</f>
        <v>14.9</v>
      </c>
      <c r="K24" s="73"/>
      <c r="L24" s="212" t="s">
        <v>22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3.25" customHeight="1">
      <c r="A25" s="35"/>
      <c r="B25" s="35"/>
      <c r="C25" s="166"/>
      <c r="D25" s="138"/>
      <c r="E25" s="125"/>
      <c r="F25" s="125" t="s">
        <v>387</v>
      </c>
      <c r="G25" s="125" t="s">
        <v>420</v>
      </c>
      <c r="H25" s="124" t="s">
        <v>387</v>
      </c>
      <c r="I25" s="238" t="s">
        <v>387</v>
      </c>
      <c r="J25" s="240" cm="1">
        <f t="array" ref="J25">SUM(IF(ISNUMBER(B25:I25), B25:I25, 0))</f>
        <v>0</v>
      </c>
      <c r="K25" s="73"/>
      <c r="L25" s="212" t="s">
        <v>24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3.25" customHeight="1" thickBot="1">
      <c r="A26" s="35"/>
      <c r="B26" s="35"/>
      <c r="C26" s="166"/>
      <c r="D26" s="124"/>
      <c r="E26" s="124"/>
      <c r="F26" s="124">
        <v>0</v>
      </c>
      <c r="G26" s="124">
        <v>0</v>
      </c>
      <c r="H26" s="124">
        <v>0</v>
      </c>
      <c r="I26" s="238">
        <v>0</v>
      </c>
      <c r="J26" s="241" cm="1">
        <f t="array" ref="J26">SUM(IF(ISNUMBER(B26:I26), B26:I26, 0))</f>
        <v>0</v>
      </c>
      <c r="K26" s="73"/>
      <c r="L26" s="212" t="s">
        <v>26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3.25" customHeight="1" thickBot="1">
      <c r="A27" s="35"/>
      <c r="B27" s="35"/>
      <c r="C27" s="234" t="s">
        <v>536</v>
      </c>
      <c r="D27" s="168" t="s">
        <v>537</v>
      </c>
      <c r="E27" s="168" t="s">
        <v>538</v>
      </c>
      <c r="F27" s="170" t="s">
        <v>539</v>
      </c>
      <c r="G27" s="168" t="s">
        <v>540</v>
      </c>
      <c r="H27" s="168" t="s">
        <v>541</v>
      </c>
      <c r="I27" s="171" t="s">
        <v>542</v>
      </c>
      <c r="J27" s="157">
        <v>41.43</v>
      </c>
      <c r="K27" s="73"/>
      <c r="L27" s="210" t="s">
        <v>28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23.25" customHeight="1" thickBot="1">
      <c r="A28" s="35"/>
      <c r="B28" s="35"/>
      <c r="C28" s="182">
        <v>22</v>
      </c>
      <c r="D28" s="182">
        <v>23</v>
      </c>
      <c r="E28" s="182">
        <v>24</v>
      </c>
      <c r="F28" s="182">
        <v>25</v>
      </c>
      <c r="G28" s="182">
        <v>26</v>
      </c>
      <c r="H28" s="183">
        <v>27</v>
      </c>
      <c r="I28" s="189">
        <v>28</v>
      </c>
      <c r="J28" s="185"/>
      <c r="K28" s="73"/>
      <c r="L28" s="21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23.25" customHeight="1">
      <c r="A29" s="35"/>
      <c r="B29" s="35"/>
      <c r="C29" s="245" t="s">
        <v>324</v>
      </c>
      <c r="D29" s="186" t="s">
        <v>379</v>
      </c>
      <c r="E29" s="244" t="s">
        <v>207</v>
      </c>
      <c r="F29" s="221" t="s">
        <v>324</v>
      </c>
      <c r="G29" s="186" t="s">
        <v>42</v>
      </c>
      <c r="H29" s="186" t="s">
        <v>50</v>
      </c>
      <c r="I29" s="161" t="s">
        <v>251</v>
      </c>
      <c r="J29" s="159"/>
      <c r="K29" s="73"/>
      <c r="L29" s="21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23.25" customHeight="1">
      <c r="A30" s="35"/>
      <c r="B30" s="35"/>
      <c r="C30" s="162">
        <v>0.49</v>
      </c>
      <c r="D30" s="123">
        <v>0.4</v>
      </c>
      <c r="E30" s="123">
        <v>0.31</v>
      </c>
      <c r="F30" s="123">
        <v>0.23</v>
      </c>
      <c r="G30" s="123">
        <v>0.15</v>
      </c>
      <c r="H30" s="123">
        <v>0.09</v>
      </c>
      <c r="I30" s="163">
        <v>0.04</v>
      </c>
      <c r="J30" s="73"/>
      <c r="K30" s="73"/>
      <c r="L30" s="21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23.25" customHeight="1">
      <c r="A31" s="35"/>
      <c r="B31" s="35"/>
      <c r="C31" s="164" t="s">
        <v>340</v>
      </c>
      <c r="D31" s="218" t="s">
        <v>253</v>
      </c>
      <c r="E31" s="218" t="s">
        <v>62</v>
      </c>
      <c r="F31" s="122" t="s">
        <v>340</v>
      </c>
      <c r="G31" s="122" t="s">
        <v>252</v>
      </c>
      <c r="H31" s="218" t="s">
        <v>340</v>
      </c>
      <c r="I31" s="165" t="s">
        <v>62</v>
      </c>
      <c r="J31" s="239" t="s">
        <v>31</v>
      </c>
      <c r="K31" s="73"/>
      <c r="L31" s="21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23.25" customHeight="1">
      <c r="A32" s="35"/>
      <c r="B32" s="35"/>
      <c r="C32" s="166">
        <v>0</v>
      </c>
      <c r="D32" s="125">
        <v>10</v>
      </c>
      <c r="E32" s="125" t="s">
        <v>380</v>
      </c>
      <c r="F32" s="125" t="s">
        <v>380</v>
      </c>
      <c r="G32" s="125">
        <v>6</v>
      </c>
      <c r="H32" s="125">
        <v>12</v>
      </c>
      <c r="I32" s="246">
        <v>11.5</v>
      </c>
      <c r="J32" s="240" cm="1">
        <f t="array" ref="J32">SUM(IF(ISNUMBER(B32:I32), B32:I32, 0))</f>
        <v>39.5</v>
      </c>
      <c r="K32" s="73"/>
      <c r="L32" s="212" t="s">
        <v>22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23.25" customHeight="1">
      <c r="A33" s="35"/>
      <c r="B33" s="35"/>
      <c r="C33" s="166">
        <v>0</v>
      </c>
      <c r="D33" s="125">
        <v>0</v>
      </c>
      <c r="E33" s="125">
        <v>0</v>
      </c>
      <c r="F33" s="125">
        <v>0</v>
      </c>
      <c r="G33" s="155">
        <v>0</v>
      </c>
      <c r="H33" s="125">
        <v>0.8</v>
      </c>
      <c r="I33" s="246">
        <v>0.8</v>
      </c>
      <c r="J33" s="240" cm="1">
        <f t="array" ref="J33">SUM(IF(ISNUMBER(B33:I33), B33:I33, 0))</f>
        <v>1.6</v>
      </c>
      <c r="K33" s="73"/>
      <c r="L33" s="212" t="s">
        <v>24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23.25" customHeight="1" thickBot="1">
      <c r="A34" s="35"/>
      <c r="B34" s="35"/>
      <c r="C34" s="166">
        <v>0</v>
      </c>
      <c r="D34" s="125">
        <v>0.8</v>
      </c>
      <c r="E34" s="125">
        <v>0</v>
      </c>
      <c r="F34" s="125">
        <v>0</v>
      </c>
      <c r="G34" s="357">
        <v>0</v>
      </c>
      <c r="H34" s="125">
        <v>0.8</v>
      </c>
      <c r="I34" s="246">
        <v>0.8</v>
      </c>
      <c r="J34" s="241" cm="1">
        <f t="array" ref="J34">SUM(IF(ISNUMBER(B34:I34), B34:I34, 0))</f>
        <v>2.4000000000000004</v>
      </c>
      <c r="K34" s="73"/>
      <c r="L34" s="212" t="s">
        <v>26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23.25" customHeight="1" thickBot="1">
      <c r="A35" s="35"/>
      <c r="B35" s="35"/>
      <c r="C35" s="179" t="s">
        <v>542</v>
      </c>
      <c r="D35" s="168" t="s">
        <v>543</v>
      </c>
      <c r="E35" s="168" t="s">
        <v>543</v>
      </c>
      <c r="F35" s="168" t="s">
        <v>544</v>
      </c>
      <c r="G35" s="168" t="s">
        <v>545</v>
      </c>
      <c r="H35" s="168" t="s">
        <v>545</v>
      </c>
      <c r="I35" s="235" t="s">
        <v>546</v>
      </c>
      <c r="J35" s="157">
        <v>79.400000000000006</v>
      </c>
      <c r="K35" s="73"/>
      <c r="L35" s="210" t="s">
        <v>28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23.25" customHeight="1" thickBot="1">
      <c r="A36" s="35"/>
      <c r="B36" s="35"/>
      <c r="C36" s="182">
        <v>29</v>
      </c>
      <c r="D36" s="182">
        <v>30</v>
      </c>
      <c r="E36" s="182">
        <v>31</v>
      </c>
      <c r="F36" s="182"/>
      <c r="G36" s="182"/>
      <c r="H36" s="183"/>
      <c r="I36" s="189"/>
      <c r="J36" s="185"/>
      <c r="K36" s="73"/>
      <c r="L36" s="21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23.25" customHeight="1">
      <c r="A37" s="35"/>
      <c r="B37" s="35"/>
      <c r="C37" s="215" t="s">
        <v>62</v>
      </c>
      <c r="D37" s="216" t="s">
        <v>50</v>
      </c>
      <c r="E37" s="160" t="s">
        <v>207</v>
      </c>
      <c r="F37" s="160" t="s">
        <v>252</v>
      </c>
      <c r="G37" s="160" t="s">
        <v>252</v>
      </c>
      <c r="H37" s="160" t="s">
        <v>252</v>
      </c>
      <c r="I37" s="161" t="s">
        <v>252</v>
      </c>
      <c r="J37" s="159"/>
      <c r="K37" s="73"/>
      <c r="L37" s="21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23.25" customHeight="1">
      <c r="A38" s="35"/>
      <c r="B38" s="35"/>
      <c r="C38" s="162">
        <v>0.01</v>
      </c>
      <c r="D38" s="123">
        <v>0</v>
      </c>
      <c r="E38" s="123">
        <v>0.01</v>
      </c>
      <c r="F38" s="123"/>
      <c r="G38" s="123"/>
      <c r="H38" s="123"/>
      <c r="I38" s="163"/>
      <c r="J38" s="73"/>
      <c r="K38" s="73"/>
      <c r="L38" s="213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3.25" customHeight="1">
      <c r="A39" s="35"/>
      <c r="B39" s="35"/>
      <c r="C39" s="164" t="s">
        <v>108</v>
      </c>
      <c r="D39" s="122" t="s">
        <v>547</v>
      </c>
      <c r="E39" s="218" t="s">
        <v>340</v>
      </c>
      <c r="F39" s="122"/>
      <c r="G39" s="122"/>
      <c r="H39" s="122"/>
      <c r="I39" s="158"/>
      <c r="J39" s="156" t="s">
        <v>32</v>
      </c>
      <c r="K39" s="73"/>
      <c r="L39" s="213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23.25" customHeight="1">
      <c r="A40" s="35"/>
      <c r="B40" s="35"/>
      <c r="C40" s="178">
        <v>7.5</v>
      </c>
      <c r="D40" s="124">
        <v>7</v>
      </c>
      <c r="E40" s="124">
        <v>1.4</v>
      </c>
      <c r="F40" s="124"/>
      <c r="G40" s="124"/>
      <c r="H40" s="124"/>
      <c r="I40" s="203"/>
      <c r="J40" s="176" cm="1">
        <f t="array" ref="J40">SUM(IF(ISNUMBER(B40:I40), B40:I40, 0))</f>
        <v>15.9</v>
      </c>
      <c r="K40" s="73"/>
      <c r="L40" s="212" t="s">
        <v>22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23.25" customHeight="1">
      <c r="A41" s="35"/>
      <c r="B41" s="35"/>
      <c r="C41" s="166">
        <v>0.8</v>
      </c>
      <c r="D41" s="125">
        <v>0</v>
      </c>
      <c r="E41" s="125">
        <v>0</v>
      </c>
      <c r="F41" s="125"/>
      <c r="G41" s="125"/>
      <c r="H41" s="125"/>
      <c r="I41" s="155"/>
      <c r="J41" s="176" cm="1">
        <f t="array" ref="J41">SUM(IF(ISNUMBER(B41:I41), B41:I41, 0))</f>
        <v>0.8</v>
      </c>
      <c r="K41" s="73"/>
      <c r="L41" s="212" t="s">
        <v>24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23.25" customHeight="1" thickBot="1">
      <c r="A42" s="35"/>
      <c r="B42" s="35"/>
      <c r="C42" s="166">
        <v>0.7</v>
      </c>
      <c r="D42" s="125">
        <v>0.5</v>
      </c>
      <c r="E42" s="125">
        <v>0</v>
      </c>
      <c r="F42" s="125"/>
      <c r="G42" s="125"/>
      <c r="H42" s="125"/>
      <c r="I42" s="155"/>
      <c r="J42" s="157" cm="1">
        <f t="array" ref="J42">SUM(IF(ISNUMBER(B42:I42), B42:I42, 0))</f>
        <v>1.2</v>
      </c>
      <c r="K42" s="73"/>
      <c r="L42" s="212" t="s">
        <v>26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23.25" customHeight="1" thickBot="1">
      <c r="A43" s="35"/>
      <c r="B43" s="35"/>
      <c r="C43" s="202" t="s">
        <v>548</v>
      </c>
      <c r="D43" s="150" t="s">
        <v>548</v>
      </c>
      <c r="E43" s="170" t="s">
        <v>549</v>
      </c>
      <c r="F43" s="168"/>
      <c r="G43" s="168"/>
      <c r="H43" s="168"/>
      <c r="I43" s="171"/>
      <c r="J43" s="157">
        <v>33.93</v>
      </c>
      <c r="K43" s="73"/>
      <c r="L43" s="210" t="s">
        <v>28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23.25" customHeight="1" thickBot="1">
      <c r="A44" s="35"/>
      <c r="B44" s="35"/>
      <c r="C44" s="248"/>
      <c r="D44" s="249"/>
      <c r="E44" s="185"/>
      <c r="F44" s="73"/>
      <c r="G44" s="73"/>
      <c r="H44" s="73"/>
      <c r="I44" s="73"/>
      <c r="J44" s="73"/>
      <c r="K44" s="73"/>
      <c r="L44" s="21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3.25" customHeight="1">
      <c r="A45" s="35"/>
      <c r="B45" s="35"/>
      <c r="C45" s="253" t="s">
        <v>252</v>
      </c>
      <c r="D45" s="219" t="s">
        <v>252</v>
      </c>
      <c r="E45" s="159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23.25" customHeight="1">
      <c r="A46" s="35"/>
      <c r="B46" s="35"/>
      <c r="C46" s="259"/>
      <c r="D46" s="260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23.25" customHeight="1">
      <c r="A47" s="35"/>
      <c r="B47" s="35"/>
      <c r="C47" s="253"/>
      <c r="D47" s="254"/>
      <c r="E47" s="156" t="s">
        <v>33</v>
      </c>
      <c r="F47" s="214"/>
      <c r="G47" s="73"/>
      <c r="H47" s="73"/>
      <c r="I47" s="73"/>
      <c r="J47" s="73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23.25" customHeight="1">
      <c r="A48" s="35"/>
      <c r="B48" s="35"/>
      <c r="C48" s="178"/>
      <c r="D48" s="203"/>
      <c r="E48" s="176" cm="1">
        <f t="array" ref="E48">SUM(IF(ISNUMBER(B48:D48), B48:D48, 0))</f>
        <v>0</v>
      </c>
      <c r="F48" s="212" t="s">
        <v>34</v>
      </c>
      <c r="G48" s="73"/>
      <c r="H48" s="73"/>
      <c r="I48" s="73"/>
      <c r="J48" s="73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23.25" customHeight="1">
      <c r="A49" s="35"/>
      <c r="B49" s="35"/>
      <c r="C49" s="166"/>
      <c r="D49" s="155"/>
      <c r="E49" s="176" cm="1">
        <f t="array" ref="E49">SUM(IF(ISNUMBER(B49:D49), B49:D49, 0))</f>
        <v>0</v>
      </c>
      <c r="F49" s="212" t="s">
        <v>35</v>
      </c>
      <c r="G49" s="73"/>
      <c r="H49" s="73"/>
      <c r="I49" s="73"/>
      <c r="J49" s="73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23.25" customHeight="1" thickBot="1">
      <c r="A50" s="35"/>
      <c r="B50" s="35"/>
      <c r="C50" s="166"/>
      <c r="D50" s="155"/>
      <c r="E50" s="157" cm="1">
        <f t="array" ref="E50">SUM(IF(ISNUMBER(B50:D50), B50:D50, 0))</f>
        <v>0</v>
      </c>
      <c r="F50" s="212" t="s">
        <v>36</v>
      </c>
      <c r="G50" s="7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23.25" customHeight="1" thickBot="1">
      <c r="A51" s="35"/>
      <c r="B51" s="35"/>
      <c r="C51" s="179"/>
      <c r="D51" s="171"/>
      <c r="E51" s="157"/>
      <c r="F51" s="210" t="s">
        <v>28</v>
      </c>
      <c r="G51" s="73"/>
      <c r="H51" s="73"/>
      <c r="I51" s="73"/>
      <c r="J51" s="73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23.25" customHeight="1">
      <c r="A52" s="35"/>
      <c r="B52" s="35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22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7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7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7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7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7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7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7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7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7.4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7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7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7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7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7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7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7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7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7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7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7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7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7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7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7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7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7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7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7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7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7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7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7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7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7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C46E-29DA-1444-901B-E935A9F7A67F}">
  <dimension ref="A1:AF88"/>
  <sheetViews>
    <sheetView topLeftCell="A38" zoomScaleNormal="100" workbookViewId="0">
      <selection activeCell="F41" sqref="F41"/>
    </sheetView>
  </sheetViews>
  <sheetFormatPr defaultColWidth="8.7109375" defaultRowHeight="14.45"/>
  <cols>
    <col min="1" max="1" width="3" customWidth="1"/>
    <col min="2" max="2" width="21" customWidth="1"/>
    <col min="3" max="10" width="23.7109375" customWidth="1"/>
    <col min="11" max="11" width="1.7109375" customWidth="1"/>
    <col min="12" max="12" width="33" customWidth="1"/>
    <col min="13" max="14" width="23.28515625" customWidth="1"/>
  </cols>
  <sheetData>
    <row r="1" spans="1:32" ht="23.25" customHeight="1" thickBot="1">
      <c r="A1" s="35"/>
      <c r="B1" s="35"/>
      <c r="C1" s="206" t="s">
        <v>0</v>
      </c>
      <c r="D1" s="207">
        <v>224.4</v>
      </c>
      <c r="E1" s="35"/>
      <c r="F1" s="20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23.25" customHeight="1" thickBot="1">
      <c r="A2" s="35"/>
      <c r="B2" s="209" t="s">
        <v>74</v>
      </c>
      <c r="C2" s="70" t="s">
        <v>1</v>
      </c>
      <c r="D2" s="152">
        <f>J8+J16+J24+J32+J40+E48</f>
        <v>94.6</v>
      </c>
      <c r="E2" s="154" t="s">
        <v>2</v>
      </c>
      <c r="F2" s="204">
        <f>J9+J17+J25+J33+J41+E49</f>
        <v>0</v>
      </c>
      <c r="G2" s="154" t="s">
        <v>3</v>
      </c>
      <c r="H2" s="204">
        <f>J10+J18+J26+J34+J42+E50</f>
        <v>2.4000000000000004</v>
      </c>
      <c r="I2" s="72"/>
      <c r="J2" s="98" t="s">
        <v>4</v>
      </c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 customHeight="1" thickBot="1">
      <c r="A3" s="35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8</v>
      </c>
      <c r="H3" s="75" t="s">
        <v>11</v>
      </c>
      <c r="I3" s="175" t="s">
        <v>6</v>
      </c>
      <c r="J3" s="98" t="s">
        <v>13</v>
      </c>
      <c r="K3" s="73"/>
      <c r="L3" s="98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3.25" customHeight="1" thickBot="1">
      <c r="A4" s="35"/>
      <c r="B4" s="93" t="s">
        <v>14</v>
      </c>
      <c r="C4" s="232"/>
      <c r="D4" s="232"/>
      <c r="E4" s="232"/>
      <c r="F4" s="232"/>
      <c r="G4" s="232"/>
      <c r="H4" s="173">
        <v>1</v>
      </c>
      <c r="I4" s="174">
        <v>2</v>
      </c>
      <c r="J4" s="98" t="s">
        <v>15</v>
      </c>
      <c r="K4" s="73"/>
      <c r="L4" s="99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>
      <c r="A5" s="35"/>
      <c r="B5" s="94" t="s">
        <v>16</v>
      </c>
      <c r="C5" s="252" t="s">
        <v>252</v>
      </c>
      <c r="D5" s="221" t="s">
        <v>252</v>
      </c>
      <c r="E5" s="244" t="s">
        <v>252</v>
      </c>
      <c r="F5" s="221" t="s">
        <v>252</v>
      </c>
      <c r="G5" s="221" t="s">
        <v>252</v>
      </c>
      <c r="H5" s="186" t="s">
        <v>42</v>
      </c>
      <c r="I5" s="161" t="s">
        <v>528</v>
      </c>
      <c r="J5" s="98" t="s">
        <v>17</v>
      </c>
      <c r="K5" s="73"/>
      <c r="L5" s="236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23.25" customHeight="1" thickBot="1">
      <c r="A6" s="35"/>
      <c r="B6" s="93" t="s">
        <v>18</v>
      </c>
      <c r="C6" s="256"/>
      <c r="D6" s="257"/>
      <c r="E6" s="258"/>
      <c r="F6" s="257"/>
      <c r="G6" s="257"/>
      <c r="H6" s="123">
        <v>0</v>
      </c>
      <c r="I6" s="163">
        <v>0.02</v>
      </c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23.25" customHeight="1">
      <c r="A7" s="35"/>
      <c r="B7" s="94" t="s">
        <v>19</v>
      </c>
      <c r="C7" s="253"/>
      <c r="D7" s="218"/>
      <c r="E7" s="255"/>
      <c r="F7" s="218"/>
      <c r="G7" s="218"/>
      <c r="H7" s="122" t="s">
        <v>108</v>
      </c>
      <c r="I7" s="158" t="s">
        <v>340</v>
      </c>
      <c r="J7" s="156" t="s">
        <v>20</v>
      </c>
      <c r="K7" s="73"/>
      <c r="L7" s="2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23.25" customHeight="1">
      <c r="A8" s="35"/>
      <c r="B8" s="93" t="s">
        <v>21</v>
      </c>
      <c r="C8" s="166"/>
      <c r="D8" s="125"/>
      <c r="E8" s="134"/>
      <c r="F8" s="125"/>
      <c r="G8" s="125"/>
      <c r="H8" s="125">
        <v>8</v>
      </c>
      <c r="I8" s="155" t="s">
        <v>380</v>
      </c>
      <c r="J8" s="176" cm="1">
        <f t="array" ref="J8">SUM(IF(ISNUMBER(C8:I8), C8:I8, 0))</f>
        <v>8</v>
      </c>
      <c r="K8" s="73"/>
      <c r="L8" s="210" t="s">
        <v>22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23.25" customHeight="1">
      <c r="A9" s="35"/>
      <c r="B9" s="93" t="s">
        <v>23</v>
      </c>
      <c r="C9" s="166"/>
      <c r="D9" s="125"/>
      <c r="E9" s="134"/>
      <c r="F9" s="125"/>
      <c r="G9" s="125"/>
      <c r="H9" s="125"/>
      <c r="I9" s="155"/>
      <c r="J9" s="176" cm="1">
        <f t="array" ref="J9">SUM(IF(ISNUMBER(B9:I9), B9:I9, 0))</f>
        <v>0</v>
      </c>
      <c r="K9" s="73"/>
      <c r="L9" s="210" t="s">
        <v>24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23.25" customHeight="1" thickBot="1">
      <c r="A10" s="35"/>
      <c r="B10" s="93" t="s">
        <v>25</v>
      </c>
      <c r="C10" s="166"/>
      <c r="D10" s="125"/>
      <c r="E10" s="134"/>
      <c r="F10" s="125"/>
      <c r="G10" s="125"/>
      <c r="H10" s="125"/>
      <c r="I10" s="222"/>
      <c r="J10" s="157" cm="1">
        <f t="array" ref="J10">SUM(IF(ISNUMBER(B10:I10), B10:I10, 0))</f>
        <v>0</v>
      </c>
      <c r="K10" s="73"/>
      <c r="L10" s="210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23.25" customHeight="1" thickBot="1">
      <c r="A11" s="35"/>
      <c r="B11" s="95" t="s">
        <v>27</v>
      </c>
      <c r="C11" s="167"/>
      <c r="D11" s="168"/>
      <c r="E11" s="169"/>
      <c r="F11" s="233"/>
      <c r="G11" s="168"/>
      <c r="H11" s="170" t="s">
        <v>550</v>
      </c>
      <c r="I11" s="177" t="s">
        <v>551</v>
      </c>
      <c r="J11" s="82"/>
      <c r="K11" s="73"/>
      <c r="L11" s="213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23.25" customHeight="1">
      <c r="A12" s="35"/>
      <c r="B12" s="35" t="s">
        <v>4</v>
      </c>
      <c r="C12" s="182">
        <v>3</v>
      </c>
      <c r="D12" s="182">
        <v>4</v>
      </c>
      <c r="E12" s="182">
        <v>5</v>
      </c>
      <c r="F12" s="182">
        <v>6</v>
      </c>
      <c r="G12" s="182">
        <v>7</v>
      </c>
      <c r="H12" s="183">
        <v>8</v>
      </c>
      <c r="I12" s="184">
        <v>9</v>
      </c>
      <c r="J12" s="159"/>
      <c r="K12" s="73"/>
      <c r="L12" s="213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23.25" customHeight="1">
      <c r="A13" s="35"/>
      <c r="B13" s="35"/>
      <c r="C13" s="245" t="s">
        <v>50</v>
      </c>
      <c r="D13" s="186"/>
      <c r="E13" s="244"/>
      <c r="F13" s="221" t="s">
        <v>324</v>
      </c>
      <c r="G13" s="186" t="s">
        <v>552</v>
      </c>
      <c r="H13" s="186" t="s">
        <v>553</v>
      </c>
      <c r="I13" s="161" t="s">
        <v>379</v>
      </c>
      <c r="J13" s="159"/>
      <c r="K13" s="73"/>
      <c r="L13" s="213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23.25" customHeight="1">
      <c r="A14" s="35"/>
      <c r="B14" s="35"/>
      <c r="C14" s="162">
        <v>0.06</v>
      </c>
      <c r="D14" s="123">
        <v>0.11</v>
      </c>
      <c r="E14" s="123">
        <v>0.19</v>
      </c>
      <c r="F14" s="123">
        <v>0.27</v>
      </c>
      <c r="G14" s="123">
        <v>0.37</v>
      </c>
      <c r="H14" s="123">
        <v>0.48</v>
      </c>
      <c r="I14" s="163">
        <v>0.59</v>
      </c>
      <c r="J14" s="73"/>
      <c r="K14" s="73"/>
      <c r="L14" s="213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23.25" customHeight="1">
      <c r="A15" s="35"/>
      <c r="B15" s="35"/>
      <c r="C15" s="164" t="s">
        <v>62</v>
      </c>
      <c r="D15" s="218" t="s">
        <v>253</v>
      </c>
      <c r="E15" s="122" t="s">
        <v>521</v>
      </c>
      <c r="F15" s="122" t="s">
        <v>521</v>
      </c>
      <c r="G15" s="122" t="s">
        <v>340</v>
      </c>
      <c r="H15" s="122" t="s">
        <v>62</v>
      </c>
      <c r="I15" s="158" t="s">
        <v>42</v>
      </c>
      <c r="J15" s="156" t="s">
        <v>29</v>
      </c>
      <c r="K15" s="73"/>
      <c r="L15" s="21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23.25" customHeight="1">
      <c r="A16" s="35"/>
      <c r="B16" s="35"/>
      <c r="C16" s="166">
        <v>5.5</v>
      </c>
      <c r="D16" s="125">
        <v>9</v>
      </c>
      <c r="E16" s="125" t="s">
        <v>395</v>
      </c>
      <c r="F16" s="125" t="s">
        <v>395</v>
      </c>
      <c r="G16" s="125">
        <v>4.2</v>
      </c>
      <c r="H16" s="125">
        <v>4.2</v>
      </c>
      <c r="I16" s="155">
        <v>4.2</v>
      </c>
      <c r="J16" s="176" cm="1">
        <f t="array" ref="J16">SUM(IF(ISNUMBER(B16:I16), B16:I16, 0))</f>
        <v>27.099999999999998</v>
      </c>
      <c r="K16" s="73"/>
      <c r="L16" s="212" t="s">
        <v>22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23.25" customHeight="1">
      <c r="A17" s="35"/>
      <c r="B17" s="35"/>
      <c r="C17" s="166"/>
      <c r="D17" s="125"/>
      <c r="E17" s="125"/>
      <c r="F17" s="125"/>
      <c r="G17" s="125"/>
      <c r="H17" s="125"/>
      <c r="I17" s="155"/>
      <c r="J17" s="176" cm="1">
        <f t="array" ref="J17">SUM(IF(ISNUMBER(B17:I17), B17:I17, 0))</f>
        <v>0</v>
      </c>
      <c r="K17" s="73"/>
      <c r="L17" s="212" t="s">
        <v>24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23.25" customHeight="1" thickBot="1">
      <c r="A18" s="35"/>
      <c r="B18" s="35"/>
      <c r="C18" s="166"/>
      <c r="D18" s="125"/>
      <c r="E18" s="125"/>
      <c r="F18" s="125"/>
      <c r="G18" s="125"/>
      <c r="H18" s="125"/>
      <c r="I18" s="155"/>
      <c r="J18" s="157" cm="1">
        <f t="array" ref="J18">SUM(IF(ISNUMBER(B18:I18), B18:I18, 0))</f>
        <v>0</v>
      </c>
      <c r="K18" s="73"/>
      <c r="L18" s="212" t="s">
        <v>26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23.25" customHeight="1" thickBot="1">
      <c r="A19" s="35"/>
      <c r="B19" s="35"/>
      <c r="C19" s="179" t="s">
        <v>554</v>
      </c>
      <c r="D19" s="180" t="s">
        <v>555</v>
      </c>
      <c r="E19" s="168" t="s">
        <v>556</v>
      </c>
      <c r="F19" s="168" t="s">
        <v>557</v>
      </c>
      <c r="G19" s="181" t="s">
        <v>558</v>
      </c>
      <c r="H19" s="208" t="s">
        <v>559</v>
      </c>
      <c r="I19" s="177" t="s">
        <v>560</v>
      </c>
      <c r="J19" s="73"/>
      <c r="K19" s="73"/>
      <c r="L19" s="213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23.25" customHeight="1" thickBot="1">
      <c r="A20" s="35"/>
      <c r="B20" s="35"/>
      <c r="C20" s="182">
        <v>10</v>
      </c>
      <c r="D20" s="182">
        <v>11</v>
      </c>
      <c r="E20" s="182">
        <v>12</v>
      </c>
      <c r="F20" s="182">
        <v>13</v>
      </c>
      <c r="G20" s="182">
        <v>14</v>
      </c>
      <c r="H20" s="183">
        <v>15</v>
      </c>
      <c r="I20" s="184">
        <v>16</v>
      </c>
      <c r="J20" s="159"/>
      <c r="K20" s="73"/>
      <c r="L20" s="213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23.25" customHeight="1">
      <c r="A21" s="35"/>
      <c r="B21" s="35"/>
      <c r="C21" s="245" t="s">
        <v>50</v>
      </c>
      <c r="D21" s="186" t="s">
        <v>340</v>
      </c>
      <c r="E21" s="244" t="s">
        <v>62</v>
      </c>
      <c r="F21" s="250"/>
      <c r="G21" s="191"/>
      <c r="H21" s="191"/>
      <c r="I21" s="237"/>
      <c r="J21" s="159"/>
      <c r="K21" s="73"/>
      <c r="L21" s="21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23.25" customHeight="1" thickBot="1">
      <c r="A22" s="35"/>
      <c r="B22" s="35"/>
      <c r="C22" s="162">
        <v>0.7</v>
      </c>
      <c r="D22" s="123">
        <v>0.8</v>
      </c>
      <c r="E22" s="123">
        <v>0.88</v>
      </c>
      <c r="F22" s="123">
        <v>0.95</v>
      </c>
      <c r="G22" s="123">
        <v>0.99</v>
      </c>
      <c r="H22" s="123">
        <v>1</v>
      </c>
      <c r="I22" s="163">
        <v>0.98</v>
      </c>
      <c r="J22" s="73"/>
      <c r="K22" s="73"/>
      <c r="L22" s="21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3.25" customHeight="1">
      <c r="A23" s="35"/>
      <c r="B23" s="35"/>
      <c r="C23" s="164" t="s">
        <v>62</v>
      </c>
      <c r="D23" s="218"/>
      <c r="E23" s="218" t="s">
        <v>252</v>
      </c>
      <c r="F23" s="261"/>
      <c r="G23" s="261"/>
      <c r="H23" s="242"/>
      <c r="I23" s="262"/>
      <c r="J23" s="239" t="s">
        <v>30</v>
      </c>
      <c r="K23" s="73"/>
      <c r="L23" s="213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3.25" customHeight="1">
      <c r="A24" s="35"/>
      <c r="B24" s="35"/>
      <c r="C24" s="166" t="s">
        <v>561</v>
      </c>
      <c r="D24" s="138" t="s">
        <v>395</v>
      </c>
      <c r="E24" s="125" t="s">
        <v>562</v>
      </c>
      <c r="F24" s="125"/>
      <c r="G24" s="125"/>
      <c r="H24" s="124"/>
      <c r="I24" s="238"/>
      <c r="J24" s="240" cm="1">
        <f t="array" ref="J24">SUM(IF(ISNUMBER(B24:I24), B24:I24, 0))</f>
        <v>0</v>
      </c>
      <c r="K24" s="73"/>
      <c r="L24" s="212" t="s">
        <v>22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3.25" customHeight="1">
      <c r="A25" s="35"/>
      <c r="B25" s="35"/>
      <c r="C25" s="166">
        <v>0</v>
      </c>
      <c r="D25" s="138">
        <v>0</v>
      </c>
      <c r="E25" s="125"/>
      <c r="F25" s="125"/>
      <c r="G25" s="125"/>
      <c r="H25" s="124"/>
      <c r="I25" s="238"/>
      <c r="J25" s="240" cm="1">
        <f t="array" ref="J25">SUM(IF(ISNUMBER(B25:I25), B25:I25, 0))</f>
        <v>0</v>
      </c>
      <c r="K25" s="73"/>
      <c r="L25" s="212" t="s">
        <v>24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3.25" customHeight="1" thickBot="1">
      <c r="A26" s="35"/>
      <c r="B26" s="35"/>
      <c r="C26" s="166">
        <v>0</v>
      </c>
      <c r="D26" s="124">
        <v>0</v>
      </c>
      <c r="E26" s="124"/>
      <c r="F26" s="124"/>
      <c r="G26" s="124"/>
      <c r="H26" s="124"/>
      <c r="I26" s="238"/>
      <c r="J26" s="241" cm="1">
        <f t="array" ref="J26">SUM(IF(ISNUMBER(B26:I26), B26:I26, 0))</f>
        <v>0</v>
      </c>
      <c r="K26" s="73"/>
      <c r="L26" s="212" t="s">
        <v>26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3.25" customHeight="1" thickBot="1">
      <c r="A27" s="35"/>
      <c r="B27" s="35"/>
      <c r="C27" s="234" t="s">
        <v>563</v>
      </c>
      <c r="D27" s="168" t="s">
        <v>564</v>
      </c>
      <c r="E27" s="168" t="s">
        <v>565</v>
      </c>
      <c r="F27" s="170"/>
      <c r="G27" s="168"/>
      <c r="H27" s="168"/>
      <c r="I27" s="171"/>
      <c r="J27" s="73"/>
      <c r="K27" s="73"/>
      <c r="L27" s="213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23.25" customHeight="1">
      <c r="A28" s="35"/>
      <c r="B28" s="35"/>
      <c r="C28" s="182">
        <v>17</v>
      </c>
      <c r="D28" s="182">
        <v>18</v>
      </c>
      <c r="E28" s="182">
        <v>19</v>
      </c>
      <c r="F28" s="182">
        <v>20</v>
      </c>
      <c r="G28" s="182">
        <v>21</v>
      </c>
      <c r="H28" s="183">
        <v>22</v>
      </c>
      <c r="I28" s="189">
        <v>23</v>
      </c>
      <c r="J28" s="185"/>
      <c r="K28" s="73"/>
      <c r="L28" s="21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23.25" customHeight="1">
      <c r="A29" s="35"/>
      <c r="B29" s="35"/>
      <c r="C29" s="251"/>
      <c r="D29" s="186" t="s">
        <v>324</v>
      </c>
      <c r="E29" s="244" t="s">
        <v>521</v>
      </c>
      <c r="F29" s="221" t="s">
        <v>62</v>
      </c>
      <c r="G29" s="186" t="s">
        <v>566</v>
      </c>
      <c r="H29" s="186" t="s">
        <v>251</v>
      </c>
      <c r="I29" s="161" t="s">
        <v>324</v>
      </c>
      <c r="J29" s="159"/>
      <c r="K29" s="73"/>
      <c r="L29" s="21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23.25" customHeight="1">
      <c r="A30" s="35"/>
      <c r="B30" s="35"/>
      <c r="C30" s="162">
        <v>0.94</v>
      </c>
      <c r="D30" s="123">
        <v>0.87</v>
      </c>
      <c r="E30" s="123">
        <v>0.79</v>
      </c>
      <c r="F30" s="123">
        <v>0.7</v>
      </c>
      <c r="G30" s="123">
        <v>0.6</v>
      </c>
      <c r="H30" s="123">
        <v>0.51</v>
      </c>
      <c r="I30" s="163">
        <v>0.41</v>
      </c>
      <c r="J30" s="73"/>
      <c r="K30" s="73"/>
      <c r="L30" s="21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23.25" customHeight="1">
      <c r="A31" s="35"/>
      <c r="B31" s="35"/>
      <c r="C31" s="263"/>
      <c r="D31" s="218" t="s">
        <v>340</v>
      </c>
      <c r="E31" s="218" t="s">
        <v>252</v>
      </c>
      <c r="F31" s="122" t="s">
        <v>252</v>
      </c>
      <c r="G31" s="122" t="s">
        <v>253</v>
      </c>
      <c r="H31" s="218" t="s">
        <v>42</v>
      </c>
      <c r="I31" s="165" t="s">
        <v>42</v>
      </c>
      <c r="J31" s="239" t="s">
        <v>31</v>
      </c>
      <c r="K31" s="73"/>
      <c r="L31" s="21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23.25" customHeight="1">
      <c r="A32" s="35"/>
      <c r="B32" s="35"/>
      <c r="C32" s="166"/>
      <c r="D32" s="125">
        <v>1</v>
      </c>
      <c r="E32" s="125">
        <v>1</v>
      </c>
      <c r="F32" s="125">
        <v>3</v>
      </c>
      <c r="G32" s="155">
        <v>4.5</v>
      </c>
      <c r="H32" s="125">
        <v>8</v>
      </c>
      <c r="I32" s="246">
        <v>10</v>
      </c>
      <c r="J32" s="240" cm="1">
        <f t="array" ref="J32">SUM(IF(ISNUMBER(B32:I32), B32:I32, 0))</f>
        <v>27.5</v>
      </c>
      <c r="K32" s="73"/>
      <c r="L32" s="212" t="s">
        <v>22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23.25" customHeight="1">
      <c r="A33" s="35"/>
      <c r="B33" s="35"/>
      <c r="C33" s="166"/>
      <c r="D33" s="125"/>
      <c r="E33" s="125"/>
      <c r="F33" s="125"/>
      <c r="H33" s="125"/>
      <c r="I33" s="246"/>
      <c r="J33" s="240" cm="1">
        <f t="array" ref="J33">SUM(IF(ISNUMBER(B33:I33), B33:I33, 0))</f>
        <v>0</v>
      </c>
      <c r="K33" s="73"/>
      <c r="L33" s="212" t="s">
        <v>24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23.25" customHeight="1" thickBot="1">
      <c r="A34" s="35"/>
      <c r="B34" s="35"/>
      <c r="C34" s="166"/>
      <c r="D34" s="125"/>
      <c r="E34" s="125"/>
      <c r="F34" s="125"/>
      <c r="G34" s="247"/>
      <c r="H34" s="125"/>
      <c r="I34" s="246"/>
      <c r="J34" s="241" cm="1">
        <f t="array" ref="J34">SUM(IF(ISNUMBER(B34:I34), B34:I34, 0))</f>
        <v>0</v>
      </c>
      <c r="K34" s="73"/>
      <c r="L34" s="212" t="s">
        <v>26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23.25" customHeight="1" thickBot="1">
      <c r="A35" s="35"/>
      <c r="B35" s="35"/>
      <c r="C35" s="179"/>
      <c r="D35" s="168" t="s">
        <v>567</v>
      </c>
      <c r="E35" s="168" t="s">
        <v>568</v>
      </c>
      <c r="F35" s="168" t="s">
        <v>569</v>
      </c>
      <c r="G35" s="168" t="s">
        <v>570</v>
      </c>
      <c r="H35" s="168" t="s">
        <v>571</v>
      </c>
      <c r="I35" s="235" t="s">
        <v>572</v>
      </c>
      <c r="J35" s="73"/>
      <c r="K35" s="73"/>
      <c r="L35" s="213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23.25" customHeight="1" thickBot="1">
      <c r="A36" s="35"/>
      <c r="B36" s="35"/>
      <c r="C36" s="182">
        <v>24</v>
      </c>
      <c r="D36" s="182">
        <v>25</v>
      </c>
      <c r="E36" s="182">
        <v>26</v>
      </c>
      <c r="F36" s="182">
        <v>27</v>
      </c>
      <c r="G36" s="182">
        <v>28</v>
      </c>
      <c r="H36" s="183">
        <v>29</v>
      </c>
      <c r="I36" s="189">
        <v>30</v>
      </c>
      <c r="J36" s="185"/>
      <c r="K36" s="73"/>
      <c r="L36" s="21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23.25" customHeight="1">
      <c r="A37" s="35"/>
      <c r="B37" s="35"/>
      <c r="C37" s="215" t="s">
        <v>573</v>
      </c>
      <c r="D37" s="216" t="s">
        <v>324</v>
      </c>
      <c r="E37" s="160" t="s">
        <v>379</v>
      </c>
      <c r="F37" s="160" t="s">
        <v>50</v>
      </c>
      <c r="G37" s="160" t="s">
        <v>528</v>
      </c>
      <c r="H37" s="183">
        <v>29</v>
      </c>
      <c r="I37" s="161" t="s">
        <v>50</v>
      </c>
      <c r="J37" s="159"/>
      <c r="K37" s="73"/>
      <c r="L37" s="21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23.25" customHeight="1" thickBot="1">
      <c r="A38" s="35"/>
      <c r="B38" s="35"/>
      <c r="C38" s="162">
        <v>0.32</v>
      </c>
      <c r="D38" s="123">
        <v>0.24</v>
      </c>
      <c r="E38" s="123">
        <v>0.16</v>
      </c>
      <c r="F38" s="123">
        <v>0.1</v>
      </c>
      <c r="G38" s="123">
        <v>0.05</v>
      </c>
      <c r="H38" s="123">
        <v>0.02</v>
      </c>
      <c r="I38" s="163">
        <v>0</v>
      </c>
      <c r="J38" s="73"/>
      <c r="K38" s="73"/>
      <c r="L38" s="213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3.25" customHeight="1">
      <c r="A39" s="35"/>
      <c r="B39" s="35"/>
      <c r="C39" s="164" t="s">
        <v>62</v>
      </c>
      <c r="D39" s="122" t="s">
        <v>340</v>
      </c>
      <c r="E39" s="218" t="s">
        <v>340</v>
      </c>
      <c r="F39" s="122" t="s">
        <v>340</v>
      </c>
      <c r="G39" s="122" t="s">
        <v>253</v>
      </c>
      <c r="H39" s="122" t="s">
        <v>62</v>
      </c>
      <c r="I39" s="158" t="s">
        <v>62</v>
      </c>
      <c r="J39" s="156" t="s">
        <v>32</v>
      </c>
      <c r="K39" s="73"/>
      <c r="L39" s="213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23.25" customHeight="1">
      <c r="A40" s="35"/>
      <c r="B40" s="35"/>
      <c r="C40" s="178">
        <v>8</v>
      </c>
      <c r="D40" s="125" t="s">
        <v>395</v>
      </c>
      <c r="E40" s="124" t="s">
        <v>395</v>
      </c>
      <c r="F40" s="124" t="s">
        <v>395</v>
      </c>
      <c r="G40" s="124">
        <v>8</v>
      </c>
      <c r="H40" s="124">
        <v>9</v>
      </c>
      <c r="I40" s="203">
        <v>7</v>
      </c>
      <c r="J40" s="176" cm="1">
        <f t="array" ref="J40">SUM(IF(ISNUMBER(B40:I40), B40:I40, 0))</f>
        <v>32</v>
      </c>
      <c r="K40" s="73"/>
      <c r="L40" s="212" t="s">
        <v>22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23.25" customHeight="1">
      <c r="A41" s="35"/>
      <c r="B41" s="35"/>
      <c r="C41" s="166"/>
      <c r="D41" s="125"/>
      <c r="E41" s="125"/>
      <c r="F41" s="125"/>
      <c r="G41" s="125"/>
      <c r="H41" s="125"/>
      <c r="I41" s="155"/>
      <c r="J41" s="176" cm="1">
        <f t="array" ref="J41">SUM(IF(ISNUMBER(B41:I41), B41:I41, 0))</f>
        <v>0</v>
      </c>
      <c r="K41" s="73"/>
      <c r="L41" s="212" t="s">
        <v>24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23.25" customHeight="1" thickBot="1">
      <c r="A42" s="35"/>
      <c r="B42" s="35"/>
      <c r="C42" s="166"/>
      <c r="D42" s="125"/>
      <c r="E42" s="125"/>
      <c r="F42" s="125"/>
      <c r="G42" s="125">
        <v>0.8</v>
      </c>
      <c r="H42" s="125">
        <v>0.8</v>
      </c>
      <c r="I42" s="155">
        <v>0.8</v>
      </c>
      <c r="J42" s="157" cm="1">
        <f t="array" ref="J42">SUM(IF(ISNUMBER(B42:I42), B42:I42, 0))</f>
        <v>2.4000000000000004</v>
      </c>
      <c r="K42" s="73"/>
      <c r="L42" s="212" t="s">
        <v>26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23.25" customHeight="1" thickBot="1">
      <c r="A43" s="35"/>
      <c r="B43" s="35"/>
      <c r="C43" s="202" t="s">
        <v>572</v>
      </c>
      <c r="D43" s="150" t="s">
        <v>574</v>
      </c>
      <c r="E43" s="170" t="s">
        <v>575</v>
      </c>
      <c r="F43" s="168" t="s">
        <v>576</v>
      </c>
      <c r="G43" s="168" t="s">
        <v>577</v>
      </c>
      <c r="H43" s="168" t="s">
        <v>578</v>
      </c>
      <c r="I43" s="171" t="s">
        <v>579</v>
      </c>
      <c r="J43" s="73"/>
      <c r="K43" s="73"/>
      <c r="L43" s="211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23.25" customHeight="1" thickBot="1">
      <c r="A44" s="35"/>
      <c r="B44" s="35"/>
      <c r="C44" s="248"/>
      <c r="D44" s="249"/>
      <c r="E44" s="185"/>
      <c r="F44" s="73"/>
      <c r="G44" s="73"/>
      <c r="H44" s="73"/>
      <c r="I44" s="73"/>
      <c r="J44" s="73"/>
      <c r="K44" s="73"/>
      <c r="L44" s="21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3.25" customHeight="1">
      <c r="A45" s="35"/>
      <c r="B45" s="35"/>
      <c r="C45" s="253" t="s">
        <v>252</v>
      </c>
      <c r="D45" s="219" t="s">
        <v>252</v>
      </c>
      <c r="E45" s="159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23.25" customHeight="1" thickBot="1">
      <c r="A46" s="35"/>
      <c r="B46" s="35"/>
      <c r="C46" s="259"/>
      <c r="D46" s="260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23.25" customHeight="1">
      <c r="A47" s="35"/>
      <c r="B47" s="35"/>
      <c r="C47" s="253"/>
      <c r="D47" s="254"/>
      <c r="E47" s="156" t="s">
        <v>33</v>
      </c>
      <c r="F47" s="214"/>
      <c r="G47" s="73"/>
      <c r="H47" s="73"/>
      <c r="I47" s="73"/>
      <c r="J47" s="73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23.25" customHeight="1">
      <c r="A48" s="35"/>
      <c r="B48" s="35"/>
      <c r="C48" s="178"/>
      <c r="D48" s="203"/>
      <c r="E48" s="176" cm="1">
        <f t="array" ref="E48">SUM(IF(ISNUMBER(B48:D48), B48:D48, 0))</f>
        <v>0</v>
      </c>
      <c r="F48" s="212" t="s">
        <v>34</v>
      </c>
      <c r="G48" s="73"/>
      <c r="H48" s="73"/>
      <c r="I48" s="73"/>
      <c r="J48" s="73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23.25" customHeight="1">
      <c r="A49" s="35"/>
      <c r="B49" s="35"/>
      <c r="C49" s="166"/>
      <c r="D49" s="155"/>
      <c r="E49" s="176" cm="1">
        <f t="array" ref="E49">SUM(IF(ISNUMBER(B49:D49), B49:D49, 0))</f>
        <v>0</v>
      </c>
      <c r="F49" s="212" t="s">
        <v>35</v>
      </c>
      <c r="G49" s="73"/>
      <c r="H49" s="73"/>
      <c r="I49" s="73"/>
      <c r="J49" s="73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23.25" customHeight="1" thickBot="1">
      <c r="A50" s="35"/>
      <c r="B50" s="35"/>
      <c r="C50" s="166"/>
      <c r="D50" s="155"/>
      <c r="E50" s="157" cm="1">
        <f t="array" ref="E50">SUM(IF(ISNUMBER(B50:D50), B50:D50, 0))</f>
        <v>0</v>
      </c>
      <c r="F50" s="212" t="s">
        <v>36</v>
      </c>
      <c r="G50" s="7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23.25" customHeight="1" thickBot="1">
      <c r="A51" s="35"/>
      <c r="B51" s="35"/>
      <c r="C51" s="179"/>
      <c r="D51" s="171"/>
      <c r="E51" s="73"/>
      <c r="F51" s="35"/>
      <c r="G51" s="73"/>
      <c r="H51" s="73"/>
      <c r="I51" s="73"/>
      <c r="J51" s="73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23.25" customHeight="1">
      <c r="A52" s="35"/>
      <c r="B52" s="35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22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7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7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7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7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7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7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7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7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7.4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7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7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7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7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7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7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7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7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7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7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7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7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7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7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7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7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7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7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7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7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7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7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7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7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7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64F5-B62B-5541-8D3F-C625662C6F1F}">
  <dimension ref="A1:AF88"/>
  <sheetViews>
    <sheetView topLeftCell="B19" zoomScale="70" zoomScaleNormal="70" workbookViewId="0">
      <selection activeCell="I33" sqref="I33"/>
    </sheetView>
  </sheetViews>
  <sheetFormatPr defaultColWidth="8.7109375" defaultRowHeight="14.45"/>
  <cols>
    <col min="1" max="1" width="3" customWidth="1"/>
    <col min="2" max="2" width="21" customWidth="1"/>
    <col min="3" max="10" width="23.7109375" customWidth="1"/>
    <col min="11" max="11" width="1.7109375" customWidth="1"/>
    <col min="12" max="12" width="33" customWidth="1"/>
    <col min="13" max="14" width="23.28515625" customWidth="1"/>
  </cols>
  <sheetData>
    <row r="1" spans="1:32" ht="23.25" customHeight="1" thickBot="1">
      <c r="A1" s="35"/>
      <c r="B1" s="35"/>
      <c r="C1" s="206" t="s">
        <v>0</v>
      </c>
      <c r="D1" s="207">
        <v>213.8</v>
      </c>
      <c r="E1" s="35"/>
      <c r="F1" s="20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23.25" customHeight="1">
      <c r="A2" s="35"/>
      <c r="B2" s="209" t="s">
        <v>117</v>
      </c>
      <c r="C2" s="70" t="s">
        <v>1</v>
      </c>
      <c r="D2" s="152">
        <f>J8+J16+J24+J32+J40+E48</f>
        <v>37.549999999999997</v>
      </c>
      <c r="E2" s="154" t="s">
        <v>2</v>
      </c>
      <c r="F2" s="204">
        <f>J9+J17+J25+J33+J41+E49</f>
        <v>0</v>
      </c>
      <c r="G2" s="154" t="s">
        <v>3</v>
      </c>
      <c r="H2" s="204">
        <f>J10+J18+J26+J34+J42+E50</f>
        <v>0</v>
      </c>
      <c r="I2" s="72"/>
      <c r="J2" s="98" t="s">
        <v>4</v>
      </c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 customHeight="1">
      <c r="A3" s="35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8</v>
      </c>
      <c r="H3" s="75" t="s">
        <v>11</v>
      </c>
      <c r="I3" s="175" t="s">
        <v>6</v>
      </c>
      <c r="J3" s="98" t="s">
        <v>13</v>
      </c>
      <c r="K3" s="73"/>
      <c r="L3" s="98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3.25" customHeight="1">
      <c r="A4" s="35"/>
      <c r="B4" s="93" t="s">
        <v>14</v>
      </c>
      <c r="C4" s="232" t="s">
        <v>252</v>
      </c>
      <c r="D4" s="232" t="s">
        <v>252</v>
      </c>
      <c r="E4" s="172">
        <v>1</v>
      </c>
      <c r="F4" s="172">
        <v>2</v>
      </c>
      <c r="G4" s="172">
        <v>3</v>
      </c>
      <c r="H4" s="173">
        <v>4</v>
      </c>
      <c r="I4" s="174">
        <v>5</v>
      </c>
      <c r="J4" s="98" t="s">
        <v>15</v>
      </c>
      <c r="K4" s="73"/>
      <c r="L4" s="99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>
      <c r="A5" s="35"/>
      <c r="B5" s="94" t="s">
        <v>16</v>
      </c>
      <c r="C5" s="215"/>
      <c r="D5" s="216"/>
      <c r="E5" s="474" t="s">
        <v>307</v>
      </c>
      <c r="F5" s="475"/>
      <c r="G5" s="475"/>
      <c r="H5" s="475"/>
      <c r="I5" s="476"/>
      <c r="J5" s="98" t="s">
        <v>17</v>
      </c>
      <c r="K5" s="73"/>
      <c r="L5" s="236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23.25" customHeight="1">
      <c r="A6" s="35"/>
      <c r="B6" s="93" t="s">
        <v>18</v>
      </c>
      <c r="C6" s="162"/>
      <c r="D6" s="123"/>
      <c r="E6" s="132">
        <v>0.01</v>
      </c>
      <c r="F6" s="123">
        <v>0</v>
      </c>
      <c r="G6" s="123">
        <v>0.01</v>
      </c>
      <c r="H6" s="123">
        <v>0.04</v>
      </c>
      <c r="I6" s="163">
        <v>0.09</v>
      </c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23.25" customHeight="1">
      <c r="A7" s="35"/>
      <c r="B7" s="94" t="s">
        <v>19</v>
      </c>
      <c r="C7" s="164"/>
      <c r="D7" s="122"/>
      <c r="E7" s="131" t="s">
        <v>62</v>
      </c>
      <c r="F7" s="122" t="s">
        <v>521</v>
      </c>
      <c r="G7" s="122" t="s">
        <v>42</v>
      </c>
      <c r="H7" s="122" t="s">
        <v>42</v>
      </c>
      <c r="I7" s="158" t="s">
        <v>62</v>
      </c>
      <c r="J7" s="156" t="s">
        <v>20</v>
      </c>
      <c r="K7" s="73"/>
      <c r="L7" s="2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23.25" customHeight="1">
      <c r="A8" s="35"/>
      <c r="B8" s="93" t="s">
        <v>21</v>
      </c>
      <c r="C8" s="166"/>
      <c r="D8" s="125"/>
      <c r="E8" s="134"/>
      <c r="F8" s="125"/>
      <c r="G8" s="125"/>
      <c r="H8" s="125"/>
      <c r="I8" s="155"/>
      <c r="J8" s="176" cm="1">
        <f t="array" ref="J8">SUM(IF(ISNUMBER(C8:I8), C8:I8, 0))</f>
        <v>0</v>
      </c>
      <c r="K8" s="73"/>
      <c r="L8" s="210" t="s">
        <v>22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23.25" customHeight="1">
      <c r="A9" s="35"/>
      <c r="B9" s="93" t="s">
        <v>23</v>
      </c>
      <c r="C9" s="166"/>
      <c r="D9" s="125"/>
      <c r="E9" s="134"/>
      <c r="F9" s="125"/>
      <c r="G9" s="125"/>
      <c r="H9" s="125"/>
      <c r="I9" s="155"/>
      <c r="J9" s="176" cm="1">
        <f t="array" ref="J9">SUM(IF(ISNUMBER(B9:I9), B9:I9, 0))</f>
        <v>0</v>
      </c>
      <c r="K9" s="73"/>
      <c r="L9" s="210" t="s">
        <v>24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23.25" customHeight="1" thickBot="1">
      <c r="A10" s="35"/>
      <c r="B10" s="93" t="s">
        <v>25</v>
      </c>
      <c r="C10" s="166"/>
      <c r="D10" s="125"/>
      <c r="E10" s="134"/>
      <c r="F10" s="125"/>
      <c r="G10" s="125"/>
      <c r="H10" s="125"/>
      <c r="I10" s="222"/>
      <c r="J10" s="157" cm="1">
        <f t="array" ref="J10">SUM(IF(ISNUMBER(B10:I10), B10:I10, 0))</f>
        <v>0</v>
      </c>
      <c r="K10" s="73"/>
      <c r="L10" s="210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23.25" customHeight="1" thickBot="1">
      <c r="A11" s="35"/>
      <c r="B11" s="95" t="s">
        <v>27</v>
      </c>
      <c r="C11" s="167"/>
      <c r="D11" s="168"/>
      <c r="E11" s="169" t="s">
        <v>580</v>
      </c>
      <c r="F11" s="233" t="s">
        <v>581</v>
      </c>
      <c r="G11" s="168" t="s">
        <v>582</v>
      </c>
      <c r="H11" s="170" t="s">
        <v>583</v>
      </c>
      <c r="I11" s="177" t="s">
        <v>584</v>
      </c>
      <c r="J11" s="82"/>
      <c r="K11" s="73"/>
      <c r="L11" s="213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23.25" customHeight="1">
      <c r="A12" s="35"/>
      <c r="B12" s="35" t="s">
        <v>4</v>
      </c>
      <c r="C12" s="182">
        <v>6</v>
      </c>
      <c r="D12" s="182">
        <v>7</v>
      </c>
      <c r="E12" s="182">
        <v>8</v>
      </c>
      <c r="F12" s="182">
        <v>9</v>
      </c>
      <c r="G12" s="182">
        <v>10</v>
      </c>
      <c r="H12" s="183">
        <v>11</v>
      </c>
      <c r="I12" s="184">
        <v>12</v>
      </c>
      <c r="J12" s="159"/>
      <c r="K12" s="73"/>
      <c r="L12" s="213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23.25" customHeight="1">
      <c r="A13" s="35"/>
      <c r="B13" s="35"/>
      <c r="C13" s="477" t="s">
        <v>307</v>
      </c>
      <c r="D13" s="475"/>
      <c r="E13" s="475"/>
      <c r="F13" s="475"/>
      <c r="G13" s="475"/>
      <c r="H13" s="478"/>
      <c r="I13" s="161" t="s">
        <v>585</v>
      </c>
      <c r="J13" s="159"/>
      <c r="K13" s="73"/>
      <c r="L13" s="213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23.25" customHeight="1">
      <c r="A14" s="35"/>
      <c r="B14" s="35"/>
      <c r="C14" s="162">
        <v>0.16</v>
      </c>
      <c r="D14" s="123">
        <v>0.23</v>
      </c>
      <c r="E14" s="123">
        <v>0.32</v>
      </c>
      <c r="F14" s="123">
        <v>0.42</v>
      </c>
      <c r="G14" s="123">
        <v>0.52</v>
      </c>
      <c r="H14" s="123">
        <v>0.63</v>
      </c>
      <c r="I14" s="163">
        <v>0.74</v>
      </c>
      <c r="J14" s="73"/>
      <c r="K14" s="73"/>
      <c r="L14" s="213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23.25" customHeight="1">
      <c r="A15" s="35"/>
      <c r="B15" s="35"/>
      <c r="C15" s="164" t="s">
        <v>253</v>
      </c>
      <c r="D15" s="218" t="s">
        <v>521</v>
      </c>
      <c r="E15" s="122" t="s">
        <v>253</v>
      </c>
      <c r="F15" s="122" t="s">
        <v>521</v>
      </c>
      <c r="G15" s="122" t="s">
        <v>42</v>
      </c>
      <c r="H15" s="122" t="s">
        <v>253</v>
      </c>
      <c r="I15" s="158" t="s">
        <v>253</v>
      </c>
      <c r="J15" s="156" t="s">
        <v>29</v>
      </c>
      <c r="K15" s="73"/>
      <c r="L15" s="21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23.25" customHeight="1">
      <c r="A16" s="35"/>
      <c r="B16" s="35"/>
      <c r="C16" s="166"/>
      <c r="D16" s="125"/>
      <c r="E16" s="125"/>
      <c r="F16" s="125"/>
      <c r="G16" s="125"/>
      <c r="H16" s="125">
        <v>1.75</v>
      </c>
      <c r="I16" s="155">
        <v>0</v>
      </c>
      <c r="J16" s="176" cm="1">
        <f t="array" ref="J16">SUM(IF(ISNUMBER(B16:I16), B16:I16, 0))</f>
        <v>1.75</v>
      </c>
      <c r="K16" s="73"/>
      <c r="L16" s="212" t="s">
        <v>22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23.25" customHeight="1">
      <c r="A17" s="35"/>
      <c r="B17" s="35"/>
      <c r="C17" s="166"/>
      <c r="D17" s="125"/>
      <c r="E17" s="125"/>
      <c r="F17" s="125"/>
      <c r="G17" s="125"/>
      <c r="H17" s="125">
        <v>0</v>
      </c>
      <c r="I17" s="155">
        <v>0</v>
      </c>
      <c r="J17" s="176" cm="1">
        <f t="array" ref="J17">SUM(IF(ISNUMBER(B17:I17), B17:I17, 0))</f>
        <v>0</v>
      </c>
      <c r="K17" s="73"/>
      <c r="L17" s="212" t="s">
        <v>24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23.25" customHeight="1" thickBot="1">
      <c r="A18" s="35"/>
      <c r="B18" s="35"/>
      <c r="C18" s="166"/>
      <c r="D18" s="125"/>
      <c r="E18" s="125"/>
      <c r="F18" s="125"/>
      <c r="G18" s="125"/>
      <c r="H18" s="125">
        <v>0</v>
      </c>
      <c r="I18" s="155">
        <v>0</v>
      </c>
      <c r="J18" s="157" cm="1">
        <f t="array" ref="J18">SUM(IF(ISNUMBER(B18:I18), B18:I18, 0))</f>
        <v>0</v>
      </c>
      <c r="K18" s="73"/>
      <c r="L18" s="212" t="s">
        <v>26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23.25" customHeight="1">
      <c r="A19" s="35"/>
      <c r="B19" s="35"/>
      <c r="C19" s="179" t="s">
        <v>586</v>
      </c>
      <c r="D19" s="180" t="s">
        <v>587</v>
      </c>
      <c r="E19" s="168" t="s">
        <v>588</v>
      </c>
      <c r="F19" s="168" t="s">
        <v>589</v>
      </c>
      <c r="G19" s="181" t="s">
        <v>590</v>
      </c>
      <c r="H19" s="208" t="s">
        <v>591</v>
      </c>
      <c r="I19" s="177" t="s">
        <v>592</v>
      </c>
      <c r="J19" s="73"/>
      <c r="K19" s="73"/>
      <c r="L19" s="213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23.25" customHeight="1">
      <c r="A20" s="35"/>
      <c r="B20" s="35"/>
      <c r="C20" s="182">
        <v>13</v>
      </c>
      <c r="D20" s="182">
        <v>14</v>
      </c>
      <c r="E20" s="182">
        <v>15</v>
      </c>
      <c r="F20" s="182">
        <v>16</v>
      </c>
      <c r="G20" s="182">
        <v>17</v>
      </c>
      <c r="H20" s="183">
        <v>18</v>
      </c>
      <c r="I20" s="184">
        <v>19</v>
      </c>
      <c r="J20" s="159"/>
      <c r="K20" s="73"/>
      <c r="L20" s="213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23.25" customHeight="1">
      <c r="A21" s="35"/>
      <c r="B21" s="35"/>
      <c r="C21" s="231" t="s">
        <v>593</v>
      </c>
      <c r="D21" s="191"/>
      <c r="E21" s="191"/>
      <c r="F21" s="191"/>
      <c r="G21" s="191"/>
      <c r="H21" s="191"/>
      <c r="I21" s="237"/>
      <c r="J21" s="159"/>
      <c r="K21" s="73"/>
      <c r="L21" s="21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23.25" customHeight="1">
      <c r="A22" s="35"/>
      <c r="B22" s="35"/>
      <c r="C22" s="162">
        <v>0.83</v>
      </c>
      <c r="D22" s="123">
        <v>0.91</v>
      </c>
      <c r="E22" s="123">
        <v>0.97</v>
      </c>
      <c r="F22" s="123">
        <v>1</v>
      </c>
      <c r="G22" s="123">
        <v>1</v>
      </c>
      <c r="H22" s="123">
        <v>0.97</v>
      </c>
      <c r="I22" s="163">
        <v>0.91</v>
      </c>
      <c r="J22" s="73"/>
      <c r="K22" s="73"/>
      <c r="L22" s="21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3.25" customHeight="1">
      <c r="A23" s="35"/>
      <c r="B23" s="35"/>
      <c r="C23" s="164" t="s">
        <v>62</v>
      </c>
      <c r="D23" s="242"/>
      <c r="E23" s="242"/>
      <c r="F23" s="242"/>
      <c r="G23" s="242"/>
      <c r="H23" s="242"/>
      <c r="I23" s="243"/>
      <c r="J23" s="239" t="s">
        <v>30</v>
      </c>
      <c r="K23" s="73"/>
      <c r="L23" s="213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3.25" customHeight="1">
      <c r="A24" s="35"/>
      <c r="B24" s="35"/>
      <c r="C24" s="166"/>
      <c r="D24" s="138"/>
      <c r="E24" s="125"/>
      <c r="F24" s="125"/>
      <c r="G24" s="125"/>
      <c r="H24" s="124"/>
      <c r="I24" s="238"/>
      <c r="J24" s="240" cm="1">
        <f t="array" ref="J24">SUM(IF(ISNUMBER(B24:I24), B24:I24, 0))</f>
        <v>0</v>
      </c>
      <c r="K24" s="73"/>
      <c r="L24" s="212" t="s">
        <v>22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3.25" customHeight="1">
      <c r="A25" s="35"/>
      <c r="B25" s="35"/>
      <c r="C25" s="166"/>
      <c r="D25" s="138"/>
      <c r="E25" s="125"/>
      <c r="F25" s="125"/>
      <c r="G25" s="125"/>
      <c r="H25" s="124"/>
      <c r="I25" s="238"/>
      <c r="J25" s="240" cm="1">
        <f t="array" ref="J25">SUM(IF(ISNUMBER(B25:I25), B25:I25, 0))</f>
        <v>0</v>
      </c>
      <c r="K25" s="73"/>
      <c r="L25" s="212" t="s">
        <v>24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3.25" customHeight="1">
      <c r="A26" s="35"/>
      <c r="B26" s="35"/>
      <c r="C26" s="166"/>
      <c r="D26" s="124"/>
      <c r="E26" s="124"/>
      <c r="F26" s="124"/>
      <c r="G26" s="124"/>
      <c r="H26" s="124"/>
      <c r="I26" s="238"/>
      <c r="J26" s="241" cm="1">
        <f t="array" ref="J26">SUM(IF(ISNUMBER(B26:I26), B26:I26, 0))</f>
        <v>0</v>
      </c>
      <c r="K26" s="73"/>
      <c r="L26" s="212" t="s">
        <v>26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3.25" customHeight="1">
      <c r="A27" s="35"/>
      <c r="B27" s="35"/>
      <c r="C27" s="234" t="s">
        <v>594</v>
      </c>
      <c r="D27" s="168"/>
      <c r="E27" s="168"/>
      <c r="F27" s="170"/>
      <c r="G27" s="168"/>
      <c r="H27" s="168"/>
      <c r="I27" s="171"/>
      <c r="J27" s="73"/>
      <c r="K27" s="73"/>
      <c r="L27" s="213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23.25" customHeight="1">
      <c r="A28" s="35"/>
      <c r="B28" s="35"/>
      <c r="C28" s="182">
        <v>20</v>
      </c>
      <c r="D28" s="182">
        <v>21</v>
      </c>
      <c r="E28" s="182">
        <v>22</v>
      </c>
      <c r="F28" s="182">
        <v>23</v>
      </c>
      <c r="G28" s="182">
        <v>24</v>
      </c>
      <c r="H28" s="183">
        <v>25</v>
      </c>
      <c r="I28" s="189">
        <v>26</v>
      </c>
      <c r="J28" s="185"/>
      <c r="K28" s="73"/>
      <c r="L28" s="21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23.25" customHeight="1">
      <c r="A29" s="35"/>
      <c r="B29" s="35"/>
      <c r="C29" s="245" t="s">
        <v>593</v>
      </c>
      <c r="D29" s="186" t="s">
        <v>62</v>
      </c>
      <c r="E29" s="244" t="s">
        <v>379</v>
      </c>
      <c r="F29" s="221" t="s">
        <v>593</v>
      </c>
      <c r="G29" s="186" t="s">
        <v>585</v>
      </c>
      <c r="H29" s="186" t="s">
        <v>42</v>
      </c>
      <c r="I29" s="161" t="s">
        <v>340</v>
      </c>
      <c r="J29" s="159"/>
      <c r="K29" s="73"/>
      <c r="L29" s="21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23.25" customHeight="1">
      <c r="A30" s="35"/>
      <c r="B30" s="35"/>
      <c r="C30" s="162">
        <v>0.83</v>
      </c>
      <c r="D30" s="123">
        <v>0.74</v>
      </c>
      <c r="E30" s="123">
        <v>0.64</v>
      </c>
      <c r="F30" s="123">
        <v>0.53</v>
      </c>
      <c r="G30" s="123">
        <v>0.43</v>
      </c>
      <c r="H30" s="123">
        <v>0.34</v>
      </c>
      <c r="I30" s="163">
        <v>0.25</v>
      </c>
      <c r="J30" s="73"/>
      <c r="K30" s="73"/>
      <c r="L30" s="21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23.25" customHeight="1">
      <c r="A31" s="35"/>
      <c r="B31" s="35"/>
      <c r="C31" s="164" t="s">
        <v>62</v>
      </c>
      <c r="D31" s="218" t="s">
        <v>252</v>
      </c>
      <c r="E31" s="122" t="s">
        <v>521</v>
      </c>
      <c r="F31" s="122" t="s">
        <v>253</v>
      </c>
      <c r="G31" s="122" t="s">
        <v>253</v>
      </c>
      <c r="H31" s="218" t="s">
        <v>252</v>
      </c>
      <c r="I31" s="165" t="s">
        <v>252</v>
      </c>
      <c r="J31" s="239" t="s">
        <v>31</v>
      </c>
      <c r="K31" s="73"/>
      <c r="L31" s="21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23.25" customHeight="1">
      <c r="A32" s="35"/>
      <c r="B32" s="35"/>
      <c r="C32" s="166">
        <v>0.7</v>
      </c>
      <c r="D32" s="125">
        <v>3.9</v>
      </c>
      <c r="E32" s="125">
        <v>3.2</v>
      </c>
      <c r="F32" s="264">
        <v>4</v>
      </c>
      <c r="G32" s="125">
        <v>4</v>
      </c>
      <c r="H32" s="125">
        <v>7</v>
      </c>
      <c r="I32" s="246">
        <v>4</v>
      </c>
      <c r="J32" s="240" cm="1">
        <f t="array" ref="J32">SUM(IF(ISNUMBER(B32:I32), B32:I32, 0))</f>
        <v>26.8</v>
      </c>
      <c r="K32" s="73"/>
      <c r="L32" s="212" t="s">
        <v>22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23.25" customHeight="1">
      <c r="A33" s="35"/>
      <c r="B33" s="35"/>
      <c r="C33" s="166"/>
      <c r="D33" s="125"/>
      <c r="E33" s="125"/>
      <c r="F33" s="125"/>
      <c r="G33" s="155"/>
      <c r="H33" s="125"/>
      <c r="I33" s="246"/>
      <c r="J33" s="240" cm="1">
        <f t="array" ref="J33">SUM(IF(ISNUMBER(B33:I33), B33:I33, 0))</f>
        <v>0</v>
      </c>
      <c r="K33" s="73"/>
      <c r="L33" s="212" t="s">
        <v>24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23.25" customHeight="1">
      <c r="A34" s="35"/>
      <c r="B34" s="35"/>
      <c r="C34" s="166"/>
      <c r="D34" s="125"/>
      <c r="E34" s="125"/>
      <c r="F34" s="125"/>
      <c r="G34" s="247"/>
      <c r="H34" s="125"/>
      <c r="I34" s="246"/>
      <c r="J34" s="241" cm="1">
        <f t="array" ref="J34">SUM(IF(ISNUMBER(B34:I34), B34:I34, 0))</f>
        <v>0</v>
      </c>
      <c r="K34" s="73"/>
      <c r="L34" s="212" t="s">
        <v>26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23.25" customHeight="1">
      <c r="A35" s="35"/>
      <c r="B35" s="35"/>
      <c r="C35" s="179" t="s">
        <v>595</v>
      </c>
      <c r="D35" s="168" t="s">
        <v>596</v>
      </c>
      <c r="E35" s="168" t="s">
        <v>597</v>
      </c>
      <c r="F35" s="168" t="s">
        <v>598</v>
      </c>
      <c r="G35" s="168" t="s">
        <v>599</v>
      </c>
      <c r="H35" s="168" t="s">
        <v>600</v>
      </c>
      <c r="I35" s="235" t="s">
        <v>601</v>
      </c>
      <c r="J35" s="73"/>
      <c r="K35" s="73"/>
      <c r="L35" s="213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23.25" customHeight="1">
      <c r="A36" s="35"/>
      <c r="B36" s="35"/>
      <c r="C36" s="182">
        <v>27</v>
      </c>
      <c r="D36" s="182">
        <v>28</v>
      </c>
      <c r="E36" s="182">
        <v>29</v>
      </c>
      <c r="F36" s="182">
        <v>30</v>
      </c>
      <c r="G36" s="182">
        <v>31</v>
      </c>
      <c r="H36" s="183"/>
      <c r="I36" s="189"/>
      <c r="J36" s="185"/>
      <c r="K36" s="73"/>
      <c r="L36" s="21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23.25" customHeight="1">
      <c r="A37" s="35"/>
      <c r="B37" s="35"/>
      <c r="C37" s="215" t="s">
        <v>528</v>
      </c>
      <c r="D37" s="216" t="s">
        <v>251</v>
      </c>
      <c r="E37" s="160" t="s">
        <v>521</v>
      </c>
      <c r="F37" s="160" t="s">
        <v>251</v>
      </c>
      <c r="G37" s="160" t="s">
        <v>379</v>
      </c>
      <c r="H37" s="160"/>
      <c r="I37" s="161"/>
      <c r="J37" s="159"/>
      <c r="K37" s="73"/>
      <c r="L37" s="21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23.25" customHeight="1" thickBot="1">
      <c r="A38" s="35"/>
      <c r="B38" s="35"/>
      <c r="C38" s="162">
        <v>0.17</v>
      </c>
      <c r="D38" s="123">
        <v>0.11</v>
      </c>
      <c r="E38" s="123">
        <v>0.06</v>
      </c>
      <c r="F38" s="123">
        <v>0.02</v>
      </c>
      <c r="G38" s="123">
        <v>0</v>
      </c>
      <c r="H38" s="123"/>
      <c r="I38" s="163"/>
      <c r="J38" s="73"/>
      <c r="K38" s="73"/>
      <c r="L38" s="213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3.25" customHeight="1">
      <c r="A39" s="35"/>
      <c r="B39" s="35"/>
      <c r="C39" s="164" t="s">
        <v>253</v>
      </c>
      <c r="D39" s="122" t="s">
        <v>253</v>
      </c>
      <c r="E39" s="218" t="s">
        <v>252</v>
      </c>
      <c r="F39" s="122" t="s">
        <v>340</v>
      </c>
      <c r="G39" s="122" t="s">
        <v>521</v>
      </c>
      <c r="H39" s="122"/>
      <c r="I39" s="158"/>
      <c r="J39" s="156" t="s">
        <v>32</v>
      </c>
      <c r="K39" s="73"/>
      <c r="L39" s="213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23.25" customHeight="1">
      <c r="A40" s="35"/>
      <c r="B40" s="35"/>
      <c r="C40" s="178">
        <v>3</v>
      </c>
      <c r="D40" s="124" t="s">
        <v>602</v>
      </c>
      <c r="E40" s="124" t="s">
        <v>603</v>
      </c>
      <c r="F40" s="124" t="s">
        <v>395</v>
      </c>
      <c r="G40" s="124">
        <v>6</v>
      </c>
      <c r="H40" s="124"/>
      <c r="I40" s="203"/>
      <c r="J40" s="176" cm="1">
        <f t="array" ref="J40">SUM(IF(ISNUMBER(B40:I40), B40:I40, 0))</f>
        <v>9</v>
      </c>
      <c r="K40" s="73"/>
      <c r="L40" s="212" t="s">
        <v>22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23.25" customHeight="1">
      <c r="A41" s="35"/>
      <c r="B41" s="35"/>
      <c r="C41" s="166"/>
      <c r="D41" s="125"/>
      <c r="E41" s="125"/>
      <c r="F41" s="125"/>
      <c r="G41" s="125"/>
      <c r="H41" s="125"/>
      <c r="I41" s="155"/>
      <c r="J41" s="176" cm="1">
        <f t="array" ref="J41">SUM(IF(ISNUMBER(B44:I44), B44:I44, 0))</f>
        <v>0</v>
      </c>
      <c r="K41" s="73"/>
      <c r="L41" s="212" t="s">
        <v>24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23.25" customHeight="1" thickBot="1">
      <c r="A42" s="35"/>
      <c r="B42" s="35"/>
      <c r="C42" s="166"/>
      <c r="D42" s="125"/>
      <c r="E42" s="125"/>
      <c r="F42" s="125"/>
      <c r="G42" s="125"/>
      <c r="H42" s="125"/>
      <c r="I42" s="155"/>
      <c r="J42" s="157" cm="1">
        <f t="array" ref="J42">SUM(IF(ISNUMBER(B42:I42), B42:I42, 0))</f>
        <v>0</v>
      </c>
      <c r="K42" s="73"/>
      <c r="L42" s="212" t="s">
        <v>26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23.25" customHeight="1" thickBot="1">
      <c r="A43" s="35"/>
      <c r="B43" s="35"/>
      <c r="C43" s="202" t="s">
        <v>604</v>
      </c>
      <c r="D43" s="150" t="s">
        <v>605</v>
      </c>
      <c r="E43" s="170" t="s">
        <v>606</v>
      </c>
      <c r="F43" s="168" t="s">
        <v>607</v>
      </c>
      <c r="G43" s="168" t="s">
        <v>608</v>
      </c>
      <c r="H43" s="168"/>
      <c r="I43" s="171"/>
      <c r="J43" s="73"/>
      <c r="K43" s="73"/>
      <c r="L43" s="211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23.25" customHeight="1" thickBot="1">
      <c r="A44" s="35"/>
      <c r="B44" s="35"/>
      <c r="C44" s="200"/>
      <c r="D44" s="201"/>
      <c r="E44" s="185"/>
      <c r="F44" s="73"/>
      <c r="G44" s="73"/>
      <c r="H44" s="73"/>
      <c r="I44" s="73"/>
      <c r="J44" s="73"/>
      <c r="K44" s="73"/>
      <c r="L44" s="21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3.25" customHeight="1">
      <c r="A45" s="35"/>
      <c r="B45" s="35"/>
      <c r="C45" s="164"/>
      <c r="D45" s="165"/>
      <c r="E45" s="159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23.25" customHeight="1" thickBot="1">
      <c r="A46" s="35"/>
      <c r="B46" s="35"/>
      <c r="C46" s="196"/>
      <c r="D46" s="197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23.25" customHeight="1">
      <c r="A47" s="35"/>
      <c r="B47" s="35"/>
      <c r="C47" s="164"/>
      <c r="D47" s="158"/>
      <c r="E47" s="156" t="s">
        <v>33</v>
      </c>
      <c r="F47" s="214"/>
      <c r="G47" s="73"/>
      <c r="H47" s="73"/>
      <c r="I47" s="73"/>
      <c r="J47" s="73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23.25" customHeight="1">
      <c r="A48" s="35"/>
      <c r="B48" s="35"/>
      <c r="C48" s="178"/>
      <c r="D48" s="203"/>
      <c r="E48" s="176" cm="1">
        <f t="array" ref="E48">SUM(IF(ISNUMBER(B48:D48), B48:D48, 0))</f>
        <v>0</v>
      </c>
      <c r="F48" s="212" t="s">
        <v>34</v>
      </c>
      <c r="G48" s="73"/>
      <c r="H48" s="73"/>
      <c r="I48" s="73"/>
      <c r="J48" s="73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23.25" customHeight="1">
      <c r="A49" s="35"/>
      <c r="B49" s="35"/>
      <c r="C49" s="166"/>
      <c r="D49" s="155"/>
      <c r="E49" s="176" cm="1">
        <f t="array" ref="E49">SUM(IF(ISNUMBER(B49:D49), B49:D49, 0))</f>
        <v>0</v>
      </c>
      <c r="F49" s="212" t="s">
        <v>35</v>
      </c>
      <c r="G49" s="73"/>
      <c r="H49" s="73"/>
      <c r="I49" s="73"/>
      <c r="J49" s="73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23.25" customHeight="1" thickBot="1">
      <c r="A50" s="35"/>
      <c r="B50" s="35"/>
      <c r="C50" s="166"/>
      <c r="D50" s="155"/>
      <c r="E50" s="157" cm="1">
        <f t="array" ref="E50">SUM(IF(ISNUMBER(B50:D50), B50:D50, 0))</f>
        <v>0</v>
      </c>
      <c r="F50" s="212" t="s">
        <v>36</v>
      </c>
      <c r="G50" s="7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23.25" customHeight="1" thickBot="1">
      <c r="A51" s="35"/>
      <c r="B51" s="35"/>
      <c r="C51" s="179"/>
      <c r="D51" s="171"/>
      <c r="E51" s="73"/>
      <c r="F51" s="35"/>
      <c r="G51" s="73"/>
      <c r="H51" s="73"/>
      <c r="I51" s="73"/>
      <c r="J51" s="73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23.25" customHeight="1">
      <c r="A52" s="35"/>
      <c r="B52" s="35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22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7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7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7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7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7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7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7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7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7.4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7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7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7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7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7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7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7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7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7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7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7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7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7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7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7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7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7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7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7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7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7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7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7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7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7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</sheetData>
  <mergeCells count="2">
    <mergeCell ref="E5:I5"/>
    <mergeCell ref="C13:H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2C44-FD51-4DE2-9893-8A20964A010C}">
  <dimension ref="A1:AF88"/>
  <sheetViews>
    <sheetView topLeftCell="A19" zoomScale="77" zoomScaleNormal="77" workbookViewId="0">
      <selection activeCell="A38" sqref="A38"/>
    </sheetView>
  </sheetViews>
  <sheetFormatPr defaultColWidth="8.7109375" defaultRowHeight="14.45"/>
  <cols>
    <col min="1" max="1" width="3" customWidth="1"/>
    <col min="2" max="2" width="20.7109375" customWidth="1"/>
    <col min="3" max="10" width="22.7109375" customWidth="1"/>
    <col min="11" max="11" width="1.28515625" customWidth="1"/>
    <col min="12" max="14" width="23.28515625" customWidth="1"/>
  </cols>
  <sheetData>
    <row r="1" spans="1:32" ht="23.25" customHeight="1" thickBot="1">
      <c r="A1" s="35"/>
      <c r="B1" s="35"/>
      <c r="C1" s="206" t="s">
        <v>0</v>
      </c>
      <c r="D1" s="207">
        <v>183.2</v>
      </c>
      <c r="E1" s="35"/>
      <c r="F1" s="20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23.25" customHeight="1">
      <c r="A2" s="35"/>
      <c r="B2" s="209" t="s">
        <v>160</v>
      </c>
      <c r="C2" s="70" t="s">
        <v>1</v>
      </c>
      <c r="D2" s="152">
        <f>J8+J16+J24+J32+J40+E48</f>
        <v>100.6</v>
      </c>
      <c r="E2" s="154" t="s">
        <v>2</v>
      </c>
      <c r="F2" s="204">
        <f>J9+J17+J25+J33+J41+E49</f>
        <v>0</v>
      </c>
      <c r="G2" s="154" t="s">
        <v>3</v>
      </c>
      <c r="H2" s="204">
        <f>J10+J18+J26+J34+J42+E50</f>
        <v>0</v>
      </c>
      <c r="I2" s="72"/>
      <c r="J2" s="73"/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 customHeight="1">
      <c r="A3" s="35"/>
      <c r="B3" s="92" t="s">
        <v>5</v>
      </c>
      <c r="C3" s="74" t="s">
        <v>6</v>
      </c>
      <c r="D3" s="75" t="s">
        <v>7</v>
      </c>
      <c r="E3" s="151" t="s">
        <v>8</v>
      </c>
      <c r="F3" s="153" t="s">
        <v>9</v>
      </c>
      <c r="G3" s="75" t="s">
        <v>8</v>
      </c>
      <c r="H3" s="75" t="s">
        <v>11</v>
      </c>
      <c r="I3" s="175" t="s">
        <v>6</v>
      </c>
      <c r="J3" s="73"/>
      <c r="K3" s="73"/>
      <c r="L3" s="98" t="s">
        <v>609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3.25" customHeight="1" thickBot="1">
      <c r="A4" s="35"/>
      <c r="B4" s="93" t="s">
        <v>14</v>
      </c>
      <c r="C4" s="172">
        <v>1</v>
      </c>
      <c r="D4" s="172">
        <v>2</v>
      </c>
      <c r="E4" s="172">
        <v>3</v>
      </c>
      <c r="F4" s="172">
        <v>4</v>
      </c>
      <c r="G4" s="172">
        <v>5</v>
      </c>
      <c r="H4" s="173">
        <v>6</v>
      </c>
      <c r="I4" s="174">
        <v>7</v>
      </c>
      <c r="J4" s="159"/>
      <c r="K4" s="73"/>
      <c r="L4" s="99" t="s">
        <v>610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>
      <c r="A5" s="35"/>
      <c r="B5" s="94" t="s">
        <v>16</v>
      </c>
      <c r="C5" s="215" t="s">
        <v>252</v>
      </c>
      <c r="D5" s="216" t="s">
        <v>252</v>
      </c>
      <c r="E5" s="217" t="s">
        <v>252</v>
      </c>
      <c r="F5" s="216" t="s">
        <v>252</v>
      </c>
      <c r="G5" s="160" t="s">
        <v>379</v>
      </c>
      <c r="H5" s="160" t="s">
        <v>251</v>
      </c>
      <c r="I5" s="219" t="s">
        <v>252</v>
      </c>
      <c r="J5" s="159"/>
      <c r="K5" s="73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23.25" customHeight="1" thickBot="1">
      <c r="A6" s="35"/>
      <c r="B6" s="93" t="s">
        <v>18</v>
      </c>
      <c r="C6" s="162">
        <v>0.01</v>
      </c>
      <c r="D6" s="123">
        <v>0</v>
      </c>
      <c r="E6" s="132">
        <v>0.01</v>
      </c>
      <c r="F6" s="123">
        <v>0.03</v>
      </c>
      <c r="G6" s="123">
        <v>0.08</v>
      </c>
      <c r="H6" s="123">
        <v>0.13</v>
      </c>
      <c r="I6" s="163">
        <v>0.2</v>
      </c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23.25" customHeight="1">
      <c r="A7" s="35"/>
      <c r="B7" s="94" t="s">
        <v>19</v>
      </c>
      <c r="C7" s="164" t="s">
        <v>62</v>
      </c>
      <c r="D7" s="122" t="s">
        <v>521</v>
      </c>
      <c r="E7" s="131" t="s">
        <v>340</v>
      </c>
      <c r="F7" s="122" t="s">
        <v>521</v>
      </c>
      <c r="G7" s="122" t="s">
        <v>62</v>
      </c>
      <c r="H7" s="122" t="s">
        <v>42</v>
      </c>
      <c r="I7" s="158" t="s">
        <v>253</v>
      </c>
      <c r="J7" s="156" t="s">
        <v>20</v>
      </c>
      <c r="K7" s="73"/>
      <c r="L7" s="2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23.25" customHeight="1">
      <c r="A8" s="35"/>
      <c r="B8" s="93" t="s">
        <v>21</v>
      </c>
      <c r="C8" s="166">
        <v>5.6</v>
      </c>
      <c r="D8" s="125">
        <v>8.1999999999999993</v>
      </c>
      <c r="E8" s="134">
        <v>6.9</v>
      </c>
      <c r="F8" s="125">
        <v>1.2</v>
      </c>
      <c r="G8" s="125">
        <v>7.3</v>
      </c>
      <c r="H8" s="125">
        <v>8.1</v>
      </c>
      <c r="I8" s="155">
        <v>6.8</v>
      </c>
      <c r="J8" s="176" cm="1">
        <f t="array" ref="J8">SUM(IF(ISNUMBER(C8:I8), C8:I8, 0))</f>
        <v>44.099999999999994</v>
      </c>
      <c r="K8" s="73"/>
      <c r="L8" s="210" t="s">
        <v>22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23.25" customHeight="1">
      <c r="A9" s="35"/>
      <c r="B9" s="93" t="s">
        <v>23</v>
      </c>
      <c r="C9" s="166">
        <v>0</v>
      </c>
      <c r="D9" s="125">
        <v>0</v>
      </c>
      <c r="E9" s="134">
        <v>0</v>
      </c>
      <c r="F9" s="125">
        <v>0</v>
      </c>
      <c r="G9" s="125">
        <v>0</v>
      </c>
      <c r="H9" s="125">
        <v>0</v>
      </c>
      <c r="I9" s="155">
        <v>0</v>
      </c>
      <c r="J9" s="176" cm="1">
        <f t="array" ref="J9">SUM(IF(ISNUMBER(B9:I9), B9:I9, 0))</f>
        <v>0</v>
      </c>
      <c r="K9" s="73"/>
      <c r="L9" s="210" t="s">
        <v>24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23.25" customHeight="1">
      <c r="A10" s="35"/>
      <c r="B10" s="93" t="s">
        <v>25</v>
      </c>
      <c r="C10" s="166">
        <v>0</v>
      </c>
      <c r="D10" s="125">
        <v>0</v>
      </c>
      <c r="E10" s="134">
        <v>0</v>
      </c>
      <c r="F10" s="125">
        <v>0</v>
      </c>
      <c r="G10" s="125">
        <v>0</v>
      </c>
      <c r="H10" s="125">
        <v>0</v>
      </c>
      <c r="I10" s="222">
        <v>0</v>
      </c>
      <c r="J10" s="157" cm="1">
        <f t="array" ref="J10">SUM(IF(ISNUMBER(B10:I10), B10:I10, 0))</f>
        <v>0</v>
      </c>
      <c r="K10" s="73"/>
      <c r="L10" s="210" t="s">
        <v>26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23.25" customHeight="1">
      <c r="A11" s="35"/>
      <c r="B11" s="95" t="s">
        <v>27</v>
      </c>
      <c r="C11" s="167" t="s">
        <v>611</v>
      </c>
      <c r="D11" s="168" t="s">
        <v>612</v>
      </c>
      <c r="E11" s="169" t="s">
        <v>613</v>
      </c>
      <c r="F11" s="168" t="s">
        <v>614</v>
      </c>
      <c r="G11" s="168" t="s">
        <v>615</v>
      </c>
      <c r="H11" s="170" t="s">
        <v>616</v>
      </c>
      <c r="I11" s="177" t="s">
        <v>617</v>
      </c>
      <c r="J11" s="82"/>
      <c r="K11" s="73"/>
      <c r="L11" s="213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23.25" customHeight="1">
      <c r="A12" s="35"/>
      <c r="B12" s="35" t="s">
        <v>4</v>
      </c>
      <c r="C12" s="182">
        <v>8</v>
      </c>
      <c r="D12" s="182">
        <v>9</v>
      </c>
      <c r="E12" s="182">
        <v>10</v>
      </c>
      <c r="F12" s="182">
        <v>11</v>
      </c>
      <c r="G12" s="182">
        <v>12</v>
      </c>
      <c r="H12" s="183">
        <v>13</v>
      </c>
      <c r="I12" s="184">
        <v>14</v>
      </c>
      <c r="J12" s="159"/>
      <c r="K12" s="73"/>
      <c r="L12" s="213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23.25" customHeight="1">
      <c r="A13" s="35"/>
      <c r="B13" s="35"/>
      <c r="C13" s="215" t="s">
        <v>252</v>
      </c>
      <c r="D13" s="160" t="s">
        <v>521</v>
      </c>
      <c r="E13" s="216" t="s">
        <v>252</v>
      </c>
      <c r="F13" s="216" t="s">
        <v>252</v>
      </c>
      <c r="G13" s="160" t="s">
        <v>379</v>
      </c>
      <c r="H13" s="160" t="s">
        <v>62</v>
      </c>
      <c r="I13" s="161" t="s">
        <v>528</v>
      </c>
      <c r="J13" s="159"/>
      <c r="K13" s="73"/>
      <c r="L13" s="213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23.25" customHeight="1">
      <c r="A14" s="35"/>
      <c r="B14" s="35"/>
      <c r="C14" s="162">
        <v>0.28999999999999998</v>
      </c>
      <c r="D14" s="123">
        <v>0.38</v>
      </c>
      <c r="E14" s="123">
        <v>0.48</v>
      </c>
      <c r="F14" s="123">
        <v>0.57999999999999996</v>
      </c>
      <c r="G14" s="123">
        <v>0.68</v>
      </c>
      <c r="H14" s="123">
        <v>0.78</v>
      </c>
      <c r="I14" s="163">
        <v>0.86</v>
      </c>
      <c r="J14" s="73"/>
      <c r="K14" s="73"/>
      <c r="L14" s="213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23.25" customHeight="1">
      <c r="A15" s="35"/>
      <c r="B15" s="35"/>
      <c r="C15" s="164" t="s">
        <v>62</v>
      </c>
      <c r="D15" s="218" t="s">
        <v>252</v>
      </c>
      <c r="E15" s="122" t="s">
        <v>340</v>
      </c>
      <c r="F15" s="122" t="s">
        <v>521</v>
      </c>
      <c r="G15" s="122" t="s">
        <v>42</v>
      </c>
      <c r="H15" s="122" t="s">
        <v>108</v>
      </c>
      <c r="I15" s="158" t="s">
        <v>253</v>
      </c>
      <c r="J15" s="156" t="s">
        <v>29</v>
      </c>
      <c r="K15" s="73"/>
      <c r="L15" s="213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23.25" customHeight="1">
      <c r="A16" s="35"/>
      <c r="B16" s="35"/>
      <c r="C16" s="166">
        <v>7.3</v>
      </c>
      <c r="D16" s="125" t="s">
        <v>618</v>
      </c>
      <c r="E16" s="125">
        <v>5.5</v>
      </c>
      <c r="F16" s="125">
        <v>4.7</v>
      </c>
      <c r="G16" s="125">
        <v>1.7</v>
      </c>
      <c r="H16" s="125" t="s">
        <v>619</v>
      </c>
      <c r="I16" s="155" t="s">
        <v>620</v>
      </c>
      <c r="J16" s="176" cm="1">
        <f t="array" ref="J16">SUM(IF(ISNUMBER(B16:I16), B16:I16, 0))</f>
        <v>19.2</v>
      </c>
      <c r="K16" s="73"/>
      <c r="L16" s="212" t="s">
        <v>22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23.25" customHeight="1">
      <c r="A17" s="35"/>
      <c r="B17" s="35"/>
      <c r="C17" s="166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55">
        <v>0</v>
      </c>
      <c r="J17" s="176" cm="1">
        <f t="array" ref="J17">SUM(IF(ISNUMBER(B17:I17), B17:I17, 0))</f>
        <v>0</v>
      </c>
      <c r="K17" s="73"/>
      <c r="L17" s="212" t="s">
        <v>24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23.25" customHeight="1" thickBot="1">
      <c r="A18" s="35"/>
      <c r="B18" s="35"/>
      <c r="C18" s="166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55">
        <v>0</v>
      </c>
      <c r="J18" s="157" cm="1">
        <f t="array" ref="J18">SUM(IF(ISNUMBER(B18:I18), B18:I18, 0))</f>
        <v>0</v>
      </c>
      <c r="K18" s="73"/>
      <c r="L18" s="212" t="s">
        <v>26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23.25" customHeight="1" thickBot="1">
      <c r="A19" s="35"/>
      <c r="B19" s="35"/>
      <c r="C19" s="179" t="s">
        <v>621</v>
      </c>
      <c r="D19" s="180" t="s">
        <v>622</v>
      </c>
      <c r="E19" s="168" t="s">
        <v>623</v>
      </c>
      <c r="F19" s="168" t="s">
        <v>624</v>
      </c>
      <c r="G19" s="181" t="s">
        <v>625</v>
      </c>
      <c r="H19" s="208" t="s">
        <v>626</v>
      </c>
      <c r="I19" s="177" t="s">
        <v>627</v>
      </c>
      <c r="J19" s="73"/>
      <c r="K19" s="73"/>
      <c r="L19" s="213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23.25" customHeight="1">
      <c r="A20" s="35"/>
      <c r="B20" s="35"/>
      <c r="C20" s="182">
        <v>15</v>
      </c>
      <c r="D20" s="182">
        <v>16</v>
      </c>
      <c r="E20" s="182">
        <v>17</v>
      </c>
      <c r="F20" s="182">
        <v>18</v>
      </c>
      <c r="G20" s="182">
        <v>19</v>
      </c>
      <c r="H20" s="183">
        <v>20</v>
      </c>
      <c r="I20" s="174">
        <v>21</v>
      </c>
      <c r="J20" s="159"/>
      <c r="K20" s="73"/>
      <c r="L20" s="213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23.25" customHeight="1">
      <c r="A21" s="35"/>
      <c r="B21" s="35"/>
      <c r="C21" s="190"/>
      <c r="D21" s="191"/>
      <c r="E21" s="191"/>
      <c r="F21" s="191"/>
      <c r="G21" s="191"/>
      <c r="H21" s="160" t="s">
        <v>251</v>
      </c>
      <c r="I21" s="165" t="s">
        <v>42</v>
      </c>
      <c r="J21" s="159"/>
      <c r="K21" s="73"/>
      <c r="L21" s="21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23.25" customHeight="1">
      <c r="A22" s="35"/>
      <c r="B22" s="35"/>
      <c r="C22" s="162">
        <v>0.93</v>
      </c>
      <c r="D22" s="123">
        <v>0.98</v>
      </c>
      <c r="E22" s="123">
        <v>1</v>
      </c>
      <c r="F22" s="123">
        <v>0.99</v>
      </c>
      <c r="G22" s="123">
        <v>0.95</v>
      </c>
      <c r="H22" s="123">
        <v>0.88</v>
      </c>
      <c r="I22" s="163">
        <v>0.79</v>
      </c>
      <c r="J22" s="73"/>
      <c r="K22" s="73"/>
      <c r="L22" s="21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23.25" customHeight="1">
      <c r="A23" s="35"/>
      <c r="B23" s="35"/>
      <c r="C23" s="164"/>
      <c r="D23" s="122"/>
      <c r="E23" s="122"/>
      <c r="F23" s="122"/>
      <c r="G23" s="122"/>
      <c r="H23" s="122" t="s">
        <v>42</v>
      </c>
      <c r="I23" s="158" t="s">
        <v>252</v>
      </c>
      <c r="J23" s="156" t="s">
        <v>30</v>
      </c>
      <c r="K23" s="73"/>
      <c r="L23" s="213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23.25" customHeight="1">
      <c r="A24" s="35"/>
      <c r="B24" s="35"/>
      <c r="C24" s="166"/>
      <c r="D24" s="138"/>
      <c r="E24" s="125"/>
      <c r="F24" s="125"/>
      <c r="G24" s="125"/>
      <c r="H24" s="125" t="s">
        <v>628</v>
      </c>
      <c r="I24" s="155" t="s">
        <v>629</v>
      </c>
      <c r="J24" s="176" cm="1">
        <f t="array" ref="J24">SUM(IF(ISNUMBER(B24:I24), B24:I24, 0))</f>
        <v>0</v>
      </c>
      <c r="K24" s="73"/>
      <c r="L24" s="212" t="s">
        <v>22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23.25" customHeight="1">
      <c r="A25" s="35"/>
      <c r="B25" s="35"/>
      <c r="C25" s="166"/>
      <c r="D25" s="138"/>
      <c r="E25" s="125"/>
      <c r="F25" s="125"/>
      <c r="G25" s="125"/>
      <c r="H25" s="125">
        <v>0</v>
      </c>
      <c r="I25" s="155">
        <v>0</v>
      </c>
      <c r="J25" s="176" cm="1">
        <f t="array" ref="J25">SUM(IF(ISNUMBER(B25:I25), B25:I25, 0))</f>
        <v>0</v>
      </c>
      <c r="K25" s="73"/>
      <c r="L25" s="212" t="s">
        <v>24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23.25" customHeight="1">
      <c r="A26" s="35"/>
      <c r="B26" s="35"/>
      <c r="C26" s="192"/>
      <c r="D26" s="124"/>
      <c r="E26" s="124"/>
      <c r="F26" s="124"/>
      <c r="G26" s="124"/>
      <c r="H26" s="125">
        <v>0</v>
      </c>
      <c r="I26" s="155">
        <v>0</v>
      </c>
      <c r="J26" s="157" cm="1">
        <f t="array" ref="J26">SUM(IF(ISNUMBER(B26:I26), B26:I26, 0))</f>
        <v>0</v>
      </c>
      <c r="K26" s="73"/>
      <c r="L26" s="212" t="s">
        <v>26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23.25" customHeight="1" thickBot="1">
      <c r="A27" s="35"/>
      <c r="B27" s="35"/>
      <c r="C27" s="193"/>
      <c r="D27" s="187"/>
      <c r="E27" s="187"/>
      <c r="F27" s="194"/>
      <c r="G27" s="187"/>
      <c r="H27" s="168" t="s">
        <v>630</v>
      </c>
      <c r="I27" s="171" t="s">
        <v>631</v>
      </c>
      <c r="J27" s="73"/>
      <c r="K27" s="73"/>
      <c r="L27" s="213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23.25" customHeight="1">
      <c r="A28" s="35"/>
      <c r="B28" s="35"/>
      <c r="C28" s="182">
        <v>22</v>
      </c>
      <c r="D28" s="182">
        <v>23</v>
      </c>
      <c r="E28" s="182">
        <v>24</v>
      </c>
      <c r="F28" s="182">
        <v>25</v>
      </c>
      <c r="G28" s="182">
        <v>26</v>
      </c>
      <c r="H28" s="183">
        <v>27</v>
      </c>
      <c r="I28" s="195">
        <v>28</v>
      </c>
      <c r="J28" s="185"/>
      <c r="K28" s="73"/>
      <c r="L28" s="213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23.25" customHeight="1">
      <c r="A29" s="35"/>
      <c r="B29" s="35"/>
      <c r="C29" s="220" t="s">
        <v>252</v>
      </c>
      <c r="D29" s="186" t="s">
        <v>521</v>
      </c>
      <c r="E29" s="221" t="s">
        <v>252</v>
      </c>
      <c r="F29" s="221" t="s">
        <v>252</v>
      </c>
      <c r="G29" s="186" t="s">
        <v>379</v>
      </c>
      <c r="H29" s="186" t="s">
        <v>42</v>
      </c>
      <c r="I29" s="165" t="s">
        <v>528</v>
      </c>
      <c r="J29" s="159"/>
      <c r="K29" s="73"/>
      <c r="L29" s="213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23.25" customHeight="1">
      <c r="A30" s="35"/>
      <c r="B30" s="35"/>
      <c r="C30" s="162">
        <v>0.69</v>
      </c>
      <c r="D30" s="123">
        <v>0.57999999999999996</v>
      </c>
      <c r="E30" s="123">
        <v>0.48</v>
      </c>
      <c r="F30" s="123">
        <v>0.37</v>
      </c>
      <c r="G30" s="123">
        <v>0.28000000000000003</v>
      </c>
      <c r="H30" s="123">
        <v>0.2</v>
      </c>
      <c r="I30" s="163">
        <v>0.12</v>
      </c>
      <c r="J30" s="73"/>
      <c r="K30" s="73"/>
      <c r="L30" s="213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23.25" customHeight="1">
      <c r="A31" s="35"/>
      <c r="B31" s="35"/>
      <c r="C31" s="164" t="s">
        <v>340</v>
      </c>
      <c r="D31" s="218" t="s">
        <v>252</v>
      </c>
      <c r="E31" s="122" t="s">
        <v>340</v>
      </c>
      <c r="F31" s="122" t="s">
        <v>521</v>
      </c>
      <c r="G31" s="122" t="s">
        <v>62</v>
      </c>
      <c r="H31" s="218" t="s">
        <v>252</v>
      </c>
      <c r="I31" s="158" t="s">
        <v>253</v>
      </c>
      <c r="J31" s="156" t="s">
        <v>31</v>
      </c>
      <c r="K31" s="73"/>
      <c r="L31" s="21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23.25" customHeight="1">
      <c r="A32" s="35"/>
      <c r="B32" s="35"/>
      <c r="C32" s="166" t="s">
        <v>632</v>
      </c>
      <c r="D32" s="125">
        <v>2.5</v>
      </c>
      <c r="E32" s="125">
        <v>3.5</v>
      </c>
      <c r="F32" s="125">
        <v>4.9000000000000004</v>
      </c>
      <c r="G32" s="125">
        <v>3.6</v>
      </c>
      <c r="H32" s="125">
        <v>0.7</v>
      </c>
      <c r="I32" s="155">
        <v>8.3000000000000007</v>
      </c>
      <c r="J32" s="176" cm="1">
        <f t="array" ref="J32">SUM(IF(ISNUMBER(B32:I32), B32:I32, 0))</f>
        <v>23.5</v>
      </c>
      <c r="K32" s="73"/>
      <c r="L32" s="212" t="s">
        <v>22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23.25" customHeight="1">
      <c r="A33" s="35"/>
      <c r="B33" s="35"/>
      <c r="C33" s="166">
        <v>0</v>
      </c>
      <c r="D33" s="125">
        <v>0</v>
      </c>
      <c r="E33" s="125">
        <v>0</v>
      </c>
      <c r="F33" s="125">
        <v>0</v>
      </c>
      <c r="G33" s="155">
        <v>0</v>
      </c>
      <c r="H33" s="125">
        <v>0</v>
      </c>
      <c r="I33" s="155">
        <v>0</v>
      </c>
      <c r="J33" s="176" cm="1">
        <f t="array" ref="J33">SUM(IF(ISNUMBER(B33:I33), B33:I33, 0))</f>
        <v>0</v>
      </c>
      <c r="K33" s="73"/>
      <c r="L33" s="212" t="s">
        <v>24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23.25" customHeight="1">
      <c r="A34" s="35"/>
      <c r="B34" s="35"/>
      <c r="C34" s="166">
        <v>0</v>
      </c>
      <c r="D34" s="125">
        <v>0</v>
      </c>
      <c r="E34" s="125">
        <v>0</v>
      </c>
      <c r="F34" s="125">
        <v>0</v>
      </c>
      <c r="G34" s="125">
        <v>0</v>
      </c>
      <c r="H34" s="125">
        <v>0</v>
      </c>
      <c r="I34" s="155">
        <v>0</v>
      </c>
      <c r="J34" s="157" cm="1">
        <f t="array" ref="J34">SUM(IF(ISNUMBER(B34:I34), B34:I34, 0))</f>
        <v>0</v>
      </c>
      <c r="K34" s="73"/>
      <c r="L34" s="212" t="s">
        <v>26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23.25" customHeight="1" thickBot="1">
      <c r="A35" s="35"/>
      <c r="B35" s="35"/>
      <c r="C35" s="179" t="s">
        <v>633</v>
      </c>
      <c r="D35" s="168" t="s">
        <v>634</v>
      </c>
      <c r="E35" s="168" t="s">
        <v>635</v>
      </c>
      <c r="F35" s="168" t="s">
        <v>636</v>
      </c>
      <c r="G35" s="187" t="s">
        <v>637</v>
      </c>
      <c r="H35" s="168" t="s">
        <v>638</v>
      </c>
      <c r="I35" s="188" t="s">
        <v>639</v>
      </c>
      <c r="J35" s="73"/>
      <c r="K35" s="73"/>
      <c r="L35" s="213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23.25" customHeight="1">
      <c r="A36" s="35"/>
      <c r="B36" s="35"/>
      <c r="C36" s="182">
        <v>29</v>
      </c>
      <c r="D36" s="182">
        <v>30</v>
      </c>
      <c r="E36" s="182"/>
      <c r="F36" s="182"/>
      <c r="G36" s="182"/>
      <c r="H36" s="183"/>
      <c r="I36" s="189"/>
      <c r="J36" s="185"/>
      <c r="K36" s="73"/>
      <c r="L36" s="21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23.25" customHeight="1">
      <c r="A37" s="35"/>
      <c r="B37" s="35"/>
      <c r="C37" s="215" t="s">
        <v>252</v>
      </c>
      <c r="D37" s="216" t="s">
        <v>252</v>
      </c>
      <c r="E37" s="160"/>
      <c r="F37" s="160"/>
      <c r="G37" s="160"/>
      <c r="H37" s="160"/>
      <c r="I37" s="161"/>
      <c r="J37" s="159"/>
      <c r="K37" s="73"/>
      <c r="L37" s="21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23.25" customHeight="1">
      <c r="A38" s="35"/>
      <c r="B38" s="35"/>
      <c r="C38" s="162">
        <v>7.0000000000000007E-2</v>
      </c>
      <c r="D38" s="123">
        <v>0.03</v>
      </c>
      <c r="E38" s="123"/>
      <c r="F38" s="123"/>
      <c r="G38" s="123"/>
      <c r="H38" s="123"/>
      <c r="I38" s="163"/>
      <c r="J38" s="73"/>
      <c r="K38" s="73"/>
      <c r="L38" s="213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23.25" customHeight="1">
      <c r="A39" s="35"/>
      <c r="B39" s="35"/>
      <c r="C39" s="164" t="s">
        <v>62</v>
      </c>
      <c r="D39" s="122" t="s">
        <v>521</v>
      </c>
      <c r="E39" s="122"/>
      <c r="F39" s="122"/>
      <c r="G39" s="122"/>
      <c r="H39" s="122"/>
      <c r="I39" s="158"/>
      <c r="J39" s="156" t="s">
        <v>32</v>
      </c>
      <c r="K39" s="73"/>
      <c r="L39" s="213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23.25" customHeight="1">
      <c r="A40" s="35"/>
      <c r="B40" s="35"/>
      <c r="C40" s="166">
        <v>6.7</v>
      </c>
      <c r="D40" s="125">
        <v>7.1</v>
      </c>
      <c r="E40" s="124"/>
      <c r="F40" s="124"/>
      <c r="G40" s="124"/>
      <c r="H40" s="124"/>
      <c r="I40" s="203"/>
      <c r="J40" s="176" cm="1">
        <f t="array" ref="J40">SUM(IF(ISNUMBER(B40:I40), B40:I40, 0))</f>
        <v>13.8</v>
      </c>
      <c r="K40" s="73"/>
      <c r="L40" s="212" t="s">
        <v>22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23.25" customHeight="1">
      <c r="A41" s="35"/>
      <c r="B41" s="35"/>
      <c r="C41" s="166">
        <v>0</v>
      </c>
      <c r="D41" s="125">
        <v>0</v>
      </c>
      <c r="E41" s="125"/>
      <c r="F41" s="125"/>
      <c r="G41" s="125"/>
      <c r="H41" s="125"/>
      <c r="I41" s="155"/>
      <c r="J41" s="176" cm="1">
        <f t="array" ref="J41">SUM(IF(ISNUMBER(B44:I44), B44:I44, 0))</f>
        <v>0</v>
      </c>
      <c r="K41" s="73"/>
      <c r="L41" s="212" t="s">
        <v>24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23.25" customHeight="1" thickBot="1">
      <c r="A42" s="35"/>
      <c r="B42" s="35"/>
      <c r="C42" s="166">
        <v>0</v>
      </c>
      <c r="D42" s="125">
        <v>0</v>
      </c>
      <c r="E42" s="125"/>
      <c r="F42" s="125"/>
      <c r="G42" s="125"/>
      <c r="H42" s="125"/>
      <c r="I42" s="155"/>
      <c r="J42" s="157" cm="1">
        <f t="array" ref="J42">SUM(IF(ISNUMBER(B42:I42), B42:I42, 0))</f>
        <v>0</v>
      </c>
      <c r="K42" s="73"/>
      <c r="L42" s="212" t="s">
        <v>26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23.25" customHeight="1" thickBot="1">
      <c r="A43" s="35"/>
      <c r="B43" s="35"/>
      <c r="C43" s="202" t="s">
        <v>640</v>
      </c>
      <c r="D43" s="150" t="s">
        <v>641</v>
      </c>
      <c r="E43" s="170"/>
      <c r="F43" s="168"/>
      <c r="G43" s="168"/>
      <c r="H43" s="168"/>
      <c r="I43" s="171"/>
      <c r="J43" s="73"/>
      <c r="K43" s="73"/>
      <c r="L43" s="211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23.25" customHeight="1">
      <c r="A44" s="35"/>
      <c r="B44" s="35"/>
      <c r="C44" s="200"/>
      <c r="D44" s="201"/>
      <c r="E44" s="185"/>
      <c r="F44" s="73"/>
      <c r="G44" s="73"/>
      <c r="H44" s="73"/>
      <c r="I44" s="73"/>
      <c r="J44" s="73"/>
      <c r="K44" s="73"/>
      <c r="L44" s="21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23.25" customHeight="1">
      <c r="A45" s="35"/>
      <c r="B45" s="35"/>
      <c r="C45" s="164"/>
      <c r="D45" s="165"/>
      <c r="E45" s="159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23.25" customHeight="1">
      <c r="A46" s="35"/>
      <c r="B46" s="35"/>
      <c r="C46" s="196"/>
      <c r="D46" s="197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23.25" customHeight="1">
      <c r="A47" s="35"/>
      <c r="B47" s="35"/>
      <c r="C47" s="164"/>
      <c r="D47" s="158"/>
      <c r="E47" s="156" t="s">
        <v>33</v>
      </c>
      <c r="F47" s="214"/>
      <c r="G47" s="73"/>
      <c r="H47" s="73"/>
      <c r="I47" s="73"/>
      <c r="J47" s="73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23.25" customHeight="1">
      <c r="A48" s="35"/>
      <c r="B48" s="35"/>
      <c r="C48" s="178"/>
      <c r="D48" s="203"/>
      <c r="E48" s="176" cm="1">
        <f t="array" ref="E48">SUM(IF(ISNUMBER(B48:D48), B48:D48, 0))</f>
        <v>0</v>
      </c>
      <c r="F48" s="212" t="s">
        <v>34</v>
      </c>
      <c r="G48" s="73"/>
      <c r="H48" s="73"/>
      <c r="I48" s="73"/>
      <c r="J48" s="73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23.25" customHeight="1">
      <c r="A49" s="35"/>
      <c r="B49" s="35"/>
      <c r="C49" s="166"/>
      <c r="D49" s="155"/>
      <c r="E49" s="176" cm="1">
        <f t="array" ref="E49">SUM(IF(ISNUMBER(B49:D49), B49:D49, 0))</f>
        <v>0</v>
      </c>
      <c r="F49" s="212" t="s">
        <v>35</v>
      </c>
      <c r="G49" s="73"/>
      <c r="H49" s="73"/>
      <c r="I49" s="73"/>
      <c r="J49" s="73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23.25" customHeight="1">
      <c r="A50" s="35"/>
      <c r="B50" s="35"/>
      <c r="C50" s="166"/>
      <c r="D50" s="155"/>
      <c r="E50" s="157" cm="1">
        <f t="array" ref="E50">SUM(IF(ISNUMBER(B50:D50), B50:D50, 0))</f>
        <v>0</v>
      </c>
      <c r="F50" s="212" t="s">
        <v>36</v>
      </c>
      <c r="G50" s="7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23.25" customHeight="1">
      <c r="A51" s="35"/>
      <c r="B51" s="35"/>
      <c r="C51" s="198"/>
      <c r="D51" s="199"/>
      <c r="E51" s="73"/>
      <c r="F51" s="35"/>
      <c r="G51" s="73"/>
      <c r="H51" s="73"/>
      <c r="I51" s="73"/>
      <c r="J51" s="73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23.25" customHeight="1">
      <c r="A52" s="35"/>
      <c r="B52" s="35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22.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7.4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7.4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7.4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7.4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7.4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7.4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7.4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7.4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4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7.4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7.4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7.4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7.4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7.4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7.4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7.4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7.4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7.4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7.4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7.4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7.4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7.4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7.4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7.4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7.4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7.4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7.4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7.4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7.4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7.4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7.4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7.4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7.4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7.4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7.4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8CCE-BF33-47BA-AA78-0B3C19ACBC93}">
  <dimension ref="A1:AF82"/>
  <sheetViews>
    <sheetView topLeftCell="A9" zoomScaleNormal="100" workbookViewId="0">
      <selection activeCell="F42" sqref="F42"/>
    </sheetView>
  </sheetViews>
  <sheetFormatPr defaultColWidth="19.7109375" defaultRowHeight="30.75" customHeight="1"/>
  <cols>
    <col min="1" max="1" width="4.7109375" style="66" customWidth="1"/>
    <col min="2" max="10" width="23.28515625" style="66" customWidth="1"/>
    <col min="11" max="11" width="4.140625" style="66" customWidth="1"/>
    <col min="12" max="16384" width="19.7109375" style="66"/>
  </cols>
  <sheetData>
    <row r="1" spans="1:32" ht="30" customHeight="1" thickBo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ht="30" customHeight="1" thickBot="1">
      <c r="A2" s="35"/>
      <c r="B2" s="100" t="s">
        <v>204</v>
      </c>
      <c r="C2" s="70" t="s">
        <v>1</v>
      </c>
      <c r="D2" s="71">
        <f>J5+J12+J19+J26+J33+E40</f>
        <v>97.5</v>
      </c>
      <c r="E2" s="72"/>
      <c r="F2" s="72"/>
      <c r="G2" s="72"/>
      <c r="H2" s="72"/>
      <c r="I2" s="72"/>
      <c r="J2" s="73"/>
      <c r="K2" s="97"/>
      <c r="L2" s="9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30" customHeight="1" thickBot="1">
      <c r="A3" s="35"/>
      <c r="B3" s="92" t="s">
        <v>5</v>
      </c>
      <c r="C3" s="74" t="s">
        <v>6</v>
      </c>
      <c r="D3" s="75" t="s">
        <v>7</v>
      </c>
      <c r="E3" s="76" t="s">
        <v>8</v>
      </c>
      <c r="F3" s="75" t="s">
        <v>9</v>
      </c>
      <c r="G3" s="75" t="s">
        <v>8</v>
      </c>
      <c r="H3" s="75" t="s">
        <v>11</v>
      </c>
      <c r="I3" s="77" t="s">
        <v>6</v>
      </c>
      <c r="J3" s="73"/>
      <c r="K3" s="73"/>
      <c r="L3" s="98" t="s">
        <v>642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30" customHeight="1">
      <c r="A4" s="35"/>
      <c r="B4" s="93" t="s">
        <v>14</v>
      </c>
      <c r="C4" s="144"/>
      <c r="D4" s="144"/>
      <c r="E4" s="144"/>
      <c r="F4" s="144"/>
      <c r="G4" s="144">
        <v>1</v>
      </c>
      <c r="H4" s="144">
        <v>2</v>
      </c>
      <c r="I4" s="144">
        <v>3</v>
      </c>
      <c r="J4" s="79" t="s">
        <v>643</v>
      </c>
      <c r="K4" s="73"/>
      <c r="L4" s="99" t="s">
        <v>610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30" customHeight="1">
      <c r="A5" s="35"/>
      <c r="B5" s="94" t="s">
        <v>16</v>
      </c>
      <c r="C5" s="117"/>
      <c r="D5" s="122"/>
      <c r="E5" s="131"/>
      <c r="F5" s="122"/>
      <c r="G5" s="122" t="s">
        <v>379</v>
      </c>
      <c r="H5" s="122" t="s">
        <v>62</v>
      </c>
      <c r="I5" s="80"/>
      <c r="J5" s="79" cm="1">
        <f t="array" ref="J5">SUM(IF(ISNUMBER(B8:I8), B8:I8, 0))</f>
        <v>11.1</v>
      </c>
      <c r="K5" s="73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 ht="30" customHeight="1">
      <c r="A6" s="35"/>
      <c r="B6" s="93" t="s">
        <v>18</v>
      </c>
      <c r="C6" s="118"/>
      <c r="D6" s="123"/>
      <c r="E6" s="132"/>
      <c r="F6" s="123"/>
      <c r="G6" s="123">
        <v>7.0000000000000007E-2</v>
      </c>
      <c r="H6" s="123">
        <v>0.04</v>
      </c>
      <c r="I6" s="96">
        <v>0.01</v>
      </c>
      <c r="J6" s="82"/>
      <c r="K6" s="7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 ht="30" customHeight="1">
      <c r="A7" s="35"/>
      <c r="B7" s="94" t="s">
        <v>19</v>
      </c>
      <c r="C7" s="119"/>
      <c r="D7" s="124"/>
      <c r="E7" s="133"/>
      <c r="F7" s="124"/>
      <c r="G7" s="124" t="s">
        <v>521</v>
      </c>
      <c r="H7" s="124" t="s">
        <v>42</v>
      </c>
      <c r="I7" s="83" t="s">
        <v>42</v>
      </c>
      <c r="J7" s="84"/>
      <c r="K7" s="73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 ht="30" customHeight="1">
      <c r="A8" s="35"/>
      <c r="B8" s="93" t="s">
        <v>21</v>
      </c>
      <c r="C8" s="120"/>
      <c r="D8" s="125"/>
      <c r="E8" s="134"/>
      <c r="F8" s="125"/>
      <c r="G8" s="125">
        <v>6.1</v>
      </c>
      <c r="H8" s="125" t="s">
        <v>380</v>
      </c>
      <c r="I8" s="85">
        <v>5</v>
      </c>
      <c r="J8" s="82"/>
      <c r="K8" s="73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 ht="30" customHeight="1">
      <c r="A9" s="35"/>
      <c r="B9" s="93" t="s">
        <v>644</v>
      </c>
      <c r="C9" s="120"/>
      <c r="D9" s="125"/>
      <c r="E9" s="134"/>
      <c r="F9" s="125"/>
      <c r="G9" s="125"/>
      <c r="H9" s="125"/>
      <c r="I9" s="85"/>
      <c r="J9" s="82"/>
      <c r="K9" s="73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30" customHeight="1">
      <c r="A10" s="35"/>
      <c r="B10" s="95" t="s">
        <v>645</v>
      </c>
      <c r="C10" s="121"/>
      <c r="D10" s="126"/>
      <c r="E10" s="135"/>
      <c r="F10" s="126"/>
      <c r="G10" s="126"/>
      <c r="H10" s="126"/>
      <c r="I10" s="86"/>
      <c r="J10" s="82"/>
      <c r="K10" s="73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 ht="30" customHeight="1">
      <c r="A11" s="35"/>
      <c r="B11" s="35" t="s">
        <v>4</v>
      </c>
      <c r="C11" s="144">
        <v>4</v>
      </c>
      <c r="D11" s="144">
        <v>5</v>
      </c>
      <c r="E11" s="144">
        <v>6</v>
      </c>
      <c r="F11" s="144">
        <v>7</v>
      </c>
      <c r="G11" s="144">
        <v>8</v>
      </c>
      <c r="H11" s="144">
        <v>9</v>
      </c>
      <c r="I11" s="144">
        <v>10</v>
      </c>
      <c r="J11" s="87" t="s">
        <v>646</v>
      </c>
      <c r="K11" s="73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ht="30" customHeight="1">
      <c r="A12" s="35"/>
      <c r="B12" s="35"/>
      <c r="C12" s="127"/>
      <c r="D12" s="136" t="s">
        <v>62</v>
      </c>
      <c r="E12" s="136" t="s">
        <v>379</v>
      </c>
      <c r="F12" s="136"/>
      <c r="G12" s="136" t="s">
        <v>379</v>
      </c>
      <c r="H12" s="136" t="s">
        <v>251</v>
      </c>
      <c r="I12" s="88" t="s">
        <v>528</v>
      </c>
      <c r="J12" s="79" cm="1">
        <f t="array" ref="J12">SUM(IF(ISNUMBER(B15:I15), B15:I15, 0))</f>
        <v>26.2</v>
      </c>
      <c r="K12" s="73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ht="30" customHeight="1">
      <c r="A13" s="35"/>
      <c r="B13" s="35"/>
      <c r="C13" s="118">
        <v>0.01</v>
      </c>
      <c r="D13" s="123">
        <v>0.02</v>
      </c>
      <c r="E13" s="123">
        <v>0.06</v>
      </c>
      <c r="F13" s="123">
        <v>0.11</v>
      </c>
      <c r="G13" s="123">
        <v>0.18</v>
      </c>
      <c r="H13" s="123">
        <v>0.26</v>
      </c>
      <c r="I13" s="96">
        <v>0.35</v>
      </c>
      <c r="J13" s="73"/>
      <c r="K13" s="73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 ht="30" customHeight="1">
      <c r="A14" s="35"/>
      <c r="B14" s="35"/>
      <c r="C14" s="119" t="s">
        <v>42</v>
      </c>
      <c r="D14" s="124" t="s">
        <v>108</v>
      </c>
      <c r="E14" s="124" t="s">
        <v>62</v>
      </c>
      <c r="F14" s="124" t="s">
        <v>340</v>
      </c>
      <c r="G14" s="124" t="s">
        <v>521</v>
      </c>
      <c r="H14" s="124" t="s">
        <v>340</v>
      </c>
      <c r="I14" s="83" t="s">
        <v>340</v>
      </c>
      <c r="J14" s="73"/>
      <c r="K14" s="73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ht="30" customHeight="1">
      <c r="A15" s="35"/>
      <c r="B15" s="35"/>
      <c r="C15" s="120">
        <v>0.7</v>
      </c>
      <c r="D15" s="125">
        <v>7</v>
      </c>
      <c r="E15" s="125">
        <v>7</v>
      </c>
      <c r="F15" s="125">
        <v>5.5</v>
      </c>
      <c r="G15" s="125" t="s">
        <v>647</v>
      </c>
      <c r="H15" s="125">
        <v>6</v>
      </c>
      <c r="I15" s="85" t="s">
        <v>648</v>
      </c>
      <c r="J15" s="73"/>
      <c r="K15" s="73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ht="30" customHeight="1">
      <c r="A16" s="35"/>
      <c r="B16" s="35"/>
      <c r="C16" s="120"/>
      <c r="D16" s="124"/>
      <c r="E16" s="124"/>
      <c r="F16" s="124"/>
      <c r="G16" s="140"/>
      <c r="H16" s="124"/>
      <c r="I16" s="83"/>
      <c r="J16" s="73"/>
      <c r="K16" s="73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ht="30" customHeight="1" thickBot="1">
      <c r="A17" s="35"/>
      <c r="B17" s="35"/>
      <c r="C17" s="121"/>
      <c r="D17" s="137"/>
      <c r="E17" s="126"/>
      <c r="F17" s="126"/>
      <c r="G17" s="141"/>
      <c r="H17" s="126"/>
      <c r="I17" s="86"/>
      <c r="J17" s="73"/>
      <c r="K17" s="73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ht="30" customHeight="1" thickBot="1">
      <c r="A18" s="35"/>
      <c r="B18" s="35"/>
      <c r="C18" s="144">
        <v>11</v>
      </c>
      <c r="D18" s="144">
        <v>12</v>
      </c>
      <c r="E18" s="144">
        <v>13</v>
      </c>
      <c r="F18" s="144">
        <v>14</v>
      </c>
      <c r="G18" s="144">
        <v>15</v>
      </c>
      <c r="H18" s="144">
        <v>16</v>
      </c>
      <c r="I18" s="144">
        <v>17</v>
      </c>
      <c r="J18" s="87" t="s">
        <v>649</v>
      </c>
      <c r="K18" s="73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 ht="30" customHeight="1" thickBot="1">
      <c r="A19" s="35"/>
      <c r="B19" s="35"/>
      <c r="C19" s="127" t="s">
        <v>528</v>
      </c>
      <c r="D19" s="136" t="s">
        <v>62</v>
      </c>
      <c r="E19" s="136" t="s">
        <v>62</v>
      </c>
      <c r="F19" s="136" t="s">
        <v>251</v>
      </c>
      <c r="G19" s="136" t="s">
        <v>251</v>
      </c>
      <c r="H19" s="142"/>
      <c r="I19" s="89"/>
      <c r="J19" s="79" cm="1">
        <f t="array" ref="J19">SUM(IF(ISNUMBER(B22:I22), B22:I22, 0))</f>
        <v>9</v>
      </c>
      <c r="K19" s="73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 ht="30" customHeight="1">
      <c r="A20" s="35"/>
      <c r="B20" s="35"/>
      <c r="C20" s="118">
        <v>0.44</v>
      </c>
      <c r="D20" s="123">
        <v>0.54</v>
      </c>
      <c r="E20" s="123">
        <v>0.64</v>
      </c>
      <c r="F20" s="123">
        <v>0.74</v>
      </c>
      <c r="G20" s="123">
        <v>0.83</v>
      </c>
      <c r="H20" s="123">
        <v>0.91</v>
      </c>
      <c r="I20" s="96">
        <v>0.94</v>
      </c>
      <c r="J20" s="73"/>
      <c r="K20" s="73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ht="30" customHeight="1">
      <c r="A21" s="35"/>
      <c r="B21" s="35"/>
      <c r="C21" s="119" t="s">
        <v>62</v>
      </c>
      <c r="D21" s="124" t="s">
        <v>108</v>
      </c>
      <c r="E21" s="124" t="s">
        <v>108</v>
      </c>
      <c r="F21" s="124" t="s">
        <v>521</v>
      </c>
      <c r="G21" s="124" t="s">
        <v>42</v>
      </c>
      <c r="H21" s="124"/>
      <c r="I21" s="83"/>
      <c r="J21" s="73"/>
      <c r="K21" s="73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30" customHeight="1">
      <c r="A22" s="35"/>
      <c r="B22" s="35"/>
      <c r="C22" s="120">
        <v>0</v>
      </c>
      <c r="D22" s="138" t="s">
        <v>650</v>
      </c>
      <c r="E22" s="125">
        <v>4.5</v>
      </c>
      <c r="F22" s="125">
        <v>2</v>
      </c>
      <c r="G22" s="125">
        <v>2.5</v>
      </c>
      <c r="H22" s="124"/>
      <c r="I22" s="83"/>
      <c r="J22" s="73"/>
      <c r="K22" s="73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30" customHeight="1">
      <c r="A23" s="35"/>
      <c r="B23" s="35"/>
      <c r="C23" s="128"/>
      <c r="D23" s="124"/>
      <c r="E23" s="124"/>
      <c r="F23" s="124"/>
      <c r="G23" s="124"/>
      <c r="H23" s="124"/>
      <c r="I23" s="83"/>
      <c r="J23" s="73"/>
      <c r="K23" s="73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30" customHeight="1" thickBot="1">
      <c r="A24" s="35"/>
      <c r="B24" s="35"/>
      <c r="C24" s="128"/>
      <c r="D24" s="125"/>
      <c r="E24" s="125"/>
      <c r="F24" s="126"/>
      <c r="G24" s="125"/>
      <c r="H24" s="125"/>
      <c r="I24" s="85"/>
      <c r="J24" s="73"/>
      <c r="K24" s="73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30" customHeight="1" thickBot="1">
      <c r="A25" s="35"/>
      <c r="B25" s="35"/>
      <c r="C25" s="144">
        <v>18</v>
      </c>
      <c r="D25" s="144">
        <v>19</v>
      </c>
      <c r="E25" s="144">
        <v>20</v>
      </c>
      <c r="F25" s="144">
        <v>21</v>
      </c>
      <c r="G25" s="144">
        <v>22</v>
      </c>
      <c r="H25" s="144">
        <v>23</v>
      </c>
      <c r="I25" s="144">
        <v>24</v>
      </c>
      <c r="J25" s="90" t="s">
        <v>651</v>
      </c>
      <c r="K25" s="73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30" customHeight="1">
      <c r="A26" s="35"/>
      <c r="B26" s="35"/>
      <c r="C26" s="129"/>
      <c r="D26" s="139"/>
      <c r="E26" s="139"/>
      <c r="F26" s="139"/>
      <c r="G26" s="139"/>
      <c r="H26" s="143" t="s">
        <v>251</v>
      </c>
      <c r="I26" s="88" t="s">
        <v>528</v>
      </c>
      <c r="J26" s="79" cm="1">
        <f t="array" ref="J26">SUM(IF(ISNUMBER(B29:I29), B29:I29, 0))</f>
        <v>11.2</v>
      </c>
      <c r="K26" s="73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30" customHeight="1">
      <c r="A27" s="35"/>
      <c r="B27" s="35"/>
      <c r="C27" s="118">
        <v>0.96</v>
      </c>
      <c r="D27" s="123">
        <v>0.99</v>
      </c>
      <c r="E27" s="123">
        <v>0.99</v>
      </c>
      <c r="F27" s="123">
        <v>0.96</v>
      </c>
      <c r="G27" s="123">
        <v>0.9</v>
      </c>
      <c r="H27" s="123">
        <v>0.81</v>
      </c>
      <c r="I27" s="96">
        <v>0.71</v>
      </c>
      <c r="J27" s="73"/>
      <c r="K27" s="73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30" customHeight="1">
      <c r="A28" s="35"/>
      <c r="B28" s="35"/>
      <c r="C28" s="119"/>
      <c r="D28" s="124" t="s">
        <v>340</v>
      </c>
      <c r="E28" s="124" t="s">
        <v>521</v>
      </c>
      <c r="F28" s="124" t="s">
        <v>340</v>
      </c>
      <c r="G28" s="124" t="s">
        <v>42</v>
      </c>
      <c r="H28" s="124" t="s">
        <v>521</v>
      </c>
      <c r="I28" s="83" t="s">
        <v>253</v>
      </c>
      <c r="J28" s="73"/>
      <c r="K28" s="73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30" customHeight="1">
      <c r="A29" s="35"/>
      <c r="B29" s="35"/>
      <c r="C29" s="120"/>
      <c r="D29" s="125">
        <v>1.6</v>
      </c>
      <c r="E29" s="125">
        <v>1.2</v>
      </c>
      <c r="F29" s="125">
        <v>2.7</v>
      </c>
      <c r="G29" s="125">
        <v>1.6</v>
      </c>
      <c r="H29" s="125">
        <v>1.5</v>
      </c>
      <c r="I29" s="85">
        <v>2.6</v>
      </c>
      <c r="J29" s="73"/>
      <c r="K29" s="73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30" customHeight="1">
      <c r="A30" s="35"/>
      <c r="B30" s="35"/>
      <c r="C30" s="120"/>
      <c r="D30" s="125"/>
      <c r="E30" s="125"/>
      <c r="F30" s="125"/>
      <c r="G30" s="125"/>
      <c r="H30" s="125"/>
      <c r="I30" s="85"/>
      <c r="J30" s="73"/>
      <c r="K30" s="73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30" customHeight="1">
      <c r="A31" s="35"/>
      <c r="B31" s="35"/>
      <c r="C31" s="145"/>
      <c r="D31" s="146"/>
      <c r="E31" s="146"/>
      <c r="F31" s="146"/>
      <c r="G31" s="146"/>
      <c r="H31" s="146" t="s">
        <v>652</v>
      </c>
      <c r="I31" s="147" t="s">
        <v>653</v>
      </c>
      <c r="J31" s="73"/>
      <c r="K31" s="73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30" customHeight="1">
      <c r="A32" s="35"/>
      <c r="B32" s="35"/>
      <c r="C32" s="144">
        <v>25</v>
      </c>
      <c r="D32" s="144">
        <v>26</v>
      </c>
      <c r="E32" s="144">
        <v>27</v>
      </c>
      <c r="F32" s="144">
        <v>28</v>
      </c>
      <c r="G32" s="144">
        <v>29</v>
      </c>
      <c r="H32" s="144">
        <v>30</v>
      </c>
      <c r="I32" s="144">
        <v>31</v>
      </c>
      <c r="J32" s="91" t="s">
        <v>654</v>
      </c>
      <c r="K32" s="73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30" customHeight="1">
      <c r="A33" s="35"/>
      <c r="B33" s="35"/>
      <c r="C33" s="127" t="s">
        <v>379</v>
      </c>
      <c r="D33" s="136" t="s">
        <v>251</v>
      </c>
      <c r="E33" s="136" t="s">
        <v>379</v>
      </c>
      <c r="F33" s="136" t="s">
        <v>521</v>
      </c>
      <c r="G33" s="136" t="s">
        <v>521</v>
      </c>
      <c r="H33" s="136" t="s">
        <v>42</v>
      </c>
      <c r="I33" s="88" t="s">
        <v>42</v>
      </c>
      <c r="J33" s="79" cm="1">
        <f t="array" ref="J33">SUM(IF(ISNUMBER(B36:I36), B36:I36, 0))</f>
        <v>40</v>
      </c>
      <c r="K33" s="73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30" customHeight="1">
      <c r="A34" s="35"/>
      <c r="B34" s="35"/>
      <c r="C34" s="118">
        <v>0.6</v>
      </c>
      <c r="D34" s="123">
        <v>0.48</v>
      </c>
      <c r="E34" s="123">
        <v>0.37</v>
      </c>
      <c r="F34" s="123">
        <v>0.27</v>
      </c>
      <c r="G34" s="123">
        <v>0.18</v>
      </c>
      <c r="H34" s="123">
        <v>0.1</v>
      </c>
      <c r="I34" s="96">
        <v>0.05</v>
      </c>
      <c r="J34" s="73"/>
      <c r="K34" s="73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30" customHeight="1">
      <c r="A35" s="35"/>
      <c r="B35" s="35"/>
      <c r="C35" s="119" t="s">
        <v>253</v>
      </c>
      <c r="D35" s="124" t="s">
        <v>253</v>
      </c>
      <c r="E35" s="124" t="s">
        <v>62</v>
      </c>
      <c r="F35" s="124" t="s">
        <v>108</v>
      </c>
      <c r="G35" s="124" t="s">
        <v>108</v>
      </c>
      <c r="H35" s="124" t="s">
        <v>108</v>
      </c>
      <c r="I35" s="83" t="s">
        <v>108</v>
      </c>
      <c r="J35" s="73"/>
      <c r="K35" s="73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30" customHeight="1">
      <c r="A36" s="35"/>
      <c r="B36" s="35"/>
      <c r="C36" s="120">
        <v>3</v>
      </c>
      <c r="D36" s="125">
        <v>2.8</v>
      </c>
      <c r="E36" s="125">
        <v>5.6</v>
      </c>
      <c r="F36" s="125">
        <v>7.2</v>
      </c>
      <c r="G36" s="125">
        <v>7.4</v>
      </c>
      <c r="H36" s="125">
        <v>8.1</v>
      </c>
      <c r="I36" s="85">
        <v>5.9</v>
      </c>
      <c r="J36" s="73"/>
      <c r="K36" s="73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30" customHeight="1">
      <c r="A37" s="35"/>
      <c r="B37" s="35"/>
      <c r="C37" s="120"/>
      <c r="D37" s="125"/>
      <c r="E37" s="125"/>
      <c r="F37" s="125"/>
      <c r="G37" s="125"/>
      <c r="H37" s="125"/>
      <c r="I37" s="85"/>
      <c r="J37" s="73"/>
      <c r="K37" s="73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30" customHeight="1" thickBot="1">
      <c r="A38" s="35"/>
      <c r="B38" s="35"/>
      <c r="C38" s="145" t="s">
        <v>655</v>
      </c>
      <c r="D38" s="146" t="s">
        <v>656</v>
      </c>
      <c r="E38" s="148" t="s">
        <v>657</v>
      </c>
      <c r="F38" s="146" t="s">
        <v>658</v>
      </c>
      <c r="G38" s="146" t="s">
        <v>659</v>
      </c>
      <c r="H38" s="146" t="s">
        <v>660</v>
      </c>
      <c r="I38" s="149" t="s">
        <v>661</v>
      </c>
      <c r="J38" s="73"/>
      <c r="K38" s="73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30" customHeight="1" thickBot="1">
      <c r="A39" s="35"/>
      <c r="B39" s="35"/>
      <c r="C39" s="116"/>
      <c r="D39" s="78"/>
      <c r="E39" s="91" t="s">
        <v>662</v>
      </c>
      <c r="F39" s="73"/>
      <c r="G39" s="73"/>
      <c r="H39" s="73"/>
      <c r="I39" s="73"/>
      <c r="J39" s="73"/>
      <c r="K39" s="73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30" customHeight="1" thickBot="1">
      <c r="A40" s="35"/>
      <c r="B40" s="35"/>
      <c r="C40" s="127"/>
      <c r="D40" s="88"/>
      <c r="E40" s="87">
        <f>SUM(IF(ISNUMBER(#REF!),#REF!, 0))</f>
        <v>0</v>
      </c>
      <c r="F40" s="73"/>
      <c r="G40" s="73"/>
      <c r="H40" s="73"/>
      <c r="I40" s="73"/>
      <c r="J40" s="73"/>
      <c r="K40" s="73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30" customHeight="1">
      <c r="A41" s="35"/>
      <c r="B41" s="35"/>
      <c r="C41" s="130"/>
      <c r="D41" s="81"/>
      <c r="E41" s="73"/>
      <c r="F41" s="73"/>
      <c r="G41" s="73"/>
      <c r="H41" s="73"/>
      <c r="I41" s="73"/>
      <c r="J41" s="73"/>
      <c r="K41" s="73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30" customHeight="1">
      <c r="A42" s="35"/>
      <c r="B42" s="35"/>
      <c r="C42" s="119"/>
      <c r="D42" s="83"/>
      <c r="E42" s="73"/>
      <c r="F42" s="73"/>
      <c r="G42" s="73"/>
      <c r="H42" s="73"/>
      <c r="I42" s="73"/>
      <c r="J42" s="73"/>
      <c r="K42" s="73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30" customHeight="1">
      <c r="A43" s="35"/>
      <c r="B43" s="35"/>
      <c r="C43" s="120"/>
      <c r="D43" s="85"/>
      <c r="E43" s="73"/>
      <c r="F43" s="73"/>
      <c r="G43" s="73"/>
      <c r="H43" s="73"/>
      <c r="I43" s="73"/>
      <c r="J43" s="73"/>
      <c r="K43" s="73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30" customHeight="1">
      <c r="A44" s="35"/>
      <c r="B44" s="35"/>
      <c r="C44" s="120"/>
      <c r="D44" s="85"/>
      <c r="E44" s="73"/>
      <c r="F44" s="73"/>
      <c r="G44" s="73"/>
      <c r="H44" s="73"/>
      <c r="I44" s="73"/>
      <c r="J44" s="73"/>
      <c r="K44" s="73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30" customHeight="1" thickBot="1">
      <c r="A45" s="35"/>
      <c r="B45" s="35"/>
      <c r="C45" s="121"/>
      <c r="D45" s="86"/>
      <c r="E45" s="73"/>
      <c r="F45" s="73"/>
      <c r="G45" s="73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30" customHeight="1">
      <c r="A46" s="35"/>
      <c r="B46" s="35"/>
      <c r="C46" s="73"/>
      <c r="D46" s="73"/>
      <c r="E46" s="73"/>
      <c r="F46" s="73"/>
      <c r="G46" s="73"/>
      <c r="H46" s="73"/>
      <c r="I46" s="73"/>
      <c r="J46" s="73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30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30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30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30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30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30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30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30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30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30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30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30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30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30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30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30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30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30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30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30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8A03-F958-41F2-916C-37CB3F89C213}">
  <dimension ref="A1:AG74"/>
  <sheetViews>
    <sheetView topLeftCell="A24" zoomScale="129" zoomScaleNormal="129" workbookViewId="0">
      <selection activeCell="B36" sqref="B36"/>
    </sheetView>
  </sheetViews>
  <sheetFormatPr defaultColWidth="19.7109375" defaultRowHeight="30.75" customHeight="1"/>
  <cols>
    <col min="1" max="1" width="19.7109375" style="66"/>
    <col min="2" max="4" width="16.42578125" style="66" bestFit="1" customWidth="1"/>
    <col min="5" max="5" width="18" style="66" bestFit="1" customWidth="1"/>
    <col min="6" max="6" width="22" style="66" bestFit="1" customWidth="1"/>
    <col min="7" max="7" width="28.28515625" style="66" bestFit="1" customWidth="1"/>
    <col min="8" max="8" width="16.7109375" style="66" bestFit="1" customWidth="1"/>
    <col min="9" max="9" width="20.28515625" style="66" bestFit="1" customWidth="1"/>
    <col min="10" max="16384" width="19.7109375" style="66"/>
  </cols>
  <sheetData>
    <row r="1" spans="1:33" ht="30.75" customHeight="1">
      <c r="A1" s="35"/>
      <c r="B1" s="36" t="s">
        <v>250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35"/>
      <c r="B2" s="28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 t="s">
        <v>521</v>
      </c>
      <c r="D4" s="40" t="s">
        <v>379</v>
      </c>
      <c r="E4" s="40" t="s">
        <v>42</v>
      </c>
      <c r="F4" s="40" t="s">
        <v>379</v>
      </c>
      <c r="G4" s="40" t="s">
        <v>251</v>
      </c>
      <c r="H4" s="101" t="s">
        <v>42</v>
      </c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>
        <v>0.21</v>
      </c>
      <c r="D5" s="50">
        <v>0.12</v>
      </c>
      <c r="E5" s="50">
        <v>0.06</v>
      </c>
      <c r="F5" s="50">
        <v>1.7999999999999999E-2</v>
      </c>
      <c r="G5" s="50">
        <v>0</v>
      </c>
      <c r="H5" s="50">
        <v>0.01</v>
      </c>
      <c r="I5" s="48" t="s">
        <v>663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 t="s">
        <v>108</v>
      </c>
      <c r="D6" s="44" t="s">
        <v>340</v>
      </c>
      <c r="E6" s="52" t="s">
        <v>521</v>
      </c>
      <c r="F6" s="44" t="s">
        <v>253</v>
      </c>
      <c r="G6" s="45" t="s">
        <v>521</v>
      </c>
      <c r="H6" s="102" t="s">
        <v>340</v>
      </c>
      <c r="I6" s="103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 t="s">
        <v>664</v>
      </c>
      <c r="D7" s="44" t="s">
        <v>665</v>
      </c>
      <c r="E7" s="44" t="s">
        <v>664</v>
      </c>
      <c r="F7" s="44" t="s">
        <v>664</v>
      </c>
      <c r="G7" s="44" t="s">
        <v>666</v>
      </c>
      <c r="H7" s="45" t="s">
        <v>667</v>
      </c>
      <c r="I7" s="104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/>
      <c r="D8" s="44">
        <v>0</v>
      </c>
      <c r="E8" s="44">
        <v>0</v>
      </c>
      <c r="F8" s="44">
        <v>0</v>
      </c>
      <c r="G8" s="44"/>
      <c r="H8" s="45">
        <v>0</v>
      </c>
      <c r="I8" s="104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105"/>
      <c r="C9" s="105" t="s">
        <v>670</v>
      </c>
      <c r="D9" s="105">
        <v>0</v>
      </c>
      <c r="E9" s="105">
        <v>0</v>
      </c>
      <c r="F9" s="105">
        <v>0</v>
      </c>
      <c r="G9" s="105"/>
      <c r="H9" s="106">
        <v>0</v>
      </c>
      <c r="I9" s="107" t="s">
        <v>671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 t="s">
        <v>4</v>
      </c>
      <c r="B10" s="31">
        <v>7</v>
      </c>
      <c r="C10" s="31">
        <v>8</v>
      </c>
      <c r="D10" s="31">
        <v>9</v>
      </c>
      <c r="E10" s="31">
        <v>10</v>
      </c>
      <c r="F10" s="31">
        <v>11</v>
      </c>
      <c r="G10" s="31">
        <v>12</v>
      </c>
      <c r="H10" s="33">
        <v>13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40" t="s">
        <v>528</v>
      </c>
      <c r="C11" s="40" t="s">
        <v>672</v>
      </c>
      <c r="D11" s="40" t="s">
        <v>379</v>
      </c>
      <c r="E11" s="40" t="s">
        <v>42</v>
      </c>
      <c r="F11" s="40" t="s">
        <v>379</v>
      </c>
      <c r="G11" s="40" t="s">
        <v>251</v>
      </c>
      <c r="H11" s="41" t="s">
        <v>528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50">
        <v>0.04</v>
      </c>
      <c r="C12" s="50">
        <v>0.09</v>
      </c>
      <c r="D12" s="50">
        <v>0.16</v>
      </c>
      <c r="E12" s="50">
        <v>0.24</v>
      </c>
      <c r="F12" s="50">
        <v>0.32</v>
      </c>
      <c r="G12" s="50">
        <v>0.41</v>
      </c>
      <c r="H12" s="51">
        <v>0.51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253</v>
      </c>
      <c r="C13" s="44" t="s">
        <v>521</v>
      </c>
      <c r="D13" s="44" t="s">
        <v>340</v>
      </c>
      <c r="E13" s="52" t="s">
        <v>521</v>
      </c>
      <c r="F13" s="44" t="s">
        <v>253</v>
      </c>
      <c r="G13" s="52" t="s">
        <v>521</v>
      </c>
      <c r="H13" s="53" t="s">
        <v>340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44" t="s">
        <v>673</v>
      </c>
      <c r="C14" s="44" t="s">
        <v>674</v>
      </c>
      <c r="D14" s="44" t="s">
        <v>675</v>
      </c>
      <c r="E14" s="44" t="s">
        <v>676</v>
      </c>
      <c r="F14" s="44" t="s">
        <v>677</v>
      </c>
      <c r="G14" s="44" t="s">
        <v>678</v>
      </c>
      <c r="H14" s="4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55"/>
      <c r="C15" s="44">
        <v>0</v>
      </c>
      <c r="D15" s="44"/>
      <c r="E15" s="44"/>
      <c r="F15" s="65"/>
      <c r="G15" s="44"/>
      <c r="H15" s="4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30.75" customHeight="1">
      <c r="A16" s="35"/>
      <c r="B16" s="105"/>
      <c r="C16" s="69" t="s">
        <v>679</v>
      </c>
      <c r="D16" s="105"/>
      <c r="E16" s="105"/>
      <c r="F16" s="108"/>
      <c r="G16" s="105"/>
      <c r="H16" s="10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1:24" ht="30.75" customHeight="1">
      <c r="A17" s="35"/>
      <c r="B17" s="31">
        <v>14</v>
      </c>
      <c r="C17" s="31">
        <v>15</v>
      </c>
      <c r="D17" s="31">
        <v>16</v>
      </c>
      <c r="E17" s="31">
        <v>17</v>
      </c>
      <c r="F17" s="31">
        <v>18</v>
      </c>
      <c r="G17" s="31">
        <v>19</v>
      </c>
      <c r="H17" s="33">
        <v>20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0" t="s">
        <v>672</v>
      </c>
      <c r="C18" s="40" t="s">
        <v>521</v>
      </c>
      <c r="D18" s="40" t="s">
        <v>379</v>
      </c>
      <c r="E18" s="40" t="s">
        <v>42</v>
      </c>
      <c r="F18" s="42"/>
      <c r="G18" s="42"/>
      <c r="H18" s="43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50">
        <v>0.61</v>
      </c>
      <c r="C19" s="50">
        <v>0.71</v>
      </c>
      <c r="D19" s="50">
        <v>0.8</v>
      </c>
      <c r="E19" s="50">
        <v>0.87</v>
      </c>
      <c r="F19" s="50">
        <v>0.94</v>
      </c>
      <c r="G19" s="50">
        <v>0.95</v>
      </c>
      <c r="H19" s="51">
        <v>0.98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44" t="s">
        <v>253</v>
      </c>
      <c r="C20" s="52" t="s">
        <v>108</v>
      </c>
      <c r="D20" s="44" t="s">
        <v>340</v>
      </c>
      <c r="E20" s="52" t="s">
        <v>521</v>
      </c>
      <c r="F20" s="52"/>
      <c r="G20" s="52"/>
      <c r="H20" s="53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109" t="s">
        <v>674</v>
      </c>
      <c r="C21" s="109"/>
      <c r="D21" s="44"/>
      <c r="E21" s="44"/>
      <c r="F21" s="44"/>
      <c r="G21" s="44"/>
      <c r="H21" s="4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64"/>
      <c r="C22" s="44"/>
      <c r="D22" s="44"/>
      <c r="E22" s="44"/>
      <c r="F22" s="44"/>
      <c r="G22" s="44"/>
      <c r="H22" s="4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108"/>
      <c r="C23" s="105"/>
      <c r="D23" s="105"/>
      <c r="E23" s="105"/>
      <c r="F23" s="105"/>
      <c r="G23" s="105"/>
      <c r="H23" s="106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31">
        <v>21</v>
      </c>
      <c r="C24" s="31">
        <v>22</v>
      </c>
      <c r="D24" s="31">
        <v>23</v>
      </c>
      <c r="E24" s="31">
        <v>24</v>
      </c>
      <c r="F24" s="31">
        <v>25</v>
      </c>
      <c r="G24" s="31">
        <v>26</v>
      </c>
      <c r="H24" s="33">
        <v>27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67"/>
      <c r="C25" s="67"/>
      <c r="D25" s="67"/>
      <c r="E25" s="68" t="s">
        <v>42</v>
      </c>
      <c r="F25" s="68" t="s">
        <v>379</v>
      </c>
      <c r="G25" s="68" t="s">
        <v>251</v>
      </c>
      <c r="H25" s="41" t="s">
        <v>528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0">
        <v>0.99</v>
      </c>
      <c r="C26" s="50">
        <v>0.98</v>
      </c>
      <c r="D26" s="50">
        <v>0.94</v>
      </c>
      <c r="E26" s="50">
        <v>0.87</v>
      </c>
      <c r="F26" s="50">
        <v>0.79</v>
      </c>
      <c r="G26" s="50">
        <v>0.64</v>
      </c>
      <c r="H26" s="51">
        <v>0.56000000000000005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44"/>
      <c r="C27" s="52"/>
      <c r="D27" s="44"/>
      <c r="E27" s="52" t="s">
        <v>521</v>
      </c>
      <c r="F27" s="52" t="s">
        <v>62</v>
      </c>
      <c r="G27" s="52" t="s">
        <v>521</v>
      </c>
      <c r="H27" s="53" t="s">
        <v>62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4"/>
      <c r="C28" s="44"/>
      <c r="D28" s="44"/>
      <c r="E28" s="44" t="s">
        <v>680</v>
      </c>
      <c r="F28" s="44" t="s">
        <v>680</v>
      </c>
      <c r="G28" s="44" t="s">
        <v>680</v>
      </c>
      <c r="H28" s="44" t="s">
        <v>680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5"/>
      <c r="C29" s="44"/>
      <c r="D29" s="44"/>
      <c r="E29" s="44"/>
      <c r="F29" s="44"/>
      <c r="G29" s="44"/>
      <c r="H29" s="4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105"/>
      <c r="C30" s="105"/>
      <c r="D30" s="105"/>
      <c r="E30" s="105"/>
      <c r="F30" s="105"/>
      <c r="G30" s="105"/>
      <c r="H30" s="106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31">
        <v>28</v>
      </c>
      <c r="C31" s="31">
        <v>29</v>
      </c>
      <c r="D31" s="31">
        <v>30</v>
      </c>
      <c r="E31" s="31">
        <v>31</v>
      </c>
      <c r="F31" s="31"/>
      <c r="G31" s="31"/>
      <c r="H31" s="33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40" t="s">
        <v>62</v>
      </c>
      <c r="C32" s="40" t="s">
        <v>521</v>
      </c>
      <c r="D32" s="40" t="s">
        <v>379</v>
      </c>
      <c r="E32" s="40" t="s">
        <v>672</v>
      </c>
      <c r="F32" s="40"/>
      <c r="G32" s="40"/>
      <c r="H32" s="4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7" ht="30.75" customHeight="1">
      <c r="A33" s="35"/>
      <c r="B33" s="50">
        <v>0.45</v>
      </c>
      <c r="C33" s="50">
        <v>0.33</v>
      </c>
      <c r="D33" s="50">
        <v>0.23</v>
      </c>
      <c r="E33" s="50">
        <v>0.14000000000000001</v>
      </c>
      <c r="F33" s="50"/>
      <c r="G33" s="50"/>
      <c r="H33" s="5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1"/>
      <c r="Z33" s="1"/>
      <c r="AA33" s="1"/>
    </row>
    <row r="34" spans="1:27" ht="30.75" customHeight="1">
      <c r="A34" s="35"/>
      <c r="B34" s="52"/>
      <c r="C34" s="52" t="s">
        <v>108</v>
      </c>
      <c r="D34" s="52" t="s">
        <v>62</v>
      </c>
      <c r="E34" s="52" t="s">
        <v>521</v>
      </c>
      <c r="F34" s="52"/>
      <c r="G34" s="52"/>
      <c r="H34" s="5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1"/>
      <c r="Z34" s="1"/>
      <c r="AA34" s="1"/>
    </row>
    <row r="35" spans="1:27" ht="30.75" customHeight="1">
      <c r="A35" s="35"/>
      <c r="B35" s="55" t="s">
        <v>681</v>
      </c>
      <c r="C35" s="55"/>
      <c r="D35" s="55"/>
      <c r="E35" s="55" t="s">
        <v>682</v>
      </c>
      <c r="F35" s="55"/>
      <c r="G35" s="55"/>
      <c r="H35" s="56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1"/>
      <c r="Z35" s="1"/>
      <c r="AA35" s="1"/>
    </row>
    <row r="36" spans="1:27" ht="30.75" customHeight="1">
      <c r="A36" s="35"/>
      <c r="B36" s="55" t="s">
        <v>683</v>
      </c>
      <c r="C36" s="55"/>
      <c r="D36" s="110"/>
      <c r="E36" s="110">
        <v>0</v>
      </c>
      <c r="F36" s="110"/>
      <c r="G36" s="110"/>
      <c r="H36" s="111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1"/>
      <c r="Z36" s="1"/>
      <c r="AA36" s="1"/>
    </row>
    <row r="37" spans="1:27" ht="30.75" customHeight="1">
      <c r="A37" s="35"/>
      <c r="B37" s="55"/>
      <c r="C37" s="55"/>
      <c r="D37" s="112"/>
      <c r="E37" s="112" t="s">
        <v>684</v>
      </c>
      <c r="F37" s="112"/>
      <c r="G37" s="112"/>
      <c r="H37" s="113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1"/>
      <c r="Z37" s="1"/>
      <c r="AA37" s="1"/>
    </row>
    <row r="38" spans="1:27" ht="30.75" customHeight="1">
      <c r="A38" s="35"/>
      <c r="B38" s="31"/>
      <c r="C38" s="33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1"/>
      <c r="U38" s="1"/>
      <c r="V38" s="1"/>
      <c r="W38" s="1"/>
      <c r="X38" s="1"/>
      <c r="Y38" s="1"/>
      <c r="Z38" s="1"/>
      <c r="AA38" s="1"/>
    </row>
    <row r="39" spans="1:27" ht="30.75" customHeight="1">
      <c r="A39" s="35"/>
      <c r="B39" s="40"/>
      <c r="C39" s="41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1"/>
      <c r="X39" s="1"/>
      <c r="Y39" s="1"/>
      <c r="Z39" s="1"/>
      <c r="AA39" s="1"/>
    </row>
    <row r="40" spans="1:27" ht="30.75" customHeight="1">
      <c r="A40" s="35"/>
      <c r="B40" s="50"/>
      <c r="C40" s="51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1"/>
      <c r="X40" s="1"/>
      <c r="Y40" s="1"/>
      <c r="Z40" s="1"/>
      <c r="AA40" s="1"/>
    </row>
    <row r="41" spans="1:27" ht="30.75" customHeight="1">
      <c r="A41" s="35"/>
      <c r="B41" s="52"/>
      <c r="C41" s="53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1"/>
      <c r="X41" s="1"/>
      <c r="Y41" s="1"/>
      <c r="Z41" s="1"/>
      <c r="AA41" s="1"/>
    </row>
    <row r="42" spans="1:27" ht="30.75" customHeight="1">
      <c r="A42" s="35"/>
      <c r="B42" s="55"/>
      <c r="C42" s="56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1"/>
      <c r="X42" s="1"/>
      <c r="Y42" s="1"/>
      <c r="Z42" s="1"/>
      <c r="AA42" s="1"/>
    </row>
    <row r="43" spans="1:27" ht="30.75" customHeight="1">
      <c r="A43" s="35"/>
      <c r="B43" s="110"/>
      <c r="C43" s="111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1"/>
      <c r="X43" s="1"/>
      <c r="Y43" s="1"/>
      <c r="Z43" s="1"/>
      <c r="AA43" s="1"/>
    </row>
    <row r="44" spans="1:27" ht="30.75" customHeight="1">
      <c r="A44" s="35"/>
      <c r="B44" s="112"/>
      <c r="C44" s="113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1"/>
      <c r="X44" s="1"/>
      <c r="Y44" s="1"/>
      <c r="Z44" s="1"/>
      <c r="AA44" s="1"/>
    </row>
    <row r="45" spans="1:27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1"/>
      <c r="X46" s="1"/>
      <c r="Y46" s="1"/>
      <c r="Z46" s="1"/>
      <c r="AA46" s="1"/>
    </row>
    <row r="47" spans="1:27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1"/>
      <c r="X47" s="1"/>
      <c r="Y47" s="1"/>
      <c r="Z47" s="1"/>
      <c r="AA47" s="1"/>
    </row>
    <row r="48" spans="1:27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1"/>
      <c r="X48" s="1"/>
      <c r="Y48" s="1"/>
      <c r="Z48" s="1"/>
      <c r="AA48" s="1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1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1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1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1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1"/>
    </row>
    <row r="63" spans="1:22" ht="30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1"/>
    </row>
    <row r="64" spans="1:22" ht="30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1"/>
    </row>
    <row r="65" spans="1:21" ht="30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30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30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30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30.75" customHeight="1">
      <c r="A69" s="1"/>
      <c r="B69" s="35"/>
      <c r="C69" s="35"/>
      <c r="D69" s="35"/>
      <c r="E69" s="35"/>
      <c r="F69" s="35"/>
      <c r="G69" s="35"/>
      <c r="H69" s="3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30.75" customHeight="1">
      <c r="A70" s="1"/>
      <c r="B70" s="35"/>
      <c r="C70" s="35"/>
      <c r="D70" s="35"/>
      <c r="E70" s="35"/>
      <c r="F70" s="35"/>
      <c r="G70" s="35"/>
      <c r="H70" s="3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30.75" customHeight="1">
      <c r="A71" s="1"/>
      <c r="B71" s="35"/>
      <c r="C71" s="35"/>
      <c r="D71" s="35"/>
      <c r="E71" s="35"/>
      <c r="F71" s="35"/>
      <c r="G71" s="35"/>
      <c r="H71" s="3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30.75" customHeight="1">
      <c r="A72" s="1"/>
      <c r="B72" s="35"/>
      <c r="C72" s="35"/>
      <c r="D72" s="35"/>
      <c r="E72" s="35"/>
      <c r="F72" s="35"/>
      <c r="G72" s="35"/>
      <c r="H72" s="3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30.75" customHeight="1">
      <c r="A73" s="1"/>
      <c r="B73" s="35"/>
      <c r="C73" s="35"/>
      <c r="D73" s="35"/>
      <c r="E73" s="35"/>
      <c r="F73" s="35"/>
      <c r="G73" s="35"/>
      <c r="H73" s="3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30.75" customHeight="1">
      <c r="A74" s="1"/>
      <c r="B74" s="35"/>
      <c r="C74" s="35"/>
      <c r="D74" s="35"/>
      <c r="E74" s="35"/>
      <c r="F74" s="35"/>
      <c r="G74" s="35"/>
      <c r="H74" s="3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63C4-8B45-4CA1-A47F-3E62EFEB069D}">
  <dimension ref="A1:AG74"/>
  <sheetViews>
    <sheetView topLeftCell="H14" workbookViewId="0">
      <selection activeCell="H14" sqref="H14"/>
    </sheetView>
  </sheetViews>
  <sheetFormatPr defaultColWidth="19.7109375" defaultRowHeight="30.75" customHeight="1"/>
  <cols>
    <col min="1" max="1" width="19.7109375" style="66"/>
    <col min="2" max="4" width="16.42578125" style="66" bestFit="1" customWidth="1"/>
    <col min="5" max="5" width="18" style="66" bestFit="1" customWidth="1"/>
    <col min="6" max="6" width="22" style="66" bestFit="1" customWidth="1"/>
    <col min="7" max="7" width="28.28515625" style="66" bestFit="1" customWidth="1"/>
    <col min="8" max="8" width="16.7109375" style="66" bestFit="1" customWidth="1"/>
    <col min="9" max="9" width="20.28515625" style="66" bestFit="1" customWidth="1"/>
    <col min="10" max="16384" width="19.7109375" style="66"/>
  </cols>
  <sheetData>
    <row r="1" spans="1:33" ht="30.75" customHeight="1">
      <c r="A1" s="35"/>
      <c r="B1" s="36" t="s">
        <v>304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35"/>
      <c r="B2" s="28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/>
      <c r="D3" s="31"/>
      <c r="E3" s="31"/>
      <c r="F3" s="31"/>
      <c r="G3" s="31"/>
      <c r="H3" s="31">
        <v>1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/>
      <c r="D4" s="40"/>
      <c r="E4" s="40"/>
      <c r="F4" s="40"/>
      <c r="G4" s="40"/>
      <c r="H4" s="114"/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/>
      <c r="D5" s="50"/>
      <c r="E5" s="50"/>
      <c r="F5" s="50"/>
      <c r="G5" s="50"/>
      <c r="H5" s="50">
        <v>0.3</v>
      </c>
      <c r="I5" s="48" t="s">
        <v>663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/>
      <c r="D6" s="44"/>
      <c r="E6" s="52"/>
      <c r="F6" s="44"/>
      <c r="G6" s="45"/>
      <c r="H6" s="115"/>
      <c r="I6" s="103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/>
      <c r="D7" s="44"/>
      <c r="E7" s="44"/>
      <c r="F7" s="44"/>
      <c r="G7" s="44"/>
      <c r="H7" s="45"/>
      <c r="I7" s="104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/>
      <c r="D8" s="44"/>
      <c r="E8" s="44"/>
      <c r="F8" s="44"/>
      <c r="G8" s="44"/>
      <c r="H8" s="45"/>
      <c r="I8" s="104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105"/>
      <c r="C9" s="105" t="s">
        <v>685</v>
      </c>
      <c r="D9" s="105" t="s">
        <v>679</v>
      </c>
      <c r="E9" s="105" t="s">
        <v>670</v>
      </c>
      <c r="F9" s="105"/>
      <c r="G9" s="105"/>
      <c r="H9" s="106"/>
      <c r="I9" s="107" t="s">
        <v>671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31">
        <v>2</v>
      </c>
      <c r="C10" s="31">
        <v>3</v>
      </c>
      <c r="D10" s="31">
        <v>4</v>
      </c>
      <c r="E10" s="31">
        <v>5</v>
      </c>
      <c r="F10" s="31">
        <v>6</v>
      </c>
      <c r="G10" s="31">
        <v>7</v>
      </c>
      <c r="H10" s="33">
        <v>8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40" t="s">
        <v>379</v>
      </c>
      <c r="C11" s="40" t="s">
        <v>528</v>
      </c>
      <c r="D11" s="40" t="s">
        <v>379</v>
      </c>
      <c r="E11" s="40" t="s">
        <v>672</v>
      </c>
      <c r="F11" s="40" t="s">
        <v>42</v>
      </c>
      <c r="G11" s="40" t="s">
        <v>251</v>
      </c>
      <c r="H11" s="41" t="s">
        <v>340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50">
        <v>0.2</v>
      </c>
      <c r="C12" s="50">
        <v>0.1</v>
      </c>
      <c r="D12" s="50">
        <v>0.05</v>
      </c>
      <c r="E12" s="50">
        <v>0</v>
      </c>
      <c r="F12" s="50">
        <v>0</v>
      </c>
      <c r="G12" s="50">
        <v>0.03</v>
      </c>
      <c r="H12" s="51">
        <v>0.06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521</v>
      </c>
      <c r="C13" s="44" t="s">
        <v>62</v>
      </c>
      <c r="D13" s="44" t="s">
        <v>253</v>
      </c>
      <c r="E13" s="52" t="s">
        <v>521</v>
      </c>
      <c r="F13" s="44" t="s">
        <v>62</v>
      </c>
      <c r="G13" s="52" t="s">
        <v>521</v>
      </c>
      <c r="H13" s="53" t="s">
        <v>108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44" t="s">
        <v>686</v>
      </c>
      <c r="C14" s="44" t="s">
        <v>687</v>
      </c>
      <c r="D14" s="44" t="s">
        <v>687</v>
      </c>
      <c r="E14" s="44" t="s">
        <v>688</v>
      </c>
      <c r="F14" s="44" t="s">
        <v>688</v>
      </c>
      <c r="G14" s="44" t="s">
        <v>689</v>
      </c>
      <c r="H14" s="45" t="s">
        <v>690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55"/>
      <c r="C15" s="44"/>
      <c r="D15" s="44"/>
      <c r="E15" s="44"/>
      <c r="F15" s="65"/>
      <c r="G15" s="44"/>
      <c r="H15" s="4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30.75" customHeight="1">
      <c r="A16" s="35"/>
      <c r="B16" s="105"/>
      <c r="C16" s="105"/>
      <c r="D16" s="105"/>
      <c r="E16" s="105"/>
      <c r="F16" s="108"/>
      <c r="G16" s="105"/>
      <c r="H16" s="10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1:24" ht="30.75" customHeight="1">
      <c r="A17" s="35"/>
      <c r="B17" s="31">
        <v>9</v>
      </c>
      <c r="C17" s="31">
        <v>10</v>
      </c>
      <c r="D17" s="31">
        <v>11</v>
      </c>
      <c r="E17" s="31">
        <v>12</v>
      </c>
      <c r="F17" s="31">
        <v>13</v>
      </c>
      <c r="G17" s="31">
        <v>14</v>
      </c>
      <c r="H17" s="33">
        <v>15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0" t="s">
        <v>672</v>
      </c>
      <c r="C18" s="40" t="s">
        <v>528</v>
      </c>
      <c r="D18" s="40" t="s">
        <v>379</v>
      </c>
      <c r="E18" s="40" t="s">
        <v>379</v>
      </c>
      <c r="F18" s="40" t="s">
        <v>42</v>
      </c>
      <c r="G18" s="40" t="s">
        <v>251</v>
      </c>
      <c r="H18" s="41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50">
        <v>0.13</v>
      </c>
      <c r="C19" s="50">
        <v>0.2</v>
      </c>
      <c r="D19" s="50">
        <v>0.28999999999999998</v>
      </c>
      <c r="E19" s="50">
        <v>0.4</v>
      </c>
      <c r="F19" s="50">
        <v>0.48</v>
      </c>
      <c r="G19" s="50">
        <v>0.57999999999999996</v>
      </c>
      <c r="H19" s="51">
        <v>0.67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44" t="s">
        <v>62</v>
      </c>
      <c r="C20" s="52" t="s">
        <v>521</v>
      </c>
      <c r="D20" s="44" t="s">
        <v>253</v>
      </c>
      <c r="E20" s="52" t="s">
        <v>521</v>
      </c>
      <c r="F20" s="52" t="s">
        <v>62</v>
      </c>
      <c r="G20" s="52" t="s">
        <v>521</v>
      </c>
      <c r="H20" s="53" t="s">
        <v>62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109" t="s">
        <v>691</v>
      </c>
      <c r="C21" s="109" t="s">
        <v>692</v>
      </c>
      <c r="D21" s="44" t="s">
        <v>693</v>
      </c>
      <c r="E21" s="44" t="s">
        <v>693</v>
      </c>
      <c r="F21" s="44" t="s">
        <v>694</v>
      </c>
      <c r="G21" s="44" t="s">
        <v>695</v>
      </c>
      <c r="H21" s="45" t="s">
        <v>694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64" t="s">
        <v>108</v>
      </c>
      <c r="C22" s="44" t="s">
        <v>108</v>
      </c>
      <c r="D22" s="44" t="s">
        <v>108</v>
      </c>
      <c r="E22" s="44" t="s">
        <v>108</v>
      </c>
      <c r="F22" s="44"/>
      <c r="G22" s="44"/>
      <c r="H22" s="4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108" t="s">
        <v>685</v>
      </c>
      <c r="C23" s="105" t="s">
        <v>685</v>
      </c>
      <c r="D23" s="105" t="s">
        <v>670</v>
      </c>
      <c r="E23" s="105" t="s">
        <v>670</v>
      </c>
      <c r="F23" s="105" t="s">
        <v>670</v>
      </c>
      <c r="G23" s="105" t="s">
        <v>670</v>
      </c>
      <c r="H23" s="106" t="s">
        <v>670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31">
        <v>16</v>
      </c>
      <c r="C24" s="31">
        <v>17</v>
      </c>
      <c r="D24" s="31">
        <v>18</v>
      </c>
      <c r="E24" s="31">
        <v>19</v>
      </c>
      <c r="F24" s="31">
        <v>20</v>
      </c>
      <c r="G24" s="31">
        <v>21</v>
      </c>
      <c r="H24" s="33">
        <v>22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68"/>
      <c r="C25" s="68" t="s">
        <v>528</v>
      </c>
      <c r="D25" s="67"/>
      <c r="E25" s="67"/>
      <c r="F25" s="67"/>
      <c r="G25" s="67"/>
      <c r="H25" s="43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0">
        <v>0.76</v>
      </c>
      <c r="C26" s="50">
        <v>0.85</v>
      </c>
      <c r="D26" s="50">
        <v>0.91</v>
      </c>
      <c r="E26" s="50">
        <v>0.96</v>
      </c>
      <c r="F26" s="50">
        <v>0.97</v>
      </c>
      <c r="G26" s="50">
        <v>0.99</v>
      </c>
      <c r="H26" s="51">
        <v>0.99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44" t="s">
        <v>62</v>
      </c>
      <c r="C27" s="52" t="s">
        <v>340</v>
      </c>
      <c r="D27" s="44"/>
      <c r="E27" s="52"/>
      <c r="F27" s="52"/>
      <c r="G27" s="52"/>
      <c r="H27" s="5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4" t="s">
        <v>696</v>
      </c>
      <c r="C28" s="44" t="s">
        <v>697</v>
      </c>
      <c r="D28" s="44"/>
      <c r="E28" s="44"/>
      <c r="F28" s="44"/>
      <c r="G28" s="44"/>
      <c r="H28" s="4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5"/>
      <c r="C29" s="44"/>
      <c r="D29" s="44"/>
      <c r="E29" s="44"/>
      <c r="F29" s="44"/>
      <c r="G29" s="44"/>
      <c r="H29" s="4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105"/>
      <c r="C30" s="105"/>
      <c r="D30" s="105"/>
      <c r="E30" s="105"/>
      <c r="F30" s="105"/>
      <c r="G30" s="105"/>
      <c r="H30" s="106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31">
        <v>23</v>
      </c>
      <c r="C31" s="31">
        <v>24</v>
      </c>
      <c r="D31" s="31">
        <v>25</v>
      </c>
      <c r="E31" s="31">
        <v>26</v>
      </c>
      <c r="F31" s="31">
        <v>27</v>
      </c>
      <c r="G31" s="31">
        <v>28</v>
      </c>
      <c r="H31" s="33">
        <v>29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42"/>
      <c r="C32" s="42"/>
      <c r="D32" s="40" t="s">
        <v>379</v>
      </c>
      <c r="E32" s="40" t="s">
        <v>42</v>
      </c>
      <c r="F32" s="40" t="s">
        <v>42</v>
      </c>
      <c r="G32" s="40" t="s">
        <v>251</v>
      </c>
      <c r="H32" s="4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7" ht="30.75" customHeight="1">
      <c r="A33" s="35"/>
      <c r="B33" s="50">
        <v>0.98</v>
      </c>
      <c r="C33" s="50">
        <v>0.93</v>
      </c>
      <c r="D33" s="50">
        <v>0.86</v>
      </c>
      <c r="E33" s="50">
        <v>0.78</v>
      </c>
      <c r="F33" s="50">
        <v>0.65</v>
      </c>
      <c r="G33" s="50">
        <v>0.55000000000000004</v>
      </c>
      <c r="H33" s="51">
        <v>0.42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1"/>
      <c r="Z33" s="1"/>
      <c r="AA33" s="1"/>
    </row>
    <row r="34" spans="1:27" ht="30.75" customHeight="1">
      <c r="A34" s="35"/>
      <c r="B34" s="52"/>
      <c r="C34" s="52"/>
      <c r="D34" s="52" t="s">
        <v>62</v>
      </c>
      <c r="E34" s="52" t="s">
        <v>340</v>
      </c>
      <c r="F34" s="52" t="s">
        <v>521</v>
      </c>
      <c r="G34" s="52" t="s">
        <v>521</v>
      </c>
      <c r="H34" s="53" t="s">
        <v>340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1"/>
      <c r="Z34" s="1"/>
      <c r="AA34" s="1"/>
    </row>
    <row r="35" spans="1:27" ht="30.75" customHeight="1">
      <c r="A35" s="35"/>
      <c r="B35" s="55"/>
      <c r="C35" s="55"/>
      <c r="D35" s="44" t="s">
        <v>693</v>
      </c>
      <c r="E35" s="44" t="s">
        <v>698</v>
      </c>
      <c r="F35" s="55" t="s">
        <v>699</v>
      </c>
      <c r="G35" s="55" t="s">
        <v>700</v>
      </c>
      <c r="H35" s="56" t="s">
        <v>701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1"/>
      <c r="Z35" s="1"/>
      <c r="AA35" s="1"/>
    </row>
    <row r="36" spans="1:27" ht="30.75" customHeight="1">
      <c r="A36" s="35"/>
      <c r="B36" s="55"/>
      <c r="C36" s="55"/>
      <c r="D36" s="110"/>
      <c r="E36" s="110"/>
      <c r="F36" s="110"/>
      <c r="G36" s="110" t="s">
        <v>670</v>
      </c>
      <c r="H36" s="111" t="s">
        <v>670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1"/>
      <c r="Z36" s="1"/>
      <c r="AA36" s="1"/>
    </row>
    <row r="37" spans="1:27" ht="30.75" customHeight="1">
      <c r="A37" s="35"/>
      <c r="B37" s="55"/>
      <c r="C37" s="55"/>
      <c r="D37" s="112"/>
      <c r="E37" s="112"/>
      <c r="F37" s="112"/>
      <c r="G37" s="112"/>
      <c r="H37" s="113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1"/>
      <c r="Z37" s="1"/>
      <c r="AA37" s="1"/>
    </row>
    <row r="38" spans="1:27" ht="30.75" customHeight="1">
      <c r="A38" s="35"/>
      <c r="B38" s="31">
        <v>30</v>
      </c>
      <c r="C38" s="33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1"/>
      <c r="U38" s="1"/>
      <c r="V38" s="1"/>
      <c r="W38" s="1"/>
      <c r="X38" s="1"/>
      <c r="Y38" s="1"/>
      <c r="Z38" s="1"/>
      <c r="AA38" s="1"/>
    </row>
    <row r="39" spans="1:27" ht="30.75" customHeight="1">
      <c r="A39" s="35"/>
      <c r="B39" s="40"/>
      <c r="C39" s="41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1"/>
      <c r="X39" s="1"/>
      <c r="Y39" s="1"/>
      <c r="Z39" s="1"/>
      <c r="AA39" s="1"/>
    </row>
    <row r="40" spans="1:27" ht="30.75" customHeight="1">
      <c r="A40" s="35"/>
      <c r="B40" s="50">
        <v>0.31</v>
      </c>
      <c r="C40" s="51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1"/>
      <c r="X40" s="1"/>
      <c r="Y40" s="1"/>
      <c r="Z40" s="1"/>
      <c r="AA40" s="1"/>
    </row>
    <row r="41" spans="1:27" ht="30.75" customHeight="1">
      <c r="A41" s="35"/>
      <c r="B41" s="52" t="s">
        <v>253</v>
      </c>
      <c r="C41" s="53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1"/>
      <c r="X41" s="1"/>
      <c r="Y41" s="1"/>
      <c r="Z41" s="1"/>
      <c r="AA41" s="1"/>
    </row>
    <row r="42" spans="1:27" ht="30.75" customHeight="1">
      <c r="A42" s="35"/>
      <c r="B42" s="55" t="s">
        <v>700</v>
      </c>
      <c r="C42" s="56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1"/>
      <c r="X42" s="1"/>
      <c r="Y42" s="1"/>
      <c r="Z42" s="1"/>
      <c r="AA42" s="1"/>
    </row>
    <row r="43" spans="1:27" ht="30.75" customHeight="1">
      <c r="A43" s="35"/>
      <c r="B43" s="110"/>
      <c r="C43" s="111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1"/>
      <c r="X43" s="1"/>
      <c r="Y43" s="1"/>
      <c r="Z43" s="1"/>
      <c r="AA43" s="1"/>
    </row>
    <row r="44" spans="1:27" ht="30.75" customHeight="1">
      <c r="A44" s="35"/>
      <c r="B44" s="112"/>
      <c r="C44" s="113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1"/>
      <c r="X44" s="1"/>
      <c r="Y44" s="1"/>
      <c r="Z44" s="1"/>
      <c r="AA44" s="1"/>
    </row>
    <row r="45" spans="1:27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1"/>
      <c r="X46" s="1"/>
      <c r="Y46" s="1"/>
      <c r="Z46" s="1"/>
      <c r="AA46" s="1"/>
    </row>
    <row r="47" spans="1:27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1"/>
      <c r="X47" s="1"/>
      <c r="Y47" s="1"/>
      <c r="Z47" s="1"/>
      <c r="AA47" s="1"/>
    </row>
    <row r="48" spans="1:27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1"/>
      <c r="X48" s="1"/>
      <c r="Y48" s="1"/>
      <c r="Z48" s="1"/>
      <c r="AA48" s="1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1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1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1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1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1"/>
    </row>
    <row r="63" spans="1:22" ht="30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1"/>
    </row>
    <row r="64" spans="1:22" ht="30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1"/>
    </row>
    <row r="65" spans="1:21" ht="30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30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30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30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30.75" customHeight="1">
      <c r="A69" s="1"/>
      <c r="B69" s="35"/>
      <c r="C69" s="35"/>
      <c r="D69" s="35"/>
      <c r="E69" s="35"/>
      <c r="F69" s="35"/>
      <c r="G69" s="35"/>
      <c r="H69" s="3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30.75" customHeight="1">
      <c r="A70" s="1"/>
      <c r="B70" s="35"/>
      <c r="C70" s="35"/>
      <c r="D70" s="35"/>
      <c r="E70" s="35"/>
      <c r="F70" s="35"/>
      <c r="G70" s="35"/>
      <c r="H70" s="3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30.75" customHeight="1">
      <c r="A71" s="1"/>
      <c r="B71" s="35"/>
      <c r="C71" s="35"/>
      <c r="D71" s="35"/>
      <c r="E71" s="35"/>
      <c r="F71" s="35"/>
      <c r="G71" s="35"/>
      <c r="H71" s="3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30.75" customHeight="1">
      <c r="A72" s="1"/>
      <c r="B72" s="35"/>
      <c r="C72" s="35"/>
      <c r="D72" s="35"/>
      <c r="E72" s="35"/>
      <c r="F72" s="35"/>
      <c r="G72" s="35"/>
      <c r="H72" s="3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30.75" customHeight="1">
      <c r="A73" s="1"/>
      <c r="B73" s="35"/>
      <c r="C73" s="35"/>
      <c r="D73" s="35"/>
      <c r="E73" s="35"/>
      <c r="F73" s="35"/>
      <c r="G73" s="35"/>
      <c r="H73" s="3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30.75" customHeight="1">
      <c r="A74" s="1"/>
      <c r="B74" s="35"/>
      <c r="C74" s="35"/>
      <c r="D74" s="35"/>
      <c r="E74" s="35"/>
      <c r="F74" s="35"/>
      <c r="G74" s="35"/>
      <c r="H74" s="3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BDAC-2E5C-4FAC-932A-E7AEA6CE0332}">
  <dimension ref="A1:AG68"/>
  <sheetViews>
    <sheetView topLeftCell="A17" workbookViewId="0">
      <selection activeCell="F25" sqref="F25"/>
    </sheetView>
  </sheetViews>
  <sheetFormatPr defaultColWidth="19.7109375" defaultRowHeight="30.75" customHeight="1"/>
  <cols>
    <col min="1" max="1" width="19.7109375" style="66"/>
    <col min="2" max="4" width="16.42578125" style="66" bestFit="1" customWidth="1"/>
    <col min="5" max="5" width="18" style="66" bestFit="1" customWidth="1"/>
    <col min="6" max="6" width="22" style="66" bestFit="1" customWidth="1"/>
    <col min="7" max="7" width="28.28515625" style="66" bestFit="1" customWidth="1"/>
    <col min="8" max="8" width="16.7109375" style="66" bestFit="1" customWidth="1"/>
    <col min="9" max="9" width="20.28515625" style="66" bestFit="1" customWidth="1"/>
    <col min="10" max="16384" width="19.7109375" style="66"/>
  </cols>
  <sheetData>
    <row r="1" spans="1:33" ht="30.75" customHeight="1" thickBot="1">
      <c r="A1" s="35"/>
      <c r="B1" s="36" t="s">
        <v>339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 thickBot="1">
      <c r="A2" s="46"/>
      <c r="B2" s="29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/>
      <c r="D3" s="31"/>
      <c r="E3" s="31">
        <v>1</v>
      </c>
      <c r="F3" s="31">
        <v>2</v>
      </c>
      <c r="G3" s="31">
        <v>3</v>
      </c>
      <c r="H3" s="31">
        <v>4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/>
      <c r="D4" s="40"/>
      <c r="E4" s="40" t="s">
        <v>62</v>
      </c>
      <c r="F4" s="40" t="s">
        <v>528</v>
      </c>
      <c r="G4" s="40" t="s">
        <v>528</v>
      </c>
      <c r="H4" s="52" t="s">
        <v>253</v>
      </c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/>
      <c r="D5" s="50"/>
      <c r="E5" s="50">
        <v>0.5</v>
      </c>
      <c r="F5" s="50">
        <v>0.38</v>
      </c>
      <c r="G5" s="50">
        <v>0.26</v>
      </c>
      <c r="H5" s="50">
        <v>0.16</v>
      </c>
      <c r="I5" s="48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/>
      <c r="D6" s="44"/>
      <c r="E6" s="52" t="s">
        <v>703</v>
      </c>
      <c r="F6" s="44" t="s">
        <v>62</v>
      </c>
      <c r="G6" s="44" t="s">
        <v>62</v>
      </c>
      <c r="H6" s="1"/>
      <c r="I6" s="54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/>
      <c r="D7" s="44"/>
      <c r="E7" s="44" t="s">
        <v>704</v>
      </c>
      <c r="F7" s="44" t="s">
        <v>705</v>
      </c>
      <c r="G7" s="44" t="s">
        <v>706</v>
      </c>
      <c r="H7" s="44" t="s">
        <v>693</v>
      </c>
      <c r="I7" s="48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 thickBot="1">
      <c r="A8" s="35"/>
      <c r="B8" s="55"/>
      <c r="C8" s="44"/>
      <c r="D8" s="44"/>
      <c r="E8" s="44"/>
      <c r="F8" s="44"/>
      <c r="G8" s="44"/>
      <c r="H8" s="44"/>
      <c r="I8" s="49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5</v>
      </c>
      <c r="C9" s="31">
        <v>6</v>
      </c>
      <c r="D9" s="31">
        <v>7</v>
      </c>
      <c r="E9" s="31">
        <v>8</v>
      </c>
      <c r="F9" s="31">
        <v>9</v>
      </c>
      <c r="G9" s="31">
        <v>10</v>
      </c>
      <c r="H9" s="31">
        <v>11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 t="s">
        <v>42</v>
      </c>
      <c r="C10" s="40" t="s">
        <v>672</v>
      </c>
      <c r="D10" s="40" t="s">
        <v>672</v>
      </c>
      <c r="E10" s="40" t="s">
        <v>672</v>
      </c>
      <c r="F10" s="40" t="s">
        <v>379</v>
      </c>
      <c r="G10" s="40" t="s">
        <v>62</v>
      </c>
      <c r="H10" s="41" t="s">
        <v>253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50">
        <v>0.08</v>
      </c>
      <c r="C11" s="50">
        <v>0.03</v>
      </c>
      <c r="D11" s="50">
        <v>0</v>
      </c>
      <c r="E11" s="50">
        <v>0</v>
      </c>
      <c r="F11" s="50">
        <v>0.04</v>
      </c>
      <c r="G11" s="50">
        <v>0.1</v>
      </c>
      <c r="H11" s="51">
        <v>0.17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44" t="s">
        <v>62</v>
      </c>
      <c r="C12" s="44" t="s">
        <v>253</v>
      </c>
      <c r="D12" s="44" t="s">
        <v>521</v>
      </c>
      <c r="E12" s="52" t="s">
        <v>707</v>
      </c>
      <c r="F12" s="44" t="s">
        <v>521</v>
      </c>
      <c r="G12" s="52"/>
      <c r="H12" s="53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708</v>
      </c>
      <c r="C13" s="44" t="s">
        <v>709</v>
      </c>
      <c r="D13" s="44" t="s">
        <v>710</v>
      </c>
      <c r="E13" s="44" t="s">
        <v>711</v>
      </c>
      <c r="F13" s="44" t="s">
        <v>712</v>
      </c>
      <c r="G13" s="44" t="s">
        <v>713</v>
      </c>
      <c r="H13" s="45" t="s">
        <v>714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 thickBot="1">
      <c r="A14" s="35"/>
      <c r="B14" s="55"/>
      <c r="C14" s="44"/>
      <c r="D14" s="44"/>
      <c r="E14" s="44"/>
      <c r="F14" s="65"/>
      <c r="G14" s="44"/>
      <c r="H14" s="4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12</v>
      </c>
      <c r="C15" s="31">
        <v>13</v>
      </c>
      <c r="D15" s="31">
        <v>14</v>
      </c>
      <c r="E15" s="31">
        <v>15</v>
      </c>
      <c r="F15" s="31">
        <v>16</v>
      </c>
      <c r="G15" s="31">
        <v>17</v>
      </c>
      <c r="H15" s="31">
        <v>18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30.75" customHeight="1">
      <c r="A16" s="35"/>
      <c r="B16" s="40" t="s">
        <v>379</v>
      </c>
      <c r="C16" s="40" t="s">
        <v>521</v>
      </c>
      <c r="D16" s="40" t="s">
        <v>672</v>
      </c>
      <c r="E16" s="40" t="s">
        <v>672</v>
      </c>
      <c r="F16" s="40" t="s">
        <v>379</v>
      </c>
      <c r="G16" s="40" t="s">
        <v>251</v>
      </c>
      <c r="H16" s="41" t="s">
        <v>251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"/>
      <c r="Z16" s="1"/>
      <c r="AA16" s="1"/>
      <c r="AB16" s="1"/>
      <c r="AC16" s="1"/>
      <c r="AD16" s="1"/>
      <c r="AE16" s="1"/>
      <c r="AF16" s="1"/>
      <c r="AG16" s="1"/>
    </row>
    <row r="17" spans="1:24" ht="30.75" customHeight="1">
      <c r="A17" s="35"/>
      <c r="B17" s="50">
        <v>0.27</v>
      </c>
      <c r="C17" s="50">
        <v>0.37</v>
      </c>
      <c r="D17" s="50">
        <v>0.46</v>
      </c>
      <c r="E17" s="50">
        <v>0.55000000000000004</v>
      </c>
      <c r="F17" s="50">
        <v>0.65</v>
      </c>
      <c r="G17" s="50">
        <v>0.75</v>
      </c>
      <c r="H17" s="51">
        <v>0.83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4" t="s">
        <v>62</v>
      </c>
      <c r="C18" s="52" t="s">
        <v>253</v>
      </c>
      <c r="D18" s="44" t="s">
        <v>521</v>
      </c>
      <c r="E18" s="52" t="s">
        <v>707</v>
      </c>
      <c r="F18" s="52" t="s">
        <v>62</v>
      </c>
      <c r="G18" s="52" t="s">
        <v>340</v>
      </c>
      <c r="H18" s="53" t="s">
        <v>253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109">
        <v>0.14583333333333334</v>
      </c>
      <c r="C19" s="44" t="s">
        <v>708</v>
      </c>
      <c r="D19" s="44" t="s">
        <v>708</v>
      </c>
      <c r="E19" s="44" t="s">
        <v>715</v>
      </c>
      <c r="F19" s="44" t="s">
        <v>716</v>
      </c>
      <c r="G19" s="44"/>
      <c r="H19" s="4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 thickBot="1">
      <c r="A20" s="35"/>
      <c r="B20" s="64" t="s">
        <v>717</v>
      </c>
      <c r="C20" s="44"/>
      <c r="D20" s="44"/>
      <c r="E20" s="44"/>
      <c r="F20" s="44"/>
      <c r="G20" s="44"/>
      <c r="H20" s="4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31">
        <v>19</v>
      </c>
      <c r="C21" s="31">
        <v>20</v>
      </c>
      <c r="D21" s="31">
        <v>21</v>
      </c>
      <c r="E21" s="31">
        <v>22</v>
      </c>
      <c r="F21" s="31">
        <v>23</v>
      </c>
      <c r="G21" s="31">
        <v>24</v>
      </c>
      <c r="H21" s="31">
        <v>25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67"/>
      <c r="C22" s="67"/>
      <c r="D22" s="67"/>
      <c r="E22" s="67"/>
      <c r="F22" s="67"/>
      <c r="G22" s="67"/>
      <c r="H22" s="43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50">
        <v>0.89</v>
      </c>
      <c r="C23" s="50">
        <v>0.95</v>
      </c>
      <c r="D23" s="50">
        <v>0.95</v>
      </c>
      <c r="E23" s="50">
        <v>0.99</v>
      </c>
      <c r="F23" s="50">
        <v>1</v>
      </c>
      <c r="G23" s="50">
        <v>1</v>
      </c>
      <c r="H23" s="50">
        <v>0.96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479" t="s">
        <v>307</v>
      </c>
      <c r="C24" s="480"/>
      <c r="D24" s="480"/>
      <c r="E24" s="480"/>
      <c r="F24" s="480"/>
      <c r="G24" s="480"/>
      <c r="H24" s="481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44"/>
      <c r="C25" s="44"/>
      <c r="D25" s="44"/>
      <c r="E25" s="44"/>
      <c r="F25" s="44"/>
      <c r="G25" s="44"/>
      <c r="H25" s="4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 thickBot="1">
      <c r="A26" s="35"/>
      <c r="B26" s="55"/>
      <c r="C26" s="44"/>
      <c r="D26" s="44"/>
      <c r="E26" s="44"/>
      <c r="F26" s="44"/>
      <c r="G26" s="44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31">
        <v>26</v>
      </c>
      <c r="C27" s="31">
        <v>27</v>
      </c>
      <c r="D27" s="31">
        <v>28</v>
      </c>
      <c r="E27" s="31">
        <v>29</v>
      </c>
      <c r="F27" s="31">
        <v>30</v>
      </c>
      <c r="G27" s="31">
        <v>31</v>
      </c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2"/>
      <c r="C28" s="42"/>
      <c r="D28" s="42"/>
      <c r="E28" s="42"/>
      <c r="F28" s="42"/>
      <c r="G28" s="42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0">
        <v>0.91</v>
      </c>
      <c r="C29" s="50">
        <v>0.84</v>
      </c>
      <c r="D29" s="50">
        <v>0.75</v>
      </c>
      <c r="E29" s="50">
        <v>0.64</v>
      </c>
      <c r="F29" s="50">
        <v>0.52</v>
      </c>
      <c r="G29" s="50">
        <v>0.4</v>
      </c>
      <c r="H29" s="5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482" t="s">
        <v>307</v>
      </c>
      <c r="C30" s="483"/>
      <c r="D30" s="483"/>
      <c r="E30" s="483"/>
      <c r="F30" s="483"/>
      <c r="G30" s="484"/>
      <c r="H30" s="5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55"/>
      <c r="C31" s="55"/>
      <c r="D31" s="55"/>
      <c r="E31" s="55"/>
      <c r="F31" s="55"/>
      <c r="G31" s="55"/>
      <c r="H31" s="5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 thickBot="1">
      <c r="A32" s="35"/>
      <c r="B32" s="55"/>
      <c r="C32" s="44"/>
      <c r="D32" s="44"/>
      <c r="E32" s="44"/>
      <c r="F32" s="44"/>
      <c r="G32" s="44"/>
      <c r="H32" s="4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7" ht="30.75" customHeight="1">
      <c r="A33" s="35"/>
      <c r="B33" s="31"/>
      <c r="C33" s="31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1"/>
      <c r="U33" s="1"/>
      <c r="V33" s="1"/>
      <c r="W33" s="1"/>
      <c r="X33" s="1"/>
      <c r="Y33" s="1"/>
      <c r="Z33" s="1"/>
      <c r="AA33" s="1"/>
    </row>
    <row r="34" spans="1:27" ht="30.75" customHeight="1">
      <c r="A34" s="35"/>
      <c r="B34" s="40"/>
      <c r="C34" s="40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1"/>
      <c r="X34" s="1"/>
      <c r="Y34" s="1"/>
      <c r="Z34" s="1"/>
      <c r="AA34" s="1"/>
    </row>
    <row r="35" spans="1:27" ht="30.75" customHeight="1">
      <c r="A35" s="35"/>
      <c r="B35" s="50"/>
      <c r="C35" s="50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1"/>
      <c r="X35" s="1"/>
      <c r="Y35" s="1"/>
      <c r="Z35" s="1"/>
      <c r="AA35" s="1"/>
    </row>
    <row r="36" spans="1:27" ht="30.75" customHeight="1">
      <c r="A36" s="35"/>
      <c r="B36" s="52"/>
      <c r="C36" s="5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1"/>
      <c r="X36" s="1"/>
      <c r="Y36" s="1"/>
      <c r="Z36" s="1"/>
      <c r="AA36" s="1"/>
    </row>
    <row r="37" spans="1:27" ht="30.75" customHeight="1">
      <c r="A37" s="35"/>
      <c r="B37" s="55"/>
      <c r="C37" s="5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1"/>
      <c r="X37" s="1"/>
      <c r="Y37" s="1"/>
      <c r="Z37" s="1"/>
      <c r="AA37" s="1"/>
    </row>
    <row r="38" spans="1:27" ht="30.75" customHeight="1">
      <c r="A38" s="35"/>
      <c r="B38" s="55"/>
      <c r="C38" s="44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1"/>
      <c r="X38" s="1"/>
      <c r="Y38" s="1"/>
      <c r="Z38" s="1"/>
      <c r="AA38" s="1"/>
    </row>
    <row r="39" spans="1:27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1"/>
      <c r="X40" s="1"/>
      <c r="Y40" s="1"/>
      <c r="Z40" s="1"/>
      <c r="AA40" s="1"/>
    </row>
    <row r="41" spans="1:27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1"/>
      <c r="X41" s="1"/>
      <c r="Y41" s="1"/>
      <c r="Z41" s="1"/>
      <c r="AA41" s="1"/>
    </row>
    <row r="42" spans="1:27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1"/>
      <c r="X42" s="1"/>
      <c r="Y42" s="1"/>
      <c r="Z42" s="1"/>
      <c r="AA42" s="1"/>
    </row>
    <row r="43" spans="1:27" ht="30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1"/>
      <c r="X43" s="1"/>
      <c r="Y43" s="1"/>
      <c r="Z43" s="1"/>
      <c r="AA43" s="1"/>
    </row>
    <row r="44" spans="1:27" ht="30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1"/>
      <c r="X44" s="1"/>
      <c r="Y44" s="1"/>
      <c r="Z44" s="1"/>
      <c r="AA44" s="1"/>
    </row>
    <row r="45" spans="1:27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1"/>
      <c r="X45" s="1"/>
      <c r="Y45" s="1"/>
      <c r="Z45" s="1"/>
      <c r="AA45" s="1"/>
    </row>
    <row r="46" spans="1:27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1"/>
      <c r="X46" s="1"/>
      <c r="Y46" s="1"/>
      <c r="Z46" s="1"/>
      <c r="AA46" s="1"/>
    </row>
    <row r="47" spans="1:27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1"/>
      <c r="X47" s="1"/>
      <c r="Y47" s="1"/>
      <c r="Z47" s="1"/>
      <c r="AA47" s="1"/>
    </row>
    <row r="48" spans="1:27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1"/>
      <c r="X48" s="1"/>
      <c r="Y48" s="1"/>
      <c r="Z48" s="1"/>
      <c r="AA48" s="1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1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1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1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1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1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1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1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1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1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1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1"/>
    </row>
    <row r="63" spans="1:22" ht="30.75" customHeight="1">
      <c r="A63" s="1"/>
      <c r="B63" s="35"/>
      <c r="C63" s="35"/>
      <c r="D63" s="35"/>
      <c r="E63" s="35"/>
      <c r="F63" s="35"/>
      <c r="G63" s="35"/>
      <c r="H63" s="3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30.75" customHeight="1">
      <c r="A64" s="1"/>
      <c r="B64" s="35"/>
      <c r="C64" s="35"/>
      <c r="D64" s="35"/>
      <c r="E64" s="35"/>
      <c r="F64" s="35"/>
      <c r="G64" s="35"/>
      <c r="H64" s="3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2:8" ht="30.75" customHeight="1">
      <c r="B65" s="35"/>
      <c r="C65" s="35"/>
      <c r="D65" s="35"/>
      <c r="E65" s="35"/>
      <c r="F65" s="35"/>
      <c r="G65" s="35"/>
      <c r="H65" s="35"/>
    </row>
    <row r="66" spans="2:8" ht="30.75" customHeight="1">
      <c r="B66" s="35"/>
      <c r="C66" s="35"/>
      <c r="D66" s="35"/>
      <c r="E66" s="35"/>
      <c r="F66" s="35"/>
      <c r="G66" s="35"/>
      <c r="H66" s="35"/>
    </row>
    <row r="67" spans="2:8" ht="30.75" customHeight="1">
      <c r="B67" s="35"/>
      <c r="C67" s="35"/>
      <c r="D67" s="35"/>
      <c r="E67" s="35"/>
      <c r="F67" s="35"/>
      <c r="G67" s="35"/>
      <c r="H67" s="35"/>
    </row>
    <row r="68" spans="2:8" ht="30.75" customHeight="1">
      <c r="B68" s="35"/>
      <c r="C68" s="35"/>
      <c r="D68" s="35"/>
      <c r="E68" s="35"/>
      <c r="F68" s="35"/>
      <c r="G68" s="35"/>
      <c r="H68" s="35"/>
    </row>
  </sheetData>
  <mergeCells count="2">
    <mergeCell ref="B24:H24"/>
    <mergeCell ref="B30:G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5C0-B666-4B07-AE78-22138D182F3C}">
  <dimension ref="A1:AG68"/>
  <sheetViews>
    <sheetView zoomScale="121" zoomScaleNormal="121" workbookViewId="0">
      <selection activeCell="I17" sqref="I17"/>
    </sheetView>
  </sheetViews>
  <sheetFormatPr defaultColWidth="19.7109375" defaultRowHeight="30.75" customHeight="1"/>
  <cols>
    <col min="1" max="1" width="19.7109375" style="1"/>
    <col min="2" max="4" width="16.42578125" style="1" bestFit="1" customWidth="1"/>
    <col min="5" max="5" width="18" style="1" bestFit="1" customWidth="1"/>
    <col min="6" max="6" width="22" style="1" bestFit="1" customWidth="1"/>
    <col min="7" max="7" width="28.28515625" style="1" bestFit="1" customWidth="1"/>
    <col min="8" max="8" width="16.7109375" style="1" bestFit="1" customWidth="1"/>
    <col min="9" max="9" width="20.28515625" style="1" bestFit="1" customWidth="1"/>
    <col min="10" max="16384" width="19.7109375" style="1"/>
  </cols>
  <sheetData>
    <row r="1" spans="1:33" ht="30.75" customHeight="1">
      <c r="A1" s="35"/>
      <c r="B1" s="36" t="s">
        <v>378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46"/>
      <c r="B2" s="29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 t="s">
        <v>528</v>
      </c>
      <c r="D4" s="40" t="s">
        <v>528</v>
      </c>
      <c r="E4" s="40"/>
      <c r="F4" s="40" t="s">
        <v>379</v>
      </c>
      <c r="G4" s="40" t="s">
        <v>251</v>
      </c>
      <c r="H4" s="40"/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>
        <v>0.56000000000000005</v>
      </c>
      <c r="D5" s="50">
        <v>0.45</v>
      </c>
      <c r="E5" s="50">
        <v>0.33</v>
      </c>
      <c r="F5" s="50">
        <v>0.22</v>
      </c>
      <c r="G5" s="50">
        <v>0.14000000000000001</v>
      </c>
      <c r="H5" s="50">
        <v>0.06</v>
      </c>
      <c r="I5" s="48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 t="s">
        <v>521</v>
      </c>
      <c r="D6" s="44" t="s">
        <v>340</v>
      </c>
      <c r="E6" s="52" t="s">
        <v>707</v>
      </c>
      <c r="F6" s="44" t="s">
        <v>340</v>
      </c>
      <c r="G6" s="44" t="s">
        <v>340</v>
      </c>
      <c r="H6" s="52" t="s">
        <v>340</v>
      </c>
      <c r="I6" s="54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 t="s">
        <v>718</v>
      </c>
      <c r="D7" s="44" t="s">
        <v>719</v>
      </c>
      <c r="E7" s="44" t="s">
        <v>720</v>
      </c>
      <c r="F7" s="44" t="s">
        <v>721</v>
      </c>
      <c r="G7" s="44" t="s">
        <v>722</v>
      </c>
      <c r="H7" s="44" t="s">
        <v>119</v>
      </c>
      <c r="I7" s="48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 t="s">
        <v>108</v>
      </c>
      <c r="D8" s="44" t="s">
        <v>108</v>
      </c>
      <c r="E8" s="44" t="s">
        <v>108</v>
      </c>
      <c r="F8" s="44" t="s">
        <v>108</v>
      </c>
      <c r="G8" s="44" t="s">
        <v>108</v>
      </c>
      <c r="H8" s="44" t="s">
        <v>108</v>
      </c>
      <c r="I8" s="49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7</v>
      </c>
      <c r="C9" s="31">
        <v>8</v>
      </c>
      <c r="D9" s="31">
        <v>9</v>
      </c>
      <c r="E9" s="31">
        <v>10</v>
      </c>
      <c r="F9" s="31">
        <v>11</v>
      </c>
      <c r="G9" s="31">
        <v>12</v>
      </c>
      <c r="H9" s="31">
        <v>13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 t="s">
        <v>672</v>
      </c>
      <c r="C10" s="40" t="s">
        <v>528</v>
      </c>
      <c r="D10" s="40" t="s">
        <v>723</v>
      </c>
      <c r="E10" s="40" t="s">
        <v>672</v>
      </c>
      <c r="F10" s="40" t="s">
        <v>379</v>
      </c>
      <c r="G10" s="40" t="s">
        <v>251</v>
      </c>
      <c r="H10" s="41" t="s">
        <v>42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50">
        <v>0.01</v>
      </c>
      <c r="C11" s="50">
        <v>0</v>
      </c>
      <c r="D11" s="50">
        <v>0.01</v>
      </c>
      <c r="E11" s="50">
        <v>0.06</v>
      </c>
      <c r="F11" s="50">
        <v>0.14000000000000001</v>
      </c>
      <c r="G11" s="50">
        <v>0.22</v>
      </c>
      <c r="H11" s="51">
        <v>0.33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44" t="s">
        <v>62</v>
      </c>
      <c r="C12" s="44" t="s">
        <v>521</v>
      </c>
      <c r="D12" s="44" t="s">
        <v>62</v>
      </c>
      <c r="E12" s="52" t="s">
        <v>707</v>
      </c>
      <c r="F12" s="44" t="s">
        <v>340</v>
      </c>
      <c r="G12" s="52" t="s">
        <v>62</v>
      </c>
      <c r="H12" s="53" t="s">
        <v>340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724</v>
      </c>
      <c r="C13" s="44" t="s">
        <v>725</v>
      </c>
      <c r="D13" s="44" t="s">
        <v>726</v>
      </c>
      <c r="E13" s="44" t="s">
        <v>727</v>
      </c>
      <c r="F13" s="44" t="s">
        <v>721</v>
      </c>
      <c r="G13" s="44" t="s">
        <v>726</v>
      </c>
      <c r="H13" s="45" t="s">
        <v>728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55" t="s">
        <v>108</v>
      </c>
      <c r="C14" s="44"/>
      <c r="D14" s="44" t="s">
        <v>729</v>
      </c>
      <c r="E14" s="44" t="s">
        <v>729</v>
      </c>
      <c r="F14" s="65" t="s">
        <v>108</v>
      </c>
      <c r="G14" s="44"/>
      <c r="H14" s="45" t="s">
        <v>108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14</v>
      </c>
      <c r="C15" s="31">
        <v>15</v>
      </c>
      <c r="D15" s="31">
        <v>16</v>
      </c>
      <c r="E15" s="31">
        <v>17</v>
      </c>
      <c r="F15" s="31">
        <v>18</v>
      </c>
      <c r="G15" s="31">
        <v>19</v>
      </c>
      <c r="H15" s="31">
        <v>20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33" ht="30.75" customHeight="1">
      <c r="A16" s="35"/>
      <c r="B16" s="40" t="s">
        <v>672</v>
      </c>
      <c r="C16" s="40" t="s">
        <v>528</v>
      </c>
      <c r="D16" s="40" t="s">
        <v>723</v>
      </c>
      <c r="E16" s="40" t="s">
        <v>379</v>
      </c>
      <c r="F16" s="40" t="s">
        <v>379</v>
      </c>
      <c r="G16" s="40" t="s">
        <v>251</v>
      </c>
      <c r="H16" s="4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30.75" customHeight="1">
      <c r="A17" s="35"/>
      <c r="B17" s="50">
        <v>0.43</v>
      </c>
      <c r="C17" s="50">
        <v>0.53</v>
      </c>
      <c r="D17" s="50">
        <v>0.63</v>
      </c>
      <c r="E17" s="50">
        <v>0.72</v>
      </c>
      <c r="F17" s="50">
        <v>0.8</v>
      </c>
      <c r="G17" s="50">
        <v>0.87</v>
      </c>
      <c r="H17" s="51">
        <v>0.93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4" t="s">
        <v>62</v>
      </c>
      <c r="C18" s="52" t="s">
        <v>521</v>
      </c>
      <c r="D18" s="44" t="s">
        <v>253</v>
      </c>
      <c r="E18" s="52" t="s">
        <v>707</v>
      </c>
      <c r="F18" s="52" t="s">
        <v>62</v>
      </c>
      <c r="G18" s="52" t="s">
        <v>253</v>
      </c>
      <c r="H18" s="53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44" t="s">
        <v>715</v>
      </c>
      <c r="C19" s="44" t="s">
        <v>730</v>
      </c>
      <c r="D19" s="44" t="s">
        <v>731</v>
      </c>
      <c r="E19" s="44" t="s">
        <v>732</v>
      </c>
      <c r="F19" s="44">
        <v>0</v>
      </c>
      <c r="G19" s="44">
        <v>0</v>
      </c>
      <c r="H19" s="45" t="s">
        <v>733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64"/>
      <c r="C20" s="44"/>
      <c r="D20" s="44"/>
      <c r="E20" s="44"/>
      <c r="F20" s="44"/>
      <c r="G20" s="44"/>
      <c r="H20" s="4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31">
        <v>21</v>
      </c>
      <c r="C21" s="31">
        <v>22</v>
      </c>
      <c r="D21" s="31">
        <v>23</v>
      </c>
      <c r="E21" s="31">
        <v>24</v>
      </c>
      <c r="F21" s="31">
        <v>25</v>
      </c>
      <c r="G21" s="31">
        <v>26</v>
      </c>
      <c r="H21" s="31">
        <v>27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42"/>
      <c r="C22" s="42"/>
      <c r="D22" s="42"/>
      <c r="E22" s="42"/>
      <c r="F22" s="42"/>
      <c r="G22" s="42"/>
      <c r="H22" s="41" t="s">
        <v>42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50">
        <v>0.95</v>
      </c>
      <c r="C23" s="50">
        <v>0.97</v>
      </c>
      <c r="D23" s="50">
        <v>0.98</v>
      </c>
      <c r="E23" s="50">
        <v>0.99</v>
      </c>
      <c r="F23" s="50">
        <v>0.98</v>
      </c>
      <c r="G23" s="50">
        <v>0.94</v>
      </c>
      <c r="H23" s="51">
        <v>0.88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44"/>
      <c r="C24" s="52"/>
      <c r="D24" s="44"/>
      <c r="E24" s="52"/>
      <c r="F24" s="52"/>
      <c r="G24" s="52"/>
      <c r="H24" s="53" t="s">
        <v>62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44" t="s">
        <v>734</v>
      </c>
      <c r="C25" s="44" t="s">
        <v>735</v>
      </c>
      <c r="D25" s="44" t="s">
        <v>736</v>
      </c>
      <c r="E25" s="44"/>
      <c r="F25" s="44" t="s">
        <v>737</v>
      </c>
      <c r="G25" s="44"/>
      <c r="H25" s="4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5"/>
      <c r="C26" s="44"/>
      <c r="D26" s="44"/>
      <c r="E26" s="44"/>
      <c r="F26" s="44"/>
      <c r="G26" s="44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31">
        <v>28</v>
      </c>
      <c r="C27" s="31">
        <v>29</v>
      </c>
      <c r="D27" s="31">
        <v>30</v>
      </c>
      <c r="E27" s="31"/>
      <c r="F27" s="31"/>
      <c r="G27" s="31"/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0" t="s">
        <v>42</v>
      </c>
      <c r="C28" s="40" t="s">
        <v>521</v>
      </c>
      <c r="D28" s="40" t="s">
        <v>528</v>
      </c>
      <c r="E28" s="40"/>
      <c r="F28" s="40"/>
      <c r="G28" s="40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0">
        <v>0.8</v>
      </c>
      <c r="C29" s="50">
        <v>0.71</v>
      </c>
      <c r="D29" s="50">
        <v>0.6</v>
      </c>
      <c r="E29" s="50"/>
      <c r="F29" s="50"/>
      <c r="G29" s="50"/>
      <c r="H29" s="5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52" t="s">
        <v>62</v>
      </c>
      <c r="C30" s="52" t="s">
        <v>253</v>
      </c>
      <c r="D30" s="52" t="s">
        <v>340</v>
      </c>
      <c r="E30" s="52"/>
      <c r="F30" s="52"/>
      <c r="G30" s="52"/>
      <c r="H30" s="5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55"/>
      <c r="C31" s="55"/>
      <c r="D31" s="44" t="s">
        <v>738</v>
      </c>
      <c r="E31" s="55"/>
      <c r="F31" s="55"/>
      <c r="G31" s="55"/>
      <c r="H31" s="5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55"/>
      <c r="C32" s="44"/>
      <c r="D32" s="44"/>
      <c r="E32" s="44"/>
      <c r="F32" s="44"/>
      <c r="G32" s="44"/>
      <c r="H32" s="4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7" ht="30.75" customHeight="1">
      <c r="A33" s="35"/>
      <c r="B33" s="31"/>
      <c r="C33" s="31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27" ht="30.75" customHeight="1">
      <c r="A34" s="35"/>
      <c r="B34" s="40"/>
      <c r="C34" s="40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7" ht="30.75" customHeight="1">
      <c r="A35" s="35"/>
      <c r="B35" s="50"/>
      <c r="C35" s="50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7" ht="30.75" customHeight="1">
      <c r="A36" s="35"/>
      <c r="B36" s="52"/>
      <c r="C36" s="5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7" ht="30.75" customHeight="1">
      <c r="A37" s="35"/>
      <c r="B37" s="55"/>
      <c r="C37" s="5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7" ht="30.75" customHeight="1">
      <c r="A38" s="35"/>
      <c r="B38" s="55"/>
      <c r="C38" s="44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7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7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7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7" ht="30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7" ht="30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7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7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7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7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2" ht="30.75" customHeight="1">
      <c r="B63" s="35"/>
      <c r="C63" s="35"/>
      <c r="D63" s="35"/>
      <c r="E63" s="35"/>
      <c r="F63" s="35"/>
      <c r="G63" s="35"/>
      <c r="H63" s="35"/>
    </row>
    <row r="64" spans="1:22" ht="30.75" customHeight="1">
      <c r="B64" s="35"/>
      <c r="C64" s="35"/>
      <c r="D64" s="35"/>
      <c r="E64" s="35"/>
      <c r="F64" s="35"/>
      <c r="G64" s="35"/>
      <c r="H64" s="35"/>
    </row>
    <row r="65" spans="2:8" ht="30.75" customHeight="1">
      <c r="B65" s="35"/>
      <c r="C65" s="35"/>
      <c r="D65" s="35"/>
      <c r="E65" s="35"/>
      <c r="F65" s="35"/>
      <c r="G65" s="35"/>
      <c r="H65" s="35"/>
    </row>
    <row r="66" spans="2:8" ht="30.75" customHeight="1">
      <c r="B66" s="35"/>
      <c r="C66" s="35"/>
      <c r="D66" s="35"/>
      <c r="E66" s="35"/>
      <c r="F66" s="35"/>
      <c r="G66" s="35"/>
      <c r="H66" s="35"/>
    </row>
    <row r="67" spans="2:8" ht="30.75" customHeight="1">
      <c r="B67" s="35"/>
      <c r="C67" s="35"/>
      <c r="D67" s="35"/>
      <c r="E67" s="35"/>
      <c r="F67" s="35"/>
      <c r="G67" s="35"/>
      <c r="H67" s="35"/>
    </row>
    <row r="68" spans="2:8" ht="30.75" customHeight="1">
      <c r="B68" s="35"/>
      <c r="C68" s="35"/>
      <c r="D68" s="35"/>
      <c r="E68" s="35"/>
      <c r="F68" s="35"/>
      <c r="G68" s="35"/>
      <c r="H68" s="3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10F8-69B3-40B3-B189-39226D7135DD}">
  <dimension ref="A1:AG68"/>
  <sheetViews>
    <sheetView showGridLines="0" showRowColHeaders="0" topLeftCell="A7" workbookViewId="0">
      <selection activeCell="G31" sqref="G31"/>
    </sheetView>
  </sheetViews>
  <sheetFormatPr defaultColWidth="19.7109375" defaultRowHeight="30.75" customHeight="1"/>
  <cols>
    <col min="1" max="16384" width="19.7109375" style="1"/>
  </cols>
  <sheetData>
    <row r="1" spans="1:33" ht="30.75" customHeight="1">
      <c r="A1" s="35"/>
      <c r="B1" s="36" t="s">
        <v>415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46"/>
      <c r="B2" s="29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/>
      <c r="D3" s="31"/>
      <c r="E3" s="31"/>
      <c r="F3" s="31"/>
      <c r="G3" s="31">
        <v>1</v>
      </c>
      <c r="H3" s="31">
        <v>2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/>
      <c r="D4" s="40"/>
      <c r="E4" s="40"/>
      <c r="F4" s="40"/>
      <c r="G4" s="40" t="s">
        <v>253</v>
      </c>
      <c r="H4" s="40" t="s">
        <v>251</v>
      </c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/>
      <c r="D5" s="50"/>
      <c r="E5" s="50"/>
      <c r="F5" s="50"/>
      <c r="G5" s="50">
        <v>0.71</v>
      </c>
      <c r="H5" s="50">
        <v>0.61</v>
      </c>
      <c r="I5" s="48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/>
      <c r="D6" s="44"/>
      <c r="E6" s="52"/>
      <c r="F6" s="44"/>
      <c r="G6" s="44"/>
      <c r="H6" s="52" t="s">
        <v>340</v>
      </c>
      <c r="I6" s="54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/>
      <c r="D7" s="44"/>
      <c r="E7" s="44"/>
      <c r="F7" s="44"/>
      <c r="G7" s="44" t="s">
        <v>739</v>
      </c>
      <c r="H7" s="44" t="s">
        <v>119</v>
      </c>
      <c r="I7" s="48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/>
      <c r="D8" s="44"/>
      <c r="E8" s="44"/>
      <c r="F8" s="44"/>
      <c r="G8" s="44"/>
      <c r="H8" s="44"/>
      <c r="I8" s="49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3</v>
      </c>
      <c r="C9" s="31">
        <v>4</v>
      </c>
      <c r="D9" s="31">
        <v>5</v>
      </c>
      <c r="E9" s="31">
        <v>6</v>
      </c>
      <c r="F9" s="31">
        <v>7</v>
      </c>
      <c r="G9" s="31">
        <v>8</v>
      </c>
      <c r="H9" s="33">
        <v>9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/>
      <c r="C10" s="40"/>
      <c r="D10" s="40" t="s">
        <v>379</v>
      </c>
      <c r="E10" s="40" t="s">
        <v>42</v>
      </c>
      <c r="F10" s="40" t="s">
        <v>379</v>
      </c>
      <c r="G10" s="40"/>
      <c r="H10" s="41" t="s">
        <v>251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50">
        <v>0.51</v>
      </c>
      <c r="C11" s="50">
        <v>0.4</v>
      </c>
      <c r="D11" s="50">
        <v>0.28999999999999998</v>
      </c>
      <c r="E11" s="50">
        <v>0.19</v>
      </c>
      <c r="F11" s="50">
        <v>0.1</v>
      </c>
      <c r="G11" s="50">
        <v>0.04</v>
      </c>
      <c r="H11" s="51">
        <v>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44" t="s">
        <v>62</v>
      </c>
      <c r="C12" s="44" t="s">
        <v>521</v>
      </c>
      <c r="D12" s="44" t="s">
        <v>340</v>
      </c>
      <c r="E12" s="52" t="s">
        <v>707</v>
      </c>
      <c r="F12" s="44" t="s">
        <v>108</v>
      </c>
      <c r="G12" s="52" t="s">
        <v>340</v>
      </c>
      <c r="H12" s="53" t="s">
        <v>253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740</v>
      </c>
      <c r="C13" s="44" t="s">
        <v>740</v>
      </c>
      <c r="D13" s="44" t="s">
        <v>741</v>
      </c>
      <c r="E13" s="44" t="s">
        <v>742</v>
      </c>
      <c r="F13" s="44" t="s">
        <v>743</v>
      </c>
      <c r="G13" s="44" t="s">
        <v>119</v>
      </c>
      <c r="H13" s="45" t="s">
        <v>744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55"/>
      <c r="C14" s="44"/>
      <c r="D14" s="44"/>
      <c r="E14" s="44"/>
      <c r="F14" s="65"/>
      <c r="G14" s="44"/>
      <c r="H14" s="45" t="s">
        <v>745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10</v>
      </c>
      <c r="C15" s="31">
        <v>11</v>
      </c>
      <c r="D15" s="31">
        <v>12</v>
      </c>
      <c r="E15" s="31">
        <v>13</v>
      </c>
      <c r="F15" s="31">
        <v>14</v>
      </c>
      <c r="G15" s="31">
        <v>15</v>
      </c>
      <c r="H15" s="33">
        <v>16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33" ht="30.75" customHeight="1">
      <c r="A16" s="35"/>
      <c r="B16" s="40" t="s">
        <v>672</v>
      </c>
      <c r="C16" s="40" t="s">
        <v>108</v>
      </c>
      <c r="D16" s="40" t="s">
        <v>108</v>
      </c>
      <c r="E16" s="40" t="s">
        <v>42</v>
      </c>
      <c r="F16" s="40" t="s">
        <v>379</v>
      </c>
      <c r="G16" s="40" t="s">
        <v>253</v>
      </c>
      <c r="H16" s="41" t="s">
        <v>251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30.75" customHeight="1">
      <c r="A17" s="35"/>
      <c r="B17" s="50">
        <v>0</v>
      </c>
      <c r="C17" s="50">
        <v>0.03</v>
      </c>
      <c r="D17" s="50">
        <v>0.09</v>
      </c>
      <c r="E17" s="50">
        <v>0.18</v>
      </c>
      <c r="F17" s="50">
        <v>0.27</v>
      </c>
      <c r="G17" s="50">
        <v>0.38</v>
      </c>
      <c r="H17" s="51">
        <v>0.49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4" t="s">
        <v>62</v>
      </c>
      <c r="C18" s="52" t="s">
        <v>521</v>
      </c>
      <c r="D18" s="44" t="s">
        <v>62</v>
      </c>
      <c r="E18" s="52" t="s">
        <v>746</v>
      </c>
      <c r="F18" s="52" t="s">
        <v>62</v>
      </c>
      <c r="G18" s="52"/>
      <c r="H18" s="53" t="s">
        <v>253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44" t="s">
        <v>747</v>
      </c>
      <c r="C19" s="44" t="s">
        <v>748</v>
      </c>
      <c r="D19" s="44" t="s">
        <v>749</v>
      </c>
      <c r="E19" s="44" t="s">
        <v>749</v>
      </c>
      <c r="F19" s="44" t="s">
        <v>750</v>
      </c>
      <c r="G19" s="44" t="s">
        <v>751</v>
      </c>
      <c r="H19" s="45" t="s">
        <v>751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64" t="s">
        <v>745</v>
      </c>
      <c r="C20" s="44" t="s">
        <v>752</v>
      </c>
      <c r="D20" s="44"/>
      <c r="E20" s="44"/>
      <c r="F20" s="44"/>
      <c r="G20" s="44"/>
      <c r="H20" s="4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31">
        <v>17</v>
      </c>
      <c r="C21" s="31">
        <v>18</v>
      </c>
      <c r="D21" s="31">
        <v>19</v>
      </c>
      <c r="E21" s="31">
        <v>20</v>
      </c>
      <c r="F21" s="31">
        <v>21</v>
      </c>
      <c r="G21" s="31">
        <v>22</v>
      </c>
      <c r="H21" s="33">
        <v>23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40" t="s">
        <v>672</v>
      </c>
      <c r="C22" s="40" t="s">
        <v>528</v>
      </c>
      <c r="D22" s="40" t="s">
        <v>672</v>
      </c>
      <c r="E22" s="40" t="s">
        <v>379</v>
      </c>
      <c r="F22" s="42"/>
      <c r="G22" s="42"/>
      <c r="H22" s="43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50">
        <v>0.6</v>
      </c>
      <c r="C23" s="50">
        <v>0.7</v>
      </c>
      <c r="D23" s="50">
        <v>0.78</v>
      </c>
      <c r="E23" s="50">
        <v>0.85</v>
      </c>
      <c r="F23" s="50">
        <v>0.91</v>
      </c>
      <c r="G23" s="50">
        <v>0.93</v>
      </c>
      <c r="H23" s="51">
        <v>0.96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44" t="s">
        <v>253</v>
      </c>
      <c r="C24" s="52" t="s">
        <v>340</v>
      </c>
      <c r="D24" s="44" t="s">
        <v>340</v>
      </c>
      <c r="E24" s="52" t="s">
        <v>707</v>
      </c>
      <c r="F24" s="52"/>
      <c r="G24" s="52" t="s">
        <v>753</v>
      </c>
      <c r="H24" s="53" t="s">
        <v>62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44" t="s">
        <v>754</v>
      </c>
      <c r="C25" s="44" t="s">
        <v>715</v>
      </c>
      <c r="D25" s="44" t="s">
        <v>755</v>
      </c>
      <c r="E25" s="44" t="s">
        <v>755</v>
      </c>
      <c r="F25" s="44"/>
      <c r="G25" s="44" t="s">
        <v>756</v>
      </c>
      <c r="H25" s="45" t="s">
        <v>736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5"/>
      <c r="C26" s="44"/>
      <c r="D26" s="44"/>
      <c r="E26" s="44"/>
      <c r="F26" s="44"/>
      <c r="G26" s="44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31">
        <v>24</v>
      </c>
      <c r="C27" s="31">
        <v>25</v>
      </c>
      <c r="D27" s="31">
        <v>26</v>
      </c>
      <c r="E27" s="31">
        <v>27</v>
      </c>
      <c r="F27" s="31">
        <v>28</v>
      </c>
      <c r="G27" s="31">
        <v>29</v>
      </c>
      <c r="H27" s="33">
        <v>30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2"/>
      <c r="C28" s="42"/>
      <c r="D28" s="42"/>
      <c r="E28" s="42"/>
      <c r="F28" s="42"/>
      <c r="G28" s="40"/>
      <c r="H28" s="41" t="s">
        <v>251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0">
        <v>0.99</v>
      </c>
      <c r="C29" s="50">
        <v>1</v>
      </c>
      <c r="D29" s="50">
        <v>0.99</v>
      </c>
      <c r="E29" s="50">
        <v>0.96</v>
      </c>
      <c r="F29" s="50">
        <v>0.91</v>
      </c>
      <c r="G29" s="50">
        <v>0.84</v>
      </c>
      <c r="H29" s="51">
        <v>0.76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52"/>
      <c r="C30" s="52" t="s">
        <v>62</v>
      </c>
      <c r="D30" s="52" t="s">
        <v>340</v>
      </c>
      <c r="E30" s="52" t="s">
        <v>253</v>
      </c>
      <c r="F30" s="52"/>
      <c r="G30" s="52" t="s">
        <v>340</v>
      </c>
      <c r="H30" s="53" t="s">
        <v>340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55"/>
      <c r="C31" s="55" t="s">
        <v>757</v>
      </c>
      <c r="D31" s="55" t="s">
        <v>758</v>
      </c>
      <c r="E31" s="55" t="s">
        <v>759</v>
      </c>
      <c r="F31" s="55"/>
      <c r="G31" s="55"/>
      <c r="H31" s="56" t="s">
        <v>751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55"/>
      <c r="C32" s="44"/>
      <c r="D32" s="44"/>
      <c r="E32" s="44"/>
      <c r="F32" s="44"/>
      <c r="G32" s="44"/>
      <c r="H32" s="4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2" ht="30.75" customHeight="1">
      <c r="A33" s="35"/>
      <c r="B33" s="31">
        <v>31</v>
      </c>
      <c r="C33" s="31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22" ht="30.75" customHeight="1">
      <c r="A34" s="35"/>
      <c r="B34" s="40" t="s">
        <v>672</v>
      </c>
      <c r="C34" s="40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2" ht="30.75" customHeight="1">
      <c r="A35" s="35"/>
      <c r="B35" s="50">
        <v>0.67</v>
      </c>
      <c r="C35" s="50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2" ht="30.75" customHeight="1">
      <c r="A36" s="35"/>
      <c r="B36" s="52" t="s">
        <v>62</v>
      </c>
      <c r="C36" s="5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2" ht="30.75" customHeight="1">
      <c r="A37" s="35"/>
      <c r="B37" s="55"/>
      <c r="C37" s="5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2" ht="30.75" customHeight="1">
      <c r="A38" s="35"/>
      <c r="B38" s="55"/>
      <c r="C38" s="44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2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1:22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2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2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2" ht="30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 ht="30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2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2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2" ht="30.75" customHeight="1">
      <c r="B63" s="35"/>
      <c r="C63" s="35"/>
      <c r="D63" s="35"/>
      <c r="E63" s="35"/>
      <c r="F63" s="35"/>
      <c r="G63" s="35"/>
      <c r="H63" s="35"/>
    </row>
    <row r="64" spans="1:22" ht="30.75" customHeight="1">
      <c r="B64" s="35"/>
      <c r="C64" s="35"/>
      <c r="D64" s="35"/>
      <c r="E64" s="35"/>
      <c r="F64" s="35"/>
      <c r="G64" s="35"/>
      <c r="H64" s="35"/>
    </row>
    <row r="65" spans="2:8" ht="30.75" customHeight="1">
      <c r="B65" s="35"/>
      <c r="C65" s="35"/>
      <c r="D65" s="35"/>
      <c r="E65" s="35"/>
      <c r="F65" s="35"/>
      <c r="G65" s="35"/>
      <c r="H65" s="35"/>
    </row>
    <row r="66" spans="2:8" ht="30.75" customHeight="1">
      <c r="B66" s="35"/>
      <c r="C66" s="35"/>
      <c r="D66" s="35"/>
      <c r="E66" s="35"/>
      <c r="F66" s="35"/>
      <c r="G66" s="35"/>
      <c r="H66" s="35"/>
    </row>
    <row r="67" spans="2:8" ht="30.75" customHeight="1">
      <c r="B67" s="35"/>
      <c r="C67" s="35"/>
      <c r="D67" s="35"/>
      <c r="E67" s="35"/>
      <c r="F67" s="35"/>
      <c r="G67" s="35"/>
      <c r="H67" s="35"/>
    </row>
    <row r="68" spans="2:8" ht="30.75" customHeight="1">
      <c r="B68" s="35"/>
      <c r="C68" s="35"/>
      <c r="D68" s="35"/>
      <c r="E68" s="35"/>
      <c r="F68" s="35"/>
      <c r="G68" s="35"/>
      <c r="H68" s="3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8B0-953B-4EB2-A34A-F6F2E4847779}">
  <dimension ref="A1:AG68"/>
  <sheetViews>
    <sheetView showGridLines="0" showRowColHeaders="0" topLeftCell="E13" workbookViewId="0">
      <selection activeCell="E13" sqref="E13"/>
    </sheetView>
  </sheetViews>
  <sheetFormatPr defaultColWidth="19.7109375" defaultRowHeight="30.75" customHeight="1"/>
  <cols>
    <col min="1" max="16384" width="19.7109375" style="1"/>
  </cols>
  <sheetData>
    <row r="1" spans="1:33" ht="30.75" customHeight="1">
      <c r="A1" s="35"/>
      <c r="B1" s="36" t="s">
        <v>451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46"/>
      <c r="B2" s="29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/>
      <c r="D3" s="31"/>
      <c r="E3" s="31"/>
      <c r="F3" s="31">
        <v>1</v>
      </c>
      <c r="G3" s="31">
        <v>2</v>
      </c>
      <c r="H3" s="31">
        <v>3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/>
      <c r="D4" s="40"/>
      <c r="E4" s="40"/>
      <c r="F4" s="40" t="s">
        <v>379</v>
      </c>
      <c r="G4" s="40" t="s">
        <v>42</v>
      </c>
      <c r="H4" s="40" t="s">
        <v>251</v>
      </c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/>
      <c r="D5" s="50"/>
      <c r="E5" s="50"/>
      <c r="F5" s="50">
        <v>0.64</v>
      </c>
      <c r="G5" s="50">
        <v>0.54</v>
      </c>
      <c r="H5" s="50">
        <v>0.44</v>
      </c>
      <c r="I5" s="48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/>
      <c r="D6" s="44"/>
      <c r="E6" s="52"/>
      <c r="F6" s="44" t="s">
        <v>253</v>
      </c>
      <c r="G6" s="44" t="s">
        <v>253</v>
      </c>
      <c r="H6" s="52" t="s">
        <v>253</v>
      </c>
      <c r="I6" s="54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/>
      <c r="D7" s="44"/>
      <c r="E7" s="44"/>
      <c r="F7" s="44" t="s">
        <v>749</v>
      </c>
      <c r="G7" s="44" t="s">
        <v>749</v>
      </c>
      <c r="H7" s="44" t="s">
        <v>760</v>
      </c>
      <c r="I7" s="48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/>
      <c r="D8" s="44"/>
      <c r="E8" s="44"/>
      <c r="F8" s="44" t="s">
        <v>717</v>
      </c>
      <c r="G8" s="44" t="s">
        <v>717</v>
      </c>
      <c r="H8" s="44" t="s">
        <v>761</v>
      </c>
      <c r="I8" s="49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4</v>
      </c>
      <c r="C9" s="31">
        <v>5</v>
      </c>
      <c r="D9" s="31">
        <v>6</v>
      </c>
      <c r="E9" s="31">
        <v>7</v>
      </c>
      <c r="F9" s="31">
        <v>8</v>
      </c>
      <c r="G9" s="31">
        <v>9</v>
      </c>
      <c r="H9" s="33">
        <v>10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 t="s">
        <v>672</v>
      </c>
      <c r="C10" s="40" t="s">
        <v>521</v>
      </c>
      <c r="D10" s="40" t="s">
        <v>62</v>
      </c>
      <c r="E10" s="40"/>
      <c r="F10" s="40" t="s">
        <v>379</v>
      </c>
      <c r="G10" s="40" t="s">
        <v>528</v>
      </c>
      <c r="H10" s="41" t="s">
        <v>251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50">
        <v>0.33</v>
      </c>
      <c r="C11" s="50">
        <v>0.23</v>
      </c>
      <c r="D11" s="50">
        <v>0.14000000000000001</v>
      </c>
      <c r="E11" s="50">
        <v>7.0000000000000007E-2</v>
      </c>
      <c r="F11" s="50">
        <v>0.02</v>
      </c>
      <c r="G11" s="50">
        <v>0</v>
      </c>
      <c r="H11" s="51">
        <v>0.01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44" t="s">
        <v>62</v>
      </c>
      <c r="C12" s="44" t="s">
        <v>340</v>
      </c>
      <c r="D12" s="44" t="s">
        <v>108</v>
      </c>
      <c r="E12" s="52" t="s">
        <v>707</v>
      </c>
      <c r="F12" s="44" t="s">
        <v>62</v>
      </c>
      <c r="G12" s="52" t="s">
        <v>340</v>
      </c>
      <c r="H12" s="53" t="s">
        <v>340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762</v>
      </c>
      <c r="C13" s="44" t="s">
        <v>749</v>
      </c>
      <c r="D13" s="44" t="s">
        <v>749</v>
      </c>
      <c r="E13" s="44" t="s">
        <v>763</v>
      </c>
      <c r="F13" s="44" t="s">
        <v>763</v>
      </c>
      <c r="G13" s="44" t="s">
        <v>763</v>
      </c>
      <c r="H13" s="44" t="s">
        <v>763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64">
        <v>45292</v>
      </c>
      <c r="C14" s="44" t="s">
        <v>717</v>
      </c>
      <c r="D14" s="44" t="s">
        <v>717</v>
      </c>
      <c r="E14" s="44"/>
      <c r="F14" s="65"/>
      <c r="G14" s="44"/>
      <c r="H14" s="4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11</v>
      </c>
      <c r="C15" s="31">
        <v>12</v>
      </c>
      <c r="D15" s="31">
        <v>13</v>
      </c>
      <c r="E15" s="31">
        <v>14</v>
      </c>
      <c r="F15" s="31">
        <v>15</v>
      </c>
      <c r="G15" s="31">
        <v>16</v>
      </c>
      <c r="H15" s="33">
        <v>17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33" ht="30.75" customHeight="1">
      <c r="A16" s="35"/>
      <c r="B16" s="40" t="s">
        <v>672</v>
      </c>
      <c r="C16" s="40" t="s">
        <v>521</v>
      </c>
      <c r="D16" s="40"/>
      <c r="E16" s="40" t="s">
        <v>340</v>
      </c>
      <c r="F16" s="40" t="s">
        <v>379</v>
      </c>
      <c r="G16" s="40" t="s">
        <v>528</v>
      </c>
      <c r="H16" s="41" t="s">
        <v>251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30.75" customHeight="1">
      <c r="A17" s="35"/>
      <c r="B17" s="50">
        <v>0.06</v>
      </c>
      <c r="C17" s="50">
        <v>0.13</v>
      </c>
      <c r="D17" s="50">
        <v>0.22</v>
      </c>
      <c r="E17" s="50">
        <v>0.33</v>
      </c>
      <c r="F17" s="50">
        <v>0.44</v>
      </c>
      <c r="G17" s="50">
        <v>0.55000000000000004</v>
      </c>
      <c r="H17" s="51">
        <v>0.66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4" t="s">
        <v>521</v>
      </c>
      <c r="C18" s="52" t="s">
        <v>340</v>
      </c>
      <c r="D18" s="44" t="s">
        <v>62</v>
      </c>
      <c r="E18" s="52" t="s">
        <v>707</v>
      </c>
      <c r="F18" s="52" t="s">
        <v>521</v>
      </c>
      <c r="G18" s="52" t="s">
        <v>340</v>
      </c>
      <c r="H18" s="53" t="s">
        <v>340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44" t="s">
        <v>763</v>
      </c>
      <c r="C19" s="44" t="s">
        <v>763</v>
      </c>
      <c r="D19" s="44" t="s">
        <v>763</v>
      </c>
      <c r="E19" s="44" t="s">
        <v>763</v>
      </c>
      <c r="F19" s="44" t="s">
        <v>763</v>
      </c>
      <c r="G19" s="44" t="s">
        <v>763</v>
      </c>
      <c r="H19" s="44" t="s">
        <v>763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64"/>
      <c r="C20" s="44"/>
      <c r="D20" s="44"/>
      <c r="E20" s="44"/>
      <c r="F20" s="44"/>
      <c r="G20" s="44"/>
      <c r="H20" s="4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31">
        <v>18</v>
      </c>
      <c r="C21" s="31">
        <v>19</v>
      </c>
      <c r="D21" s="31">
        <v>20</v>
      </c>
      <c r="E21" s="31">
        <v>21</v>
      </c>
      <c r="F21" s="31">
        <v>22</v>
      </c>
      <c r="G21" s="31">
        <v>23</v>
      </c>
      <c r="H21" s="33">
        <v>24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40" t="s">
        <v>672</v>
      </c>
      <c r="C22" s="40" t="s">
        <v>521</v>
      </c>
      <c r="D22" s="42"/>
      <c r="E22" s="42"/>
      <c r="F22" s="42"/>
      <c r="G22" s="42"/>
      <c r="H22" s="43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50">
        <v>0.75</v>
      </c>
      <c r="C23" s="50">
        <v>0.83</v>
      </c>
      <c r="D23" s="50">
        <v>0.9</v>
      </c>
      <c r="E23" s="50">
        <v>0.95</v>
      </c>
      <c r="F23" s="50">
        <v>0.98</v>
      </c>
      <c r="G23" s="50">
        <v>0.98</v>
      </c>
      <c r="H23" s="51">
        <v>1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44" t="s">
        <v>62</v>
      </c>
      <c r="C24" s="52" t="s">
        <v>253</v>
      </c>
      <c r="D24" s="44"/>
      <c r="E24" s="52"/>
      <c r="F24" s="52"/>
      <c r="G24" s="52"/>
      <c r="H24" s="53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44" t="s">
        <v>763</v>
      </c>
      <c r="C25" s="44" t="s">
        <v>763</v>
      </c>
      <c r="D25" s="44" t="s">
        <v>763</v>
      </c>
      <c r="E25" s="44" t="s">
        <v>763</v>
      </c>
      <c r="F25" s="44" t="s">
        <v>763</v>
      </c>
      <c r="G25" s="44" t="s">
        <v>763</v>
      </c>
      <c r="H25" s="45" t="s">
        <v>763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5"/>
      <c r="C26" s="44"/>
      <c r="D26" s="44"/>
      <c r="E26" s="44"/>
      <c r="F26" s="44"/>
      <c r="G26" s="44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31">
        <v>25</v>
      </c>
      <c r="C27" s="31">
        <v>26</v>
      </c>
      <c r="D27" s="31">
        <v>27</v>
      </c>
      <c r="E27" s="31">
        <v>28</v>
      </c>
      <c r="F27" s="31">
        <v>29</v>
      </c>
      <c r="G27" s="31"/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2"/>
      <c r="C28" s="40" t="s">
        <v>746</v>
      </c>
      <c r="D28" s="40" t="s">
        <v>62</v>
      </c>
      <c r="E28" s="40" t="s">
        <v>62</v>
      </c>
      <c r="F28" s="40" t="s">
        <v>379</v>
      </c>
      <c r="G28" s="40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0">
        <v>0.99</v>
      </c>
      <c r="C29" s="50">
        <v>0.97</v>
      </c>
      <c r="D29" s="50">
        <v>0.93</v>
      </c>
      <c r="E29" s="50">
        <v>0.87</v>
      </c>
      <c r="F29" s="50">
        <v>0.8</v>
      </c>
      <c r="G29" s="50"/>
      <c r="H29" s="5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52"/>
      <c r="C30" s="52" t="s">
        <v>108</v>
      </c>
      <c r="D30" s="52"/>
      <c r="E30" s="52"/>
      <c r="F30" s="52"/>
      <c r="G30" s="52"/>
      <c r="H30" s="5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44" t="s">
        <v>763</v>
      </c>
      <c r="C31" s="52" t="s">
        <v>764</v>
      </c>
      <c r="D31" s="52" t="s">
        <v>764</v>
      </c>
      <c r="E31" s="52" t="s">
        <v>764</v>
      </c>
      <c r="F31" s="52" t="s">
        <v>765</v>
      </c>
      <c r="G31" s="55"/>
      <c r="H31" s="5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55"/>
      <c r="C32" s="44"/>
      <c r="D32" s="44"/>
      <c r="E32" s="44"/>
      <c r="F32" s="44"/>
      <c r="G32" s="44"/>
      <c r="H32" s="4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2" ht="30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22" ht="30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2" ht="30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2" ht="30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2" ht="30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2" ht="30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2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1:22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2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2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2" ht="30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 ht="30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2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2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2" ht="30.75" customHeight="1">
      <c r="B63" s="35"/>
      <c r="C63" s="35"/>
      <c r="D63" s="35"/>
      <c r="E63" s="35"/>
      <c r="F63" s="35"/>
      <c r="G63" s="35"/>
      <c r="H63" s="35"/>
    </row>
    <row r="64" spans="1:22" ht="30.75" customHeight="1">
      <c r="B64" s="35"/>
      <c r="C64" s="35"/>
      <c r="D64" s="35"/>
      <c r="E64" s="35"/>
      <c r="F64" s="35"/>
      <c r="G64" s="35"/>
      <c r="H64" s="35"/>
    </row>
    <row r="65" spans="2:8" ht="30.75" customHeight="1">
      <c r="B65" s="35"/>
      <c r="C65" s="35"/>
      <c r="D65" s="35"/>
      <c r="E65" s="35"/>
      <c r="F65" s="35"/>
      <c r="G65" s="35"/>
      <c r="H65" s="35"/>
    </row>
    <row r="66" spans="2:8" ht="30.75" customHeight="1">
      <c r="B66" s="35"/>
      <c r="C66" s="35"/>
      <c r="D66" s="35"/>
      <c r="E66" s="35"/>
      <c r="F66" s="35"/>
      <c r="G66" s="35"/>
      <c r="H66" s="35"/>
    </row>
    <row r="67" spans="2:8" ht="30.75" customHeight="1">
      <c r="B67" s="35"/>
      <c r="C67" s="35"/>
      <c r="D67" s="35"/>
      <c r="E67" s="35"/>
      <c r="F67" s="35"/>
      <c r="G67" s="35"/>
      <c r="H67" s="35"/>
    </row>
    <row r="68" spans="2:8" ht="30.75" customHeight="1">
      <c r="B68" s="35"/>
      <c r="C68" s="35"/>
      <c r="D68" s="35"/>
      <c r="E68" s="35"/>
      <c r="F68" s="35"/>
      <c r="G68" s="35"/>
      <c r="H68" s="3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9A25-C470-4711-86BE-CEC94ECBACFC}">
  <dimension ref="A1:AG68"/>
  <sheetViews>
    <sheetView showGridLines="0" showRowColHeaders="0" topLeftCell="A16" workbookViewId="0">
      <selection activeCell="H19" sqref="H19"/>
    </sheetView>
  </sheetViews>
  <sheetFormatPr defaultColWidth="19.7109375" defaultRowHeight="30.75" customHeight="1"/>
  <cols>
    <col min="1" max="16384" width="19.7109375" style="1"/>
  </cols>
  <sheetData>
    <row r="1" spans="1:33" ht="30.75" customHeight="1">
      <c r="A1" s="35"/>
      <c r="B1" s="36" t="s">
        <v>485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46"/>
      <c r="B2" s="29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1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47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40"/>
      <c r="C4" s="40" t="s">
        <v>766</v>
      </c>
      <c r="D4" s="40" t="s">
        <v>528</v>
      </c>
      <c r="E4" s="40" t="s">
        <v>521</v>
      </c>
      <c r="F4" s="40" t="s">
        <v>528</v>
      </c>
      <c r="G4" s="40" t="s">
        <v>253</v>
      </c>
      <c r="H4" s="40" t="s">
        <v>62</v>
      </c>
      <c r="I4" s="54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50"/>
      <c r="C5" s="50">
        <v>0.74</v>
      </c>
      <c r="D5" s="50">
        <v>0.66</v>
      </c>
      <c r="E5" s="50">
        <v>0.55000000000000004</v>
      </c>
      <c r="F5" s="50">
        <v>0.46</v>
      </c>
      <c r="G5" s="50">
        <v>0.36</v>
      </c>
      <c r="H5" s="50">
        <v>0.26</v>
      </c>
      <c r="I5" s="48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52"/>
      <c r="C6" s="52" t="s">
        <v>108</v>
      </c>
      <c r="D6" s="44" t="s">
        <v>253</v>
      </c>
      <c r="E6" s="52" t="s">
        <v>340</v>
      </c>
      <c r="F6" s="44" t="s">
        <v>253</v>
      </c>
      <c r="G6" s="44" t="s">
        <v>108</v>
      </c>
      <c r="H6" s="52" t="s">
        <v>108</v>
      </c>
      <c r="I6" s="54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4"/>
      <c r="C7" s="44" t="s">
        <v>767</v>
      </c>
      <c r="D7" s="44" t="s">
        <v>768</v>
      </c>
      <c r="E7" s="44" t="s">
        <v>749</v>
      </c>
      <c r="F7" s="44" t="s">
        <v>749</v>
      </c>
      <c r="G7" s="44" t="s">
        <v>769</v>
      </c>
      <c r="H7" s="44" t="s">
        <v>770</v>
      </c>
      <c r="I7" s="48" t="s">
        <v>668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55"/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9" t="s">
        <v>669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7</v>
      </c>
      <c r="C9" s="31">
        <v>8</v>
      </c>
      <c r="D9" s="31">
        <v>9</v>
      </c>
      <c r="E9" s="31">
        <v>10</v>
      </c>
      <c r="F9" s="31">
        <v>11</v>
      </c>
      <c r="G9" s="31">
        <v>12</v>
      </c>
      <c r="H9" s="33">
        <v>13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 t="s">
        <v>253</v>
      </c>
      <c r="C10" s="40" t="s">
        <v>521</v>
      </c>
      <c r="D10" s="40" t="s">
        <v>62</v>
      </c>
      <c r="E10" s="40" t="s">
        <v>521</v>
      </c>
      <c r="F10" s="40" t="s">
        <v>62</v>
      </c>
      <c r="G10" s="40" t="s">
        <v>253</v>
      </c>
      <c r="H10" s="41" t="s">
        <v>672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50">
        <v>0.17</v>
      </c>
      <c r="C11" s="50">
        <v>0.1</v>
      </c>
      <c r="D11" s="50">
        <v>0.05</v>
      </c>
      <c r="E11" s="50">
        <v>0.01</v>
      </c>
      <c r="F11" s="50">
        <v>0</v>
      </c>
      <c r="G11" s="50">
        <v>0.03</v>
      </c>
      <c r="H11" s="51">
        <v>0.09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44" t="s">
        <v>108</v>
      </c>
      <c r="C12" s="44" t="s">
        <v>253</v>
      </c>
      <c r="D12" s="44"/>
      <c r="E12" s="52" t="s">
        <v>340</v>
      </c>
      <c r="F12" s="44" t="s">
        <v>771</v>
      </c>
      <c r="G12" s="52" t="s">
        <v>108</v>
      </c>
      <c r="H12" s="52" t="s">
        <v>340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4" t="s">
        <v>772</v>
      </c>
      <c r="C13" s="44" t="s">
        <v>773</v>
      </c>
      <c r="D13" s="44" t="s">
        <v>774</v>
      </c>
      <c r="E13" s="44" t="s">
        <v>774</v>
      </c>
      <c r="F13" s="44" t="s">
        <v>775</v>
      </c>
      <c r="G13" s="44" t="s">
        <v>776</v>
      </c>
      <c r="H13" s="45" t="s">
        <v>704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55" t="s">
        <v>745</v>
      </c>
      <c r="C14" s="44"/>
      <c r="D14" s="44"/>
      <c r="E14" s="44"/>
      <c r="F14" s="65" t="s">
        <v>745</v>
      </c>
      <c r="G14" s="44" t="s">
        <v>777</v>
      </c>
      <c r="H14" s="4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14</v>
      </c>
      <c r="C15" s="31">
        <v>15</v>
      </c>
      <c r="D15" s="31">
        <v>16</v>
      </c>
      <c r="E15" s="31">
        <v>17</v>
      </c>
      <c r="F15" s="31">
        <v>18</v>
      </c>
      <c r="G15" s="31">
        <v>19</v>
      </c>
      <c r="H15" s="33">
        <v>20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33" ht="30.75" customHeight="1">
      <c r="A16" s="35"/>
      <c r="B16" s="40" t="s">
        <v>778</v>
      </c>
      <c r="C16" s="40" t="s">
        <v>521</v>
      </c>
      <c r="D16" s="40" t="s">
        <v>707</v>
      </c>
      <c r="E16" s="40" t="s">
        <v>521</v>
      </c>
      <c r="F16" s="40" t="s">
        <v>62</v>
      </c>
      <c r="G16" s="40" t="s">
        <v>253</v>
      </c>
      <c r="H16" s="41" t="s">
        <v>251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4" ht="30.75" customHeight="1">
      <c r="A17" s="35"/>
      <c r="B17" s="50">
        <v>0.17</v>
      </c>
      <c r="C17" s="50">
        <v>0.27</v>
      </c>
      <c r="D17" s="50">
        <v>0.37</v>
      </c>
      <c r="E17" s="50">
        <v>0.49</v>
      </c>
      <c r="F17" s="50">
        <v>0.6</v>
      </c>
      <c r="G17" s="50">
        <v>0.7</v>
      </c>
      <c r="H17" s="51">
        <v>0.8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ht="30.75" customHeight="1">
      <c r="A18" s="35"/>
      <c r="B18" s="44" t="s">
        <v>340</v>
      </c>
      <c r="C18" s="52" t="s">
        <v>340</v>
      </c>
      <c r="D18" s="44" t="s">
        <v>62</v>
      </c>
      <c r="E18" s="52" t="s">
        <v>340</v>
      </c>
      <c r="F18" s="52" t="s">
        <v>108</v>
      </c>
      <c r="G18" s="52" t="s">
        <v>108</v>
      </c>
      <c r="H18" s="53" t="s">
        <v>340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30.75" customHeight="1">
      <c r="A19" s="35"/>
      <c r="B19" s="44" t="s">
        <v>779</v>
      </c>
      <c r="C19" s="44" t="s">
        <v>780</v>
      </c>
      <c r="D19" s="44" t="s">
        <v>781</v>
      </c>
      <c r="E19" s="44" t="s">
        <v>762</v>
      </c>
      <c r="F19" s="44" t="s">
        <v>782</v>
      </c>
      <c r="G19" s="44" t="s">
        <v>783</v>
      </c>
      <c r="H19" s="45">
        <v>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4" ht="30.75" customHeight="1">
      <c r="A20" s="35"/>
      <c r="B20" s="64" t="s">
        <v>745</v>
      </c>
      <c r="C20" s="44" t="s">
        <v>777</v>
      </c>
      <c r="D20" s="44" t="s">
        <v>745</v>
      </c>
      <c r="E20" s="44"/>
      <c r="F20" s="44" t="s">
        <v>784</v>
      </c>
      <c r="G20" s="44" t="s">
        <v>785</v>
      </c>
      <c r="H20" s="45">
        <v>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4" ht="30.75" customHeight="1">
      <c r="A21" s="35"/>
      <c r="B21" s="31">
        <v>21</v>
      </c>
      <c r="C21" s="31">
        <v>22</v>
      </c>
      <c r="D21" s="31">
        <v>23</v>
      </c>
      <c r="E21" s="31">
        <v>24</v>
      </c>
      <c r="F21" s="31">
        <v>25</v>
      </c>
      <c r="G21" s="31">
        <v>26</v>
      </c>
      <c r="H21" s="33">
        <v>27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4" ht="30.75" customHeight="1">
      <c r="A22" s="35"/>
      <c r="B22" s="40" t="s">
        <v>62</v>
      </c>
      <c r="C22" s="42"/>
      <c r="D22" s="42"/>
      <c r="E22" s="42"/>
      <c r="F22" s="42"/>
      <c r="G22" s="42"/>
      <c r="H22" s="43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4" ht="30.75" customHeight="1">
      <c r="A23" s="35"/>
      <c r="B23" s="50">
        <v>0.87</v>
      </c>
      <c r="C23" s="50">
        <v>0.94</v>
      </c>
      <c r="D23" s="50">
        <v>0.97</v>
      </c>
      <c r="E23" s="50">
        <v>1</v>
      </c>
      <c r="F23" s="50">
        <v>1</v>
      </c>
      <c r="G23" s="50">
        <v>1</v>
      </c>
      <c r="H23" s="51">
        <v>0.97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4" ht="30.75" customHeight="1">
      <c r="A24" s="35"/>
      <c r="B24" s="44" t="s">
        <v>108</v>
      </c>
      <c r="C24" s="52" t="s">
        <v>108</v>
      </c>
      <c r="D24" s="44" t="s">
        <v>108</v>
      </c>
      <c r="E24" s="52" t="s">
        <v>108</v>
      </c>
      <c r="F24" s="52" t="s">
        <v>108</v>
      </c>
      <c r="G24" s="52" t="s">
        <v>108</v>
      </c>
      <c r="H24" s="53" t="s">
        <v>108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4" ht="30.75" customHeight="1">
      <c r="A25" s="35"/>
      <c r="B25" s="44" t="s">
        <v>380</v>
      </c>
      <c r="C25" s="44"/>
      <c r="D25" s="44"/>
      <c r="E25" s="44"/>
      <c r="F25" s="44"/>
      <c r="G25" s="44"/>
      <c r="H25" s="4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4" ht="30.75" customHeight="1">
      <c r="A26" s="35"/>
      <c r="B26" s="55"/>
      <c r="C26" s="44"/>
      <c r="D26" s="44"/>
      <c r="E26" s="44"/>
      <c r="F26" s="44"/>
      <c r="G26" s="44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4" ht="30.75" customHeight="1">
      <c r="A27" s="35"/>
      <c r="B27" s="31">
        <v>28</v>
      </c>
      <c r="C27" s="31">
        <v>29</v>
      </c>
      <c r="D27" s="31">
        <v>30</v>
      </c>
      <c r="E27" s="31">
        <v>31</v>
      </c>
      <c r="F27" s="31"/>
      <c r="G27" s="31"/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4" ht="30.75" customHeight="1">
      <c r="A28" s="35"/>
      <c r="B28" s="42"/>
      <c r="C28" s="40" t="s">
        <v>42</v>
      </c>
      <c r="D28" s="40" t="s">
        <v>707</v>
      </c>
      <c r="E28" s="40" t="s">
        <v>42</v>
      </c>
      <c r="F28" s="40"/>
      <c r="G28" s="40"/>
      <c r="H28" s="4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4" ht="30.75" customHeight="1">
      <c r="A29" s="35"/>
      <c r="B29" s="50">
        <v>0.93</v>
      </c>
      <c r="C29" s="50">
        <v>0.88</v>
      </c>
      <c r="D29" s="50">
        <v>0.81</v>
      </c>
      <c r="E29" s="50">
        <v>0.73</v>
      </c>
      <c r="F29" s="50"/>
      <c r="G29" s="50"/>
      <c r="H29" s="5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4" ht="30.75" customHeight="1">
      <c r="A30" s="35"/>
      <c r="B30" s="52" t="s">
        <v>108</v>
      </c>
      <c r="C30" s="52" t="s">
        <v>62</v>
      </c>
      <c r="D30" s="52" t="s">
        <v>62</v>
      </c>
      <c r="E30" s="52" t="s">
        <v>253</v>
      </c>
      <c r="F30" s="52"/>
      <c r="G30" s="52"/>
      <c r="H30" s="5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4" ht="30.75" customHeight="1">
      <c r="A31" s="35"/>
      <c r="B31" s="55"/>
      <c r="C31" s="55" t="s">
        <v>786</v>
      </c>
      <c r="D31" s="55" t="s">
        <v>786</v>
      </c>
      <c r="E31" s="55" t="s">
        <v>749</v>
      </c>
      <c r="F31" s="55"/>
      <c r="G31" s="55"/>
      <c r="H31" s="56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ht="30.75" customHeight="1">
      <c r="A32" s="35"/>
      <c r="B32" s="55"/>
      <c r="C32" s="44" t="s">
        <v>717</v>
      </c>
      <c r="D32" s="44" t="s">
        <v>717</v>
      </c>
      <c r="E32" s="44" t="s">
        <v>717</v>
      </c>
      <c r="F32" s="44"/>
      <c r="G32" s="44"/>
      <c r="H32" s="4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2" ht="30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1:22" ht="30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22" ht="30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 spans="1:22" ht="30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 spans="1:22" ht="30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 spans="1:22" ht="30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 spans="1:22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 spans="1:22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 spans="1:22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 spans="1:22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22" ht="30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22" ht="30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22" ht="30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ht="30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 spans="1:22" ht="30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spans="1:22" ht="30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spans="1:22" ht="30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 spans="1:22" ht="30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ht="30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spans="1:22" ht="30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2" ht="30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2" ht="30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2" ht="30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2" ht="30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2" ht="30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2" ht="30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2" ht="30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2" ht="30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2" ht="30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2" ht="30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2" ht="30.75" customHeight="1">
      <c r="B63" s="35"/>
      <c r="C63" s="35"/>
      <c r="D63" s="35"/>
      <c r="E63" s="35"/>
      <c r="F63" s="35"/>
      <c r="G63" s="35"/>
      <c r="H63" s="35"/>
    </row>
    <row r="64" spans="1:22" ht="30.75" customHeight="1">
      <c r="B64" s="35"/>
      <c r="C64" s="35"/>
      <c r="D64" s="35"/>
      <c r="E64" s="35"/>
      <c r="F64" s="35"/>
      <c r="G64" s="35"/>
      <c r="H64" s="35"/>
    </row>
    <row r="65" spans="2:8" ht="30.75" customHeight="1">
      <c r="B65" s="35"/>
      <c r="C65" s="35"/>
      <c r="D65" s="35"/>
      <c r="E65" s="35"/>
      <c r="F65" s="35"/>
      <c r="G65" s="35"/>
      <c r="H65" s="35"/>
    </row>
    <row r="66" spans="2:8" ht="30.75" customHeight="1">
      <c r="B66" s="35"/>
      <c r="C66" s="35"/>
      <c r="D66" s="35"/>
      <c r="E66" s="35"/>
      <c r="F66" s="35"/>
      <c r="G66" s="35"/>
      <c r="H66" s="35"/>
    </row>
    <row r="67" spans="2:8" ht="30.75" customHeight="1">
      <c r="B67" s="35"/>
      <c r="C67" s="35"/>
      <c r="D67" s="35"/>
      <c r="E67" s="35"/>
      <c r="F67" s="35"/>
      <c r="G67" s="35"/>
      <c r="H67" s="35"/>
    </row>
    <row r="68" spans="2:8" ht="30.75" customHeight="1">
      <c r="B68" s="35"/>
      <c r="C68" s="35"/>
      <c r="D68" s="35"/>
      <c r="E68" s="35"/>
      <c r="F68" s="35"/>
      <c r="G68" s="35"/>
      <c r="H68" s="3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A4FD-A97C-47F2-934C-2224B778039C}">
  <dimension ref="A1:AG42"/>
  <sheetViews>
    <sheetView showGridLines="0" showRowColHeaders="0" topLeftCell="A3" workbookViewId="0">
      <selection activeCell="J13" sqref="J13"/>
    </sheetView>
  </sheetViews>
  <sheetFormatPr defaultColWidth="19.7109375" defaultRowHeight="30.75" customHeight="1"/>
  <cols>
    <col min="1" max="16384" width="19.7109375" style="1"/>
  </cols>
  <sheetData>
    <row r="1" spans="1:33" ht="30.75" customHeight="1">
      <c r="A1" s="35"/>
      <c r="B1" s="36" t="s">
        <v>37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30.75" customHeight="1">
      <c r="A2" s="35"/>
      <c r="B2" s="28" t="s">
        <v>6</v>
      </c>
      <c r="C2" s="29" t="s">
        <v>7</v>
      </c>
      <c r="D2" s="29" t="s">
        <v>8</v>
      </c>
      <c r="E2" s="29" t="s">
        <v>9</v>
      </c>
      <c r="F2" s="29" t="s">
        <v>8</v>
      </c>
      <c r="G2" s="29" t="s">
        <v>11</v>
      </c>
      <c r="H2" s="30" t="s">
        <v>6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1:33" ht="30.75" customHeight="1">
      <c r="A3" s="35"/>
      <c r="B3" s="37"/>
      <c r="C3" s="37"/>
      <c r="D3" s="37"/>
      <c r="E3" s="37"/>
      <c r="F3" s="37"/>
      <c r="G3" s="31">
        <v>1</v>
      </c>
      <c r="H3" s="33">
        <v>2</v>
      </c>
      <c r="I3" s="25" t="s">
        <v>14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spans="1:33" ht="30.75" customHeight="1">
      <c r="A4" s="35"/>
      <c r="B4" s="38"/>
      <c r="C4" s="38"/>
      <c r="D4" s="38"/>
      <c r="E4" s="38"/>
      <c r="F4" s="38"/>
      <c r="G4" s="40" t="s">
        <v>340</v>
      </c>
      <c r="H4" s="41" t="s">
        <v>340</v>
      </c>
      <c r="I4" s="26" t="s">
        <v>16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spans="1:33" ht="30.75" customHeight="1">
      <c r="A5" s="35"/>
      <c r="B5" s="39"/>
      <c r="C5" s="39"/>
      <c r="D5" s="39"/>
      <c r="E5" s="39"/>
      <c r="F5" s="39"/>
      <c r="G5" s="32">
        <v>0.83</v>
      </c>
      <c r="H5" s="34">
        <v>0.75</v>
      </c>
      <c r="I5" s="27" t="s">
        <v>702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spans="1:33" ht="30.75" customHeight="1">
      <c r="A6" s="35"/>
      <c r="B6" s="31">
        <v>3</v>
      </c>
      <c r="C6" s="31">
        <v>4</v>
      </c>
      <c r="D6" s="31">
        <v>5</v>
      </c>
      <c r="E6" s="31">
        <v>6</v>
      </c>
      <c r="F6" s="31">
        <v>7</v>
      </c>
      <c r="G6" s="31">
        <v>8</v>
      </c>
      <c r="H6" s="33">
        <v>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ht="30.75" customHeight="1">
      <c r="A7" s="35"/>
      <c r="B7" s="40" t="s">
        <v>62</v>
      </c>
      <c r="C7" s="40" t="s">
        <v>521</v>
      </c>
      <c r="D7" s="40" t="s">
        <v>62</v>
      </c>
      <c r="E7" s="40" t="s">
        <v>521</v>
      </c>
      <c r="F7" s="40" t="s">
        <v>707</v>
      </c>
      <c r="G7" s="40" t="s">
        <v>521</v>
      </c>
      <c r="H7" s="41" t="s">
        <v>340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spans="1:33" ht="30.75" customHeight="1">
      <c r="A8" s="35"/>
      <c r="B8" s="32">
        <v>0.66</v>
      </c>
      <c r="C8" s="32">
        <v>0.56000000000000005</v>
      </c>
      <c r="D8" s="32">
        <v>0.47</v>
      </c>
      <c r="E8" s="32">
        <v>0.37</v>
      </c>
      <c r="F8" s="32">
        <v>0.28000000000000003</v>
      </c>
      <c r="G8" s="32">
        <v>0.19</v>
      </c>
      <c r="H8" s="34">
        <v>0.12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spans="1:33" ht="30.75" customHeight="1">
      <c r="A9" s="35"/>
      <c r="B9" s="31">
        <v>10</v>
      </c>
      <c r="C9" s="31">
        <v>11</v>
      </c>
      <c r="D9" s="31">
        <v>12</v>
      </c>
      <c r="E9" s="31">
        <v>13</v>
      </c>
      <c r="F9" s="31">
        <v>14</v>
      </c>
      <c r="G9" s="31">
        <v>15</v>
      </c>
      <c r="H9" s="33">
        <v>16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spans="1:33" ht="30.75" customHeight="1">
      <c r="A10" s="35"/>
      <c r="B10" s="40" t="s">
        <v>707</v>
      </c>
      <c r="C10" s="40" t="s">
        <v>253</v>
      </c>
      <c r="D10" s="40" t="s">
        <v>62</v>
      </c>
      <c r="E10" s="40" t="s">
        <v>787</v>
      </c>
      <c r="F10" s="40" t="s">
        <v>788</v>
      </c>
      <c r="G10" s="40" t="s">
        <v>253</v>
      </c>
      <c r="H10" s="41" t="s">
        <v>340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spans="1:33" ht="30.75" customHeight="1">
      <c r="A11" s="35"/>
      <c r="B11" s="32" t="s">
        <v>4</v>
      </c>
      <c r="C11" s="32">
        <v>0.02</v>
      </c>
      <c r="D11" s="32">
        <v>0</v>
      </c>
      <c r="E11" s="32">
        <v>0.01</v>
      </c>
      <c r="F11" s="32">
        <v>0.05</v>
      </c>
      <c r="G11" s="32">
        <v>0.11</v>
      </c>
      <c r="H11" s="34">
        <v>0.2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30.75" customHeight="1">
      <c r="A12" s="35"/>
      <c r="B12" s="31">
        <v>17</v>
      </c>
      <c r="C12" s="31">
        <v>18</v>
      </c>
      <c r="D12" s="31">
        <v>19</v>
      </c>
      <c r="E12" s="31">
        <v>20</v>
      </c>
      <c r="F12" s="31">
        <v>21</v>
      </c>
      <c r="G12" s="31">
        <v>22</v>
      </c>
      <c r="H12" s="33">
        <v>23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ht="30.75" customHeight="1">
      <c r="A13" s="35"/>
      <c r="B13" s="40" t="s">
        <v>62</v>
      </c>
      <c r="C13" s="40" t="s">
        <v>253</v>
      </c>
      <c r="D13" s="40" t="s">
        <v>62</v>
      </c>
      <c r="E13" s="40" t="s">
        <v>521</v>
      </c>
      <c r="F13" s="40" t="s">
        <v>521</v>
      </c>
      <c r="G13" s="40" t="s">
        <v>253</v>
      </c>
      <c r="H13" s="43"/>
      <c r="I13" s="35"/>
      <c r="J13" s="35" t="s">
        <v>789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ht="30.75" customHeight="1">
      <c r="A14" s="35"/>
      <c r="B14" s="32">
        <v>0.3</v>
      </c>
      <c r="C14" s="32">
        <v>0.42</v>
      </c>
      <c r="D14" s="32">
        <v>0.44</v>
      </c>
      <c r="E14" s="32">
        <v>0.65</v>
      </c>
      <c r="F14" s="32">
        <v>0.75</v>
      </c>
      <c r="G14" s="32">
        <v>0.84</v>
      </c>
      <c r="H14" s="34">
        <v>0.91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30.75" customHeight="1">
      <c r="A15" s="35"/>
      <c r="B15" s="31">
        <v>24</v>
      </c>
      <c r="C15" s="31">
        <v>25</v>
      </c>
      <c r="D15" s="31">
        <v>26</v>
      </c>
      <c r="E15" s="31">
        <v>27</v>
      </c>
      <c r="F15" s="31">
        <v>28</v>
      </c>
      <c r="G15" s="31">
        <v>29</v>
      </c>
      <c r="H15" s="33">
        <v>30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spans="1:33" ht="30.75" customHeight="1">
      <c r="A16" s="35"/>
      <c r="B16" s="42"/>
      <c r="C16" s="42"/>
      <c r="D16" s="42"/>
      <c r="E16" s="42"/>
      <c r="F16" s="42"/>
      <c r="G16" s="42"/>
      <c r="H16" s="4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spans="1:33" ht="30.75" customHeight="1">
      <c r="A17" s="35"/>
      <c r="B17" s="32">
        <v>0.96</v>
      </c>
      <c r="C17" s="32">
        <v>0.99</v>
      </c>
      <c r="D17" s="32">
        <v>1</v>
      </c>
      <c r="E17" s="32">
        <v>1</v>
      </c>
      <c r="F17" s="32">
        <v>0.98</v>
      </c>
      <c r="G17" s="32">
        <v>0.94</v>
      </c>
      <c r="H17" s="34">
        <v>0.89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spans="1:33" ht="30.75" customHeight="1">
      <c r="A18" s="35"/>
      <c r="B18" s="31">
        <v>31</v>
      </c>
      <c r="C18" s="31"/>
      <c r="D18" s="31"/>
      <c r="E18" s="31"/>
      <c r="F18" s="31"/>
      <c r="G18" s="31"/>
      <c r="H18" s="33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spans="1:33" ht="30.75" customHeight="1">
      <c r="A19" s="35"/>
      <c r="B19" s="42"/>
      <c r="C19" s="40"/>
      <c r="D19" s="40"/>
      <c r="E19" s="40"/>
      <c r="F19" s="40"/>
      <c r="G19" s="40"/>
      <c r="H19" s="41"/>
      <c r="I19" s="35"/>
      <c r="J19" s="35"/>
      <c r="K19" s="35"/>
      <c r="L19" s="35"/>
      <c r="M19" s="35"/>
      <c r="N19" s="35"/>
      <c r="O19" s="35"/>
      <c r="P19" s="35"/>
      <c r="Q19" s="35"/>
    </row>
    <row r="20" spans="1:33" ht="30.75" customHeight="1">
      <c r="A20" s="35"/>
      <c r="B20" s="32">
        <v>0.82</v>
      </c>
      <c r="C20" s="32"/>
      <c r="D20" s="32"/>
      <c r="E20" s="32"/>
      <c r="F20" s="32"/>
      <c r="G20" s="32"/>
      <c r="H20" s="34"/>
      <c r="I20" s="35"/>
      <c r="J20" s="35"/>
      <c r="K20" s="35"/>
      <c r="L20" s="35"/>
      <c r="M20" s="35"/>
      <c r="N20" s="35"/>
      <c r="O20" s="35"/>
      <c r="P20" s="35"/>
      <c r="Q20" s="35"/>
    </row>
    <row r="21" spans="1:33" ht="30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</row>
    <row r="22" spans="1:33" ht="30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3" spans="1:33" ht="30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</row>
    <row r="24" spans="1:33" ht="30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5" spans="1:33" ht="30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1:33" ht="30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</row>
    <row r="27" spans="1:33" ht="30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8" spans="1:33" ht="30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</row>
    <row r="29" spans="1:33" ht="30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spans="1:33" ht="30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1" spans="1:33" ht="30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</row>
    <row r="32" spans="1:33" ht="30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</row>
    <row r="33" spans="1:12" ht="30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</row>
    <row r="34" spans="1:12" ht="30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</row>
    <row r="35" spans="1:12" ht="30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</row>
    <row r="36" spans="1:12" ht="30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  <row r="37" spans="1:12" ht="30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</row>
    <row r="38" spans="1:12" ht="30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</row>
    <row r="39" spans="1:12" ht="30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</row>
    <row r="40" spans="1:12" ht="30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</row>
    <row r="41" spans="1:12" ht="30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</row>
    <row r="42" spans="1:12" ht="30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EA9C-BBF8-40A6-AAF7-A38CB58DF6B2}">
  <dimension ref="A3:H20"/>
  <sheetViews>
    <sheetView topLeftCell="A4" workbookViewId="0">
      <selection activeCell="E16" sqref="E16"/>
    </sheetView>
  </sheetViews>
  <sheetFormatPr defaultColWidth="19.7109375" defaultRowHeight="30.75" customHeight="1"/>
  <cols>
    <col min="1" max="16384" width="19.7109375" style="1"/>
  </cols>
  <sheetData>
    <row r="3" spans="1:8" ht="30.75" customHeight="1">
      <c r="B3" s="1" t="s">
        <v>74</v>
      </c>
    </row>
    <row r="4" spans="1:8" ht="30.75" customHeight="1">
      <c r="B4" s="3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11</v>
      </c>
      <c r="H4" s="5" t="s">
        <v>6</v>
      </c>
    </row>
    <row r="5" spans="1:8" ht="30.75" customHeight="1">
      <c r="A5" s="6" t="s">
        <v>14</v>
      </c>
      <c r="B5" s="9"/>
      <c r="C5" s="10"/>
      <c r="D5" s="10"/>
      <c r="E5" s="10">
        <v>1</v>
      </c>
      <c r="F5" s="10">
        <v>2</v>
      </c>
      <c r="G5" s="10">
        <v>3</v>
      </c>
      <c r="H5" s="11">
        <v>4</v>
      </c>
    </row>
    <row r="6" spans="1:8" ht="30.75" customHeight="1">
      <c r="A6" s="7" t="s">
        <v>16</v>
      </c>
      <c r="B6" s="12"/>
      <c r="C6" s="13"/>
      <c r="D6" s="13"/>
      <c r="E6" s="13" t="s">
        <v>253</v>
      </c>
      <c r="F6" s="13" t="s">
        <v>62</v>
      </c>
      <c r="G6" s="13" t="s">
        <v>340</v>
      </c>
      <c r="H6" s="14" t="s">
        <v>340</v>
      </c>
    </row>
    <row r="7" spans="1:8" ht="30.75" customHeight="1">
      <c r="A7" s="8" t="s">
        <v>702</v>
      </c>
      <c r="B7" s="15"/>
      <c r="C7" s="16"/>
      <c r="D7" s="16"/>
      <c r="E7" s="16">
        <v>0.88</v>
      </c>
      <c r="F7" s="16">
        <v>0.81</v>
      </c>
      <c r="G7" s="16">
        <v>0.72</v>
      </c>
      <c r="H7" s="17">
        <v>0.63</v>
      </c>
    </row>
    <row r="8" spans="1:8" ht="30.75" customHeight="1">
      <c r="B8" s="9">
        <v>5</v>
      </c>
      <c r="C8" s="10">
        <v>6</v>
      </c>
      <c r="D8" s="10">
        <v>7</v>
      </c>
      <c r="E8" s="10">
        <v>8</v>
      </c>
      <c r="F8" s="10">
        <v>9</v>
      </c>
      <c r="G8" s="10">
        <v>10</v>
      </c>
      <c r="H8" s="11">
        <v>11</v>
      </c>
    </row>
    <row r="9" spans="1:8" ht="30.75" customHeight="1">
      <c r="B9" s="18" t="s">
        <v>340</v>
      </c>
      <c r="C9" s="19" t="s">
        <v>790</v>
      </c>
      <c r="D9" s="19" t="s">
        <v>791</v>
      </c>
      <c r="E9" s="19" t="s">
        <v>792</v>
      </c>
      <c r="F9" s="19" t="s">
        <v>62</v>
      </c>
      <c r="G9" s="19" t="s">
        <v>253</v>
      </c>
      <c r="H9" s="20" t="s">
        <v>521</v>
      </c>
    </row>
    <row r="10" spans="1:8" ht="30.75" customHeight="1">
      <c r="B10" s="15">
        <v>0.54</v>
      </c>
      <c r="C10" s="16">
        <v>0.44</v>
      </c>
      <c r="D10" s="16">
        <v>0.35</v>
      </c>
      <c r="E10" s="16">
        <v>0.26</v>
      </c>
      <c r="F10" s="16">
        <v>0.18</v>
      </c>
      <c r="G10" s="16">
        <v>0.11</v>
      </c>
      <c r="H10" s="17">
        <v>0.06</v>
      </c>
    </row>
    <row r="11" spans="1:8" ht="30.75" customHeight="1">
      <c r="B11" s="21">
        <v>12</v>
      </c>
      <c r="C11" s="21">
        <v>13</v>
      </c>
      <c r="D11" s="21">
        <v>14</v>
      </c>
      <c r="E11" s="21">
        <v>15</v>
      </c>
      <c r="F11" s="21">
        <v>16</v>
      </c>
      <c r="G11" s="21">
        <v>17</v>
      </c>
      <c r="H11" s="21">
        <v>18</v>
      </c>
    </row>
    <row r="12" spans="1:8" ht="30.75" customHeight="1">
      <c r="B12" s="2" t="s">
        <v>62</v>
      </c>
      <c r="C12" s="2" t="s">
        <v>253</v>
      </c>
      <c r="D12" s="2" t="s">
        <v>793</v>
      </c>
      <c r="E12" s="2" t="s">
        <v>521</v>
      </c>
      <c r="F12" s="2" t="s">
        <v>62</v>
      </c>
      <c r="G12" s="2" t="s">
        <v>340</v>
      </c>
      <c r="H12" s="2" t="s">
        <v>521</v>
      </c>
    </row>
    <row r="13" spans="1:8" ht="30.75" customHeight="1">
      <c r="B13" s="23">
        <v>0.02</v>
      </c>
      <c r="C13" s="23">
        <v>0</v>
      </c>
      <c r="D13" s="23">
        <v>0</v>
      </c>
      <c r="E13" s="23">
        <v>0.03</v>
      </c>
      <c r="F13" s="23">
        <v>0.08</v>
      </c>
      <c r="G13" s="23">
        <v>0.15</v>
      </c>
      <c r="H13" s="23">
        <v>0.24</v>
      </c>
    </row>
    <row r="15" spans="1:8" ht="30.75" customHeight="1">
      <c r="B15" s="21">
        <v>19</v>
      </c>
      <c r="C15" s="21">
        <v>20</v>
      </c>
      <c r="D15" s="21">
        <v>21</v>
      </c>
      <c r="E15" s="21">
        <v>22</v>
      </c>
      <c r="F15" s="21">
        <v>23</v>
      </c>
      <c r="G15" s="21">
        <v>24</v>
      </c>
      <c r="H15" s="21">
        <v>25</v>
      </c>
    </row>
    <row r="16" spans="1:8" ht="30.75" customHeight="1">
      <c r="B16" s="2" t="s">
        <v>62</v>
      </c>
      <c r="C16" s="2" t="s">
        <v>340</v>
      </c>
      <c r="D16" s="2" t="s">
        <v>62</v>
      </c>
      <c r="E16" s="2"/>
      <c r="F16" s="22"/>
      <c r="G16" s="22"/>
      <c r="H16" s="22"/>
    </row>
    <row r="17" spans="2:8" ht="30.75" customHeight="1">
      <c r="B17" s="23">
        <v>0.34</v>
      </c>
      <c r="C17" s="23">
        <v>0.45</v>
      </c>
      <c r="D17" s="23">
        <v>0.56000000000000005</v>
      </c>
      <c r="E17" s="23">
        <v>0.67</v>
      </c>
      <c r="F17" s="23">
        <v>0.78</v>
      </c>
      <c r="G17" s="23">
        <v>0.86</v>
      </c>
      <c r="H17" s="23">
        <v>0.93</v>
      </c>
    </row>
    <row r="18" spans="2:8" ht="30.75" customHeight="1">
      <c r="B18" s="21">
        <v>26</v>
      </c>
      <c r="C18" s="21">
        <v>27</v>
      </c>
      <c r="D18" s="21">
        <v>28</v>
      </c>
      <c r="E18" s="21">
        <v>29</v>
      </c>
      <c r="F18" s="21">
        <v>30</v>
      </c>
      <c r="G18" s="21"/>
      <c r="H18" s="21"/>
    </row>
    <row r="19" spans="2:8" ht="30.75" customHeight="1">
      <c r="B19" s="22"/>
      <c r="C19" s="22"/>
      <c r="D19" s="22"/>
      <c r="E19" s="22"/>
      <c r="F19" s="22"/>
      <c r="G19" s="2"/>
      <c r="H19" s="2"/>
    </row>
    <row r="20" spans="2:8" ht="30.75" customHeight="1">
      <c r="B20" s="23">
        <v>0.98</v>
      </c>
      <c r="C20" s="23">
        <v>1</v>
      </c>
      <c r="D20" s="23">
        <v>0.99</v>
      </c>
      <c r="E20" s="23">
        <v>0.97</v>
      </c>
      <c r="F20" s="23">
        <v>0.92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3"/>
  <sheetViews>
    <sheetView workbookViewId="0">
      <selection activeCell="B10" sqref="B10"/>
    </sheetView>
  </sheetViews>
  <sheetFormatPr defaultColWidth="19.7109375" defaultRowHeight="30.75" customHeight="1"/>
  <cols>
    <col min="1" max="1" width="19.7109375" style="1"/>
    <col min="2" max="2" width="22.28515625" style="1" customWidth="1"/>
    <col min="3" max="16384" width="19.7109375" style="1"/>
  </cols>
  <sheetData>
    <row r="3" spans="1:8" ht="30.75" customHeight="1">
      <c r="B3" s="1" t="s">
        <v>117</v>
      </c>
    </row>
    <row r="4" spans="1:8" ht="30.75" customHeight="1">
      <c r="B4" s="3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11</v>
      </c>
      <c r="H4" s="5" t="s">
        <v>6</v>
      </c>
    </row>
    <row r="5" spans="1:8" ht="30.75" customHeight="1">
      <c r="A5" s="6" t="s">
        <v>14</v>
      </c>
      <c r="B5" s="9">
        <v>15</v>
      </c>
      <c r="C5" s="10">
        <v>16</v>
      </c>
      <c r="D5" s="10">
        <v>17</v>
      </c>
      <c r="E5" s="10">
        <v>18</v>
      </c>
      <c r="F5" s="10">
        <v>19</v>
      </c>
      <c r="G5" s="10">
        <v>20</v>
      </c>
      <c r="H5" s="11">
        <v>21</v>
      </c>
    </row>
    <row r="6" spans="1:8" ht="30.75" customHeight="1">
      <c r="A6" s="7" t="s">
        <v>16</v>
      </c>
      <c r="B6" s="12" t="s">
        <v>340</v>
      </c>
      <c r="C6" s="13" t="s">
        <v>253</v>
      </c>
      <c r="D6" s="13" t="s">
        <v>794</v>
      </c>
      <c r="E6" s="13" t="s">
        <v>253</v>
      </c>
      <c r="F6" s="13" t="s">
        <v>340</v>
      </c>
      <c r="G6" s="13" t="s">
        <v>795</v>
      </c>
      <c r="H6" s="14" t="s">
        <v>340</v>
      </c>
    </row>
    <row r="7" spans="1:8" ht="30.75" customHeight="1">
      <c r="A7" s="8" t="s">
        <v>663</v>
      </c>
      <c r="B7" s="15">
        <v>1.6E-2</v>
      </c>
      <c r="C7" s="16">
        <v>5.1999999999999998E-2</v>
      </c>
      <c r="D7" s="16">
        <v>0.107</v>
      </c>
      <c r="E7" s="16">
        <v>0.18099999999999999</v>
      </c>
      <c r="F7" s="16">
        <v>0.27200000000000002</v>
      </c>
      <c r="G7" s="16">
        <v>0.374</v>
      </c>
      <c r="H7" s="17">
        <v>0.48499999999999999</v>
      </c>
    </row>
    <row r="8" spans="1:8" ht="30.75" customHeight="1">
      <c r="B8" s="9">
        <v>22</v>
      </c>
      <c r="C8" s="10">
        <v>23</v>
      </c>
      <c r="D8" s="10">
        <v>24</v>
      </c>
      <c r="E8" s="10">
        <v>25</v>
      </c>
      <c r="F8" s="10">
        <v>26</v>
      </c>
      <c r="G8" s="10">
        <v>27</v>
      </c>
      <c r="H8" s="11">
        <v>28</v>
      </c>
    </row>
    <row r="9" spans="1:8" ht="30.75" customHeight="1">
      <c r="B9" s="18" t="s">
        <v>62</v>
      </c>
      <c r="C9" s="19" t="s">
        <v>253</v>
      </c>
      <c r="D9" s="19" t="s">
        <v>62</v>
      </c>
      <c r="E9" s="19" t="s">
        <v>253</v>
      </c>
      <c r="F9" s="19" t="s">
        <v>340</v>
      </c>
      <c r="G9" s="19" t="s">
        <v>253</v>
      </c>
      <c r="H9" s="20" t="s">
        <v>340</v>
      </c>
    </row>
    <row r="10" spans="1:8" ht="30.75" customHeight="1">
      <c r="B10" s="15">
        <v>0.5</v>
      </c>
      <c r="C10" s="16">
        <v>0.70799999999999996</v>
      </c>
      <c r="D10" s="16">
        <v>0.80800000000000005</v>
      </c>
      <c r="E10" s="16">
        <v>0.89200000000000002</v>
      </c>
      <c r="F10" s="16">
        <v>0.95399999999999996</v>
      </c>
      <c r="G10" s="16">
        <v>0.99</v>
      </c>
      <c r="H10" s="17">
        <v>1</v>
      </c>
    </row>
    <row r="11" spans="1:8" ht="30.75" customHeight="1">
      <c r="B11" s="21">
        <v>29</v>
      </c>
      <c r="C11" s="21">
        <v>30</v>
      </c>
      <c r="D11" s="1">
        <v>31</v>
      </c>
    </row>
    <row r="12" spans="1:8" ht="30.75" customHeight="1">
      <c r="B12" s="24">
        <v>0.98</v>
      </c>
      <c r="C12" s="24">
        <v>0.94</v>
      </c>
    </row>
    <row r="13" spans="1:8" ht="30.75" customHeight="1">
      <c r="B13" s="1" t="s">
        <v>62</v>
      </c>
      <c r="C13" s="1" t="s">
        <v>253</v>
      </c>
      <c r="D13" s="1" t="s">
        <v>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0C6A-C5E0-4204-A8E5-D991157F209C}">
  <dimension ref="B4:O33"/>
  <sheetViews>
    <sheetView showGridLines="0" workbookViewId="0">
      <selection activeCell="D19" sqref="D19"/>
    </sheetView>
  </sheetViews>
  <sheetFormatPr defaultColWidth="8.7109375" defaultRowHeight="14.45"/>
  <cols>
    <col min="2" max="2" width="12.42578125" customWidth="1"/>
    <col min="3" max="3" width="15.42578125" customWidth="1"/>
    <col min="4" max="5" width="9.7109375" bestFit="1" customWidth="1"/>
    <col min="6" max="7" width="12.7109375" bestFit="1" customWidth="1"/>
    <col min="8" max="8" width="9.42578125" bestFit="1" customWidth="1"/>
  </cols>
  <sheetData>
    <row r="4" spans="2:15">
      <c r="B4" s="61" t="s">
        <v>796</v>
      </c>
      <c r="C4" s="60" t="s">
        <v>797</v>
      </c>
      <c r="D4" s="59" t="s">
        <v>798</v>
      </c>
      <c r="E4" s="59" t="s">
        <v>799</v>
      </c>
      <c r="F4" s="59" t="s">
        <v>800</v>
      </c>
      <c r="G4" s="60" t="s">
        <v>801</v>
      </c>
      <c r="H4" s="60" t="s">
        <v>802</v>
      </c>
      <c r="I4" t="s">
        <v>803</v>
      </c>
      <c r="L4" t="s">
        <v>804</v>
      </c>
      <c r="O4" t="s">
        <v>805</v>
      </c>
    </row>
    <row r="5" spans="2:15">
      <c r="B5" s="227" t="s">
        <v>42</v>
      </c>
      <c r="C5" s="228" t="s">
        <v>806</v>
      </c>
      <c r="D5" s="229" t="s">
        <v>807</v>
      </c>
      <c r="E5" s="229" t="s">
        <v>808</v>
      </c>
      <c r="F5" s="229" t="s">
        <v>807</v>
      </c>
      <c r="G5" s="230" t="s">
        <v>809</v>
      </c>
      <c r="H5" s="63" t="s">
        <v>807</v>
      </c>
      <c r="I5" s="430" t="s">
        <v>810</v>
      </c>
      <c r="L5" t="s">
        <v>811</v>
      </c>
    </row>
    <row r="6" spans="2:15">
      <c r="B6" s="58" t="s">
        <v>39</v>
      </c>
      <c r="C6" s="57" t="s">
        <v>812</v>
      </c>
      <c r="D6" s="62" t="s">
        <v>807</v>
      </c>
      <c r="E6" s="62" t="s">
        <v>813</v>
      </c>
      <c r="F6" s="62" t="s">
        <v>814</v>
      </c>
      <c r="G6" s="62" t="s">
        <v>814</v>
      </c>
      <c r="H6" s="432" t="s">
        <v>814</v>
      </c>
      <c r="I6" s="430"/>
    </row>
    <row r="7" spans="2:15">
      <c r="B7" s="427" t="s">
        <v>49</v>
      </c>
      <c r="C7" s="428" t="s">
        <v>815</v>
      </c>
      <c r="D7" s="429" t="s">
        <v>816</v>
      </c>
      <c r="E7" s="429" t="s">
        <v>814</v>
      </c>
      <c r="F7" s="429" t="s">
        <v>814</v>
      </c>
      <c r="G7" s="429" t="s">
        <v>814</v>
      </c>
      <c r="H7" s="433" t="s">
        <v>814</v>
      </c>
      <c r="I7" s="430"/>
    </row>
    <row r="8" spans="2:15">
      <c r="B8" s="427" t="s">
        <v>61</v>
      </c>
      <c r="C8" s="428" t="s">
        <v>817</v>
      </c>
      <c r="D8" s="429" t="s">
        <v>814</v>
      </c>
      <c r="E8" s="429" t="s">
        <v>814</v>
      </c>
      <c r="F8" s="429" t="s">
        <v>814</v>
      </c>
      <c r="G8" s="429" t="s">
        <v>814</v>
      </c>
      <c r="H8" s="433" t="s">
        <v>814</v>
      </c>
      <c r="I8" s="430"/>
    </row>
    <row r="9" spans="2:15">
      <c r="B9" s="427" t="s">
        <v>818</v>
      </c>
      <c r="C9" s="427" t="s">
        <v>819</v>
      </c>
      <c r="D9" s="431" t="s">
        <v>813</v>
      </c>
      <c r="E9" s="431" t="s">
        <v>816</v>
      </c>
      <c r="F9" s="431" t="s">
        <v>814</v>
      </c>
      <c r="G9" s="431" t="s">
        <v>814</v>
      </c>
      <c r="H9" s="432" t="s">
        <v>814</v>
      </c>
      <c r="I9" s="430"/>
    </row>
    <row r="10" spans="2:15">
      <c r="B10" s="427" t="s">
        <v>820</v>
      </c>
      <c r="C10" s="427" t="s">
        <v>821</v>
      </c>
      <c r="D10" s="431" t="s">
        <v>807</v>
      </c>
      <c r="E10" s="431" t="s">
        <v>813</v>
      </c>
      <c r="F10" s="431" t="s">
        <v>807</v>
      </c>
      <c r="G10" s="431" t="s">
        <v>814</v>
      </c>
      <c r="H10" s="432" t="s">
        <v>814</v>
      </c>
      <c r="I10" s="430" t="s">
        <v>810</v>
      </c>
    </row>
    <row r="11" spans="2:15">
      <c r="B11" s="427" t="s">
        <v>41</v>
      </c>
      <c r="C11" s="427" t="s">
        <v>822</v>
      </c>
      <c r="D11" s="62" t="s">
        <v>809</v>
      </c>
      <c r="E11" s="62" t="s">
        <v>814</v>
      </c>
      <c r="F11" s="62" t="s">
        <v>809</v>
      </c>
      <c r="G11" s="62" t="s">
        <v>807</v>
      </c>
      <c r="H11" s="432" t="s">
        <v>809</v>
      </c>
      <c r="I11" s="430"/>
      <c r="L11" t="s">
        <v>811</v>
      </c>
    </row>
    <row r="12" spans="2:15">
      <c r="B12" s="58" t="s">
        <v>53</v>
      </c>
      <c r="C12" s="57" t="s">
        <v>823</v>
      </c>
      <c r="D12" s="62" t="s">
        <v>808</v>
      </c>
      <c r="E12" s="62" t="s">
        <v>809</v>
      </c>
      <c r="F12" s="62" t="s">
        <v>808</v>
      </c>
      <c r="G12" s="62" t="s">
        <v>807</v>
      </c>
      <c r="H12" s="432" t="s">
        <v>808</v>
      </c>
      <c r="I12" s="430" t="s">
        <v>810</v>
      </c>
      <c r="L12" t="s">
        <v>811</v>
      </c>
    </row>
    <row r="13" spans="2:15">
      <c r="B13" s="58" t="s">
        <v>40</v>
      </c>
      <c r="C13" s="57" t="s">
        <v>822</v>
      </c>
      <c r="D13" s="62" t="s">
        <v>809</v>
      </c>
      <c r="E13" s="62" t="s">
        <v>809</v>
      </c>
      <c r="F13" s="62" t="s">
        <v>807</v>
      </c>
      <c r="G13" s="62" t="s">
        <v>816</v>
      </c>
      <c r="H13" s="433" t="s">
        <v>814</v>
      </c>
      <c r="I13" s="430"/>
      <c r="L13" t="s">
        <v>824</v>
      </c>
    </row>
    <row r="14" spans="2:15">
      <c r="B14" s="58" t="s">
        <v>50</v>
      </c>
      <c r="C14" s="57" t="s">
        <v>815</v>
      </c>
      <c r="D14" s="62" t="s">
        <v>807</v>
      </c>
      <c r="E14" s="62" t="s">
        <v>807</v>
      </c>
      <c r="F14" s="62" t="s">
        <v>807</v>
      </c>
      <c r="G14" s="63" t="s">
        <v>807</v>
      </c>
      <c r="H14" s="63" t="s">
        <v>807</v>
      </c>
      <c r="I14" s="430" t="s">
        <v>810</v>
      </c>
    </row>
    <row r="15" spans="2:15">
      <c r="B15" s="434" t="s">
        <v>62</v>
      </c>
      <c r="C15" s="435" t="s">
        <v>825</v>
      </c>
      <c r="D15" s="436" t="s">
        <v>108</v>
      </c>
      <c r="E15" s="436" t="s">
        <v>108</v>
      </c>
      <c r="F15" s="436" t="s">
        <v>108</v>
      </c>
      <c r="G15" s="437" t="s">
        <v>108</v>
      </c>
      <c r="H15" s="63" t="s">
        <v>826</v>
      </c>
      <c r="I15" s="430" t="s">
        <v>810</v>
      </c>
      <c r="L15" t="s">
        <v>811</v>
      </c>
    </row>
    <row r="16" spans="2:15">
      <c r="B16" s="434" t="s">
        <v>52</v>
      </c>
      <c r="C16" s="435" t="s">
        <v>827</v>
      </c>
      <c r="D16" s="436" t="s">
        <v>809</v>
      </c>
      <c r="E16" s="436" t="s">
        <v>807</v>
      </c>
      <c r="F16" s="436" t="s">
        <v>808</v>
      </c>
      <c r="G16" s="437" t="s">
        <v>809</v>
      </c>
      <c r="H16" s="63" t="s">
        <v>809</v>
      </c>
      <c r="I16" s="430" t="s">
        <v>810</v>
      </c>
      <c r="L16" t="s">
        <v>811</v>
      </c>
    </row>
    <row r="17" spans="2:15">
      <c r="B17" s="438" t="s">
        <v>54</v>
      </c>
      <c r="C17" s="439" t="s">
        <v>827</v>
      </c>
      <c r="D17" s="440" t="s">
        <v>809</v>
      </c>
      <c r="E17" s="440" t="s">
        <v>807</v>
      </c>
      <c r="F17" s="440" t="s">
        <v>807</v>
      </c>
      <c r="G17" s="441" t="s">
        <v>809</v>
      </c>
      <c r="H17" s="63" t="s">
        <v>809</v>
      </c>
      <c r="I17" s="430" t="s">
        <v>810</v>
      </c>
      <c r="L17" t="s">
        <v>811</v>
      </c>
    </row>
    <row r="19" spans="2:15">
      <c r="B19" t="s">
        <v>828</v>
      </c>
    </row>
    <row r="20" spans="2:15">
      <c r="B20" s="223" t="s">
        <v>707</v>
      </c>
      <c r="C20" s="224" t="s">
        <v>819</v>
      </c>
      <c r="D20" s="225" t="s">
        <v>826</v>
      </c>
      <c r="E20" s="225" t="s">
        <v>826</v>
      </c>
      <c r="F20" s="225" t="s">
        <v>826</v>
      </c>
      <c r="G20" s="226" t="s">
        <v>826</v>
      </c>
    </row>
    <row r="21" spans="2:15">
      <c r="B21" s="223" t="s">
        <v>672</v>
      </c>
      <c r="C21" s="224" t="s">
        <v>819</v>
      </c>
      <c r="D21" s="225" t="s">
        <v>826</v>
      </c>
      <c r="E21" s="225" t="s">
        <v>826</v>
      </c>
      <c r="F21" s="225" t="s">
        <v>808</v>
      </c>
      <c r="G21" s="226" t="s">
        <v>807</v>
      </c>
    </row>
    <row r="22" spans="2:15">
      <c r="B22" s="223" t="s">
        <v>723</v>
      </c>
      <c r="C22" s="224" t="s">
        <v>819</v>
      </c>
      <c r="D22" s="225" t="s">
        <v>807</v>
      </c>
      <c r="E22" s="225" t="s">
        <v>808</v>
      </c>
      <c r="F22" s="225" t="s">
        <v>807</v>
      </c>
      <c r="G22" s="226" t="s">
        <v>809</v>
      </c>
    </row>
    <row r="23" spans="2:15">
      <c r="B23" s="413" t="s">
        <v>528</v>
      </c>
      <c r="C23" s="414" t="s">
        <v>819</v>
      </c>
      <c r="D23" s="415" t="s">
        <v>826</v>
      </c>
      <c r="E23" s="415" t="s">
        <v>826</v>
      </c>
      <c r="F23" s="415" t="s">
        <v>826</v>
      </c>
      <c r="G23" s="416" t="s">
        <v>826</v>
      </c>
      <c r="H23" s="63" t="s">
        <v>807</v>
      </c>
    </row>
    <row r="24" spans="2:15">
      <c r="B24" s="223" t="s">
        <v>521</v>
      </c>
      <c r="C24" s="224" t="s">
        <v>819</v>
      </c>
      <c r="D24" s="225" t="s">
        <v>826</v>
      </c>
      <c r="E24" s="225" t="s">
        <v>826</v>
      </c>
      <c r="F24" s="225" t="s">
        <v>826</v>
      </c>
      <c r="G24" s="226" t="s">
        <v>826</v>
      </c>
      <c r="H24" s="63" t="s">
        <v>807</v>
      </c>
    </row>
    <row r="25" spans="2:15">
      <c r="B25" s="223" t="s">
        <v>324</v>
      </c>
      <c r="C25" s="224" t="s">
        <v>829</v>
      </c>
      <c r="D25" s="225" t="s">
        <v>807</v>
      </c>
      <c r="E25" s="225" t="s">
        <v>807</v>
      </c>
      <c r="F25" s="225" t="s">
        <v>809</v>
      </c>
      <c r="G25" s="225" t="s">
        <v>826</v>
      </c>
      <c r="H25" s="432" t="s">
        <v>807</v>
      </c>
      <c r="I25" s="430"/>
      <c r="L25" t="s">
        <v>811</v>
      </c>
      <c r="O25" t="s">
        <v>830</v>
      </c>
    </row>
    <row r="26" spans="2:15">
      <c r="B26" s="223" t="s">
        <v>251</v>
      </c>
      <c r="C26" s="224" t="s">
        <v>819</v>
      </c>
      <c r="D26" s="225" t="s">
        <v>807</v>
      </c>
      <c r="E26" s="225" t="s">
        <v>808</v>
      </c>
      <c r="F26" s="225" t="s">
        <v>809</v>
      </c>
      <c r="G26" s="226" t="s">
        <v>807</v>
      </c>
      <c r="H26" s="63" t="s">
        <v>807</v>
      </c>
      <c r="L26" t="s">
        <v>811</v>
      </c>
    </row>
    <row r="27" spans="2:15">
      <c r="B27" s="223" t="s">
        <v>306</v>
      </c>
      <c r="C27" s="224" t="s">
        <v>831</v>
      </c>
      <c r="D27" s="225" t="s">
        <v>809</v>
      </c>
      <c r="E27" s="225" t="s">
        <v>809</v>
      </c>
      <c r="F27" s="225" t="s">
        <v>807</v>
      </c>
      <c r="G27" s="226" t="s">
        <v>809</v>
      </c>
      <c r="H27" s="63" t="s">
        <v>809</v>
      </c>
      <c r="L27" t="s">
        <v>811</v>
      </c>
      <c r="O27" t="s">
        <v>832</v>
      </c>
    </row>
    <row r="28" spans="2:15">
      <c r="B28" s="223" t="s">
        <v>379</v>
      </c>
      <c r="C28" s="224" t="s">
        <v>819</v>
      </c>
      <c r="D28" s="225" t="s">
        <v>807</v>
      </c>
      <c r="E28" s="225" t="s">
        <v>808</v>
      </c>
      <c r="F28" s="225" t="s">
        <v>809</v>
      </c>
      <c r="G28" s="226" t="s">
        <v>807</v>
      </c>
      <c r="H28" s="226" t="s">
        <v>807</v>
      </c>
      <c r="L28" t="s">
        <v>811</v>
      </c>
    </row>
    <row r="29" spans="2:15">
      <c r="B29" s="223" t="s">
        <v>207</v>
      </c>
      <c r="C29" s="224" t="s">
        <v>819</v>
      </c>
      <c r="D29" s="225" t="s">
        <v>807</v>
      </c>
      <c r="E29" s="225" t="s">
        <v>807</v>
      </c>
      <c r="F29" s="225" t="s">
        <v>809</v>
      </c>
      <c r="G29" s="226" t="s">
        <v>807</v>
      </c>
      <c r="H29" s="226" t="s">
        <v>807</v>
      </c>
      <c r="L29" t="s">
        <v>811</v>
      </c>
    </row>
    <row r="30" spans="2:15">
      <c r="B30" s="223" t="s">
        <v>340</v>
      </c>
      <c r="C30" s="224" t="s">
        <v>833</v>
      </c>
      <c r="D30" s="225"/>
      <c r="E30" s="225"/>
      <c r="F30" s="225"/>
      <c r="G30" s="226"/>
      <c r="H30" s="226" t="s">
        <v>826</v>
      </c>
      <c r="I30" t="s">
        <v>810</v>
      </c>
      <c r="L30" t="s">
        <v>811</v>
      </c>
    </row>
    <row r="31" spans="2:15">
      <c r="B31" s="223" t="s">
        <v>253</v>
      </c>
      <c r="C31" s="224" t="s">
        <v>834</v>
      </c>
      <c r="D31" s="225"/>
      <c r="E31" s="225"/>
      <c r="F31" s="225"/>
      <c r="G31" s="226"/>
      <c r="H31" s="226" t="s">
        <v>826</v>
      </c>
      <c r="I31" t="s">
        <v>810</v>
      </c>
      <c r="L31" t="s">
        <v>811</v>
      </c>
    </row>
    <row r="32" spans="2:15">
      <c r="B32" s="427" t="s">
        <v>835</v>
      </c>
      <c r="C32" s="427" t="s">
        <v>819</v>
      </c>
      <c r="D32" s="430" t="s">
        <v>807</v>
      </c>
    </row>
    <row r="33" spans="2:8">
      <c r="B33" s="58" t="s">
        <v>386</v>
      </c>
      <c r="C33" s="57" t="s">
        <v>819</v>
      </c>
      <c r="D33" s="62" t="s">
        <v>807</v>
      </c>
      <c r="E33" s="62" t="s">
        <v>807</v>
      </c>
      <c r="F33" s="62" t="s">
        <v>807</v>
      </c>
      <c r="G33" s="63" t="s">
        <v>807</v>
      </c>
      <c r="H33" s="63" t="s">
        <v>807</v>
      </c>
    </row>
  </sheetData>
  <conditionalFormatting sqref="H5:H17 H23:H31 H33">
    <cfRule type="notContainsBlanks" dxfId="0" priority="1">
      <formula>LEN(TRIM(H5))&gt;0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A5BBEAD3DF749910E680647962C4E" ma:contentTypeVersion="14" ma:contentTypeDescription="Create a new document." ma:contentTypeScope="" ma:versionID="563f892725952d1cd002c2e03aca8962">
  <xsd:schema xmlns:xsd="http://www.w3.org/2001/XMLSchema" xmlns:xs="http://www.w3.org/2001/XMLSchema" xmlns:p="http://schemas.microsoft.com/office/2006/metadata/properties" xmlns:ns2="d1b2900c-6ad1-44b7-b64b-75a62368d7bf" xmlns:ns3="c23826f6-52f9-46ef-bdec-e30b4f1570da" targetNamespace="http://schemas.microsoft.com/office/2006/metadata/properties" ma:root="true" ma:fieldsID="23d57e994c215166e9d6226db405251a" ns2:_="" ns3:_="">
    <xsd:import namespace="d1b2900c-6ad1-44b7-b64b-75a62368d7bf"/>
    <xsd:import namespace="c23826f6-52f9-46ef-bdec-e30b4f157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2900c-6ad1-44b7-b64b-75a62368d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826f6-52f9-46ef-bdec-e30b4f1570d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6cb2bdd-57cd-4742-bd62-77868a4f93fa}" ma:internalName="TaxCatchAll" ma:showField="CatchAllData" ma:web="c23826f6-52f9-46ef-bdec-e30b4f157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b2900c-6ad1-44b7-b64b-75a62368d7bf">
      <Terms xmlns="http://schemas.microsoft.com/office/infopath/2007/PartnerControls"/>
    </lcf76f155ced4ddcb4097134ff3c332f>
    <TaxCatchAll xmlns="c23826f6-52f9-46ef-bdec-e30b4f1570da" xsi:nil="true"/>
    <SharedWithUsers xmlns="c23826f6-52f9-46ef-bdec-e30b4f1570da">
      <UserInfo>
        <DisplayName>Fedkevych, Mariia</DisplayName>
        <AccountId>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5AEC46D-63A4-4FB2-A5D7-209AD8BF7F04}"/>
</file>

<file path=customXml/itemProps2.xml><?xml version="1.0" encoding="utf-8"?>
<ds:datastoreItem xmlns:ds="http://schemas.openxmlformats.org/officeDocument/2006/customXml" ds:itemID="{FB50E9C7-7D64-4228-9F68-A3FAD5E88363}"/>
</file>

<file path=customXml/itemProps3.xml><?xml version="1.0" encoding="utf-8"?>
<ds:datastoreItem xmlns:ds="http://schemas.openxmlformats.org/officeDocument/2006/customXml" ds:itemID="{C3E74DCA-F986-46B2-83B2-41774C870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2023-10-15T01:27:41Z</dcterms:created>
  <dcterms:modified xsi:type="dcterms:W3CDTF">2025-12-03T03:27:21Z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0x010100062A5BBEAD3DF749910E680647962C4E</vt:lpwstr>
  </property>
  <property fmtid="{D5CDD505-2E9C-101B-9397-08002B2CF9AE}" pid="3" name="MediaServiceImageTags">
    <vt:lpwstr/>
  </property>
</Properties>
</file>