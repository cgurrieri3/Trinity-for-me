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5.xml" ContentType="application/vnd.openxmlformats-officedocument.spreadsheetml.worksheet+xml"/>
  <Override PartName="/xl/worksheets/sheet2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emplate" sheetId="1" state="visible" r:id="rId3"/>
    <sheet name="August 2025" sheetId="2" state="visible" r:id="rId4"/>
    <sheet name="July 2025" sheetId="3" state="visible" r:id="rId5"/>
    <sheet name="June 2025" sheetId="4" state="visible" r:id="rId6"/>
    <sheet name="May 2025" sheetId="5" state="visible" r:id="rId7"/>
    <sheet name="April 2025" sheetId="6" state="visible" r:id="rId8"/>
    <sheet name="March 2025" sheetId="7" state="visible" r:id="rId9"/>
    <sheet name="February 2025" sheetId="8" state="visible" r:id="rId10"/>
    <sheet name="January 2025" sheetId="9" state="visible" r:id="rId11"/>
    <sheet name="December 2024" sheetId="10" state="visible" r:id="rId12"/>
    <sheet name="November 2024" sheetId="11" state="visible" r:id="rId13"/>
    <sheet name="October 2024" sheetId="12" state="visible" r:id="rId14"/>
    <sheet name="September 2024" sheetId="13" state="visible" r:id="rId15"/>
    <sheet name="August 2024" sheetId="14" state="visible" r:id="rId16"/>
    <sheet name="July 2024" sheetId="15" state="visible" r:id="rId17"/>
    <sheet name="June 2024" sheetId="16" state="visible" r:id="rId18"/>
    <sheet name="May 2024" sheetId="17" state="visible" r:id="rId19"/>
    <sheet name="April 2024" sheetId="18" state="visible" r:id="rId20"/>
    <sheet name="March 2024" sheetId="19" state="visible" r:id="rId21"/>
    <sheet name="February 2024" sheetId="20" state="visible" r:id="rId22"/>
    <sheet name="January 2024" sheetId="21" state="visible" r:id="rId23"/>
    <sheet name="December 2023" sheetId="22" state="visible" r:id="rId24"/>
    <sheet name="November 2023" sheetId="23" state="visible" r:id="rId25"/>
    <sheet name="October 2023" sheetId="24" state="visible" r:id="rId26"/>
    <sheet name="People" sheetId="25" state="visible" r:id="rId2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<sst xmlns="http://schemas.openxmlformats.org/spreadsheetml/2006/main" count="5218" uniqueCount="657">
  <si>
    <t xml:space="preserve">Ideal Total:</t>
  </si>
  <si>
    <t xml:space="preserve">Monthly Total:</t>
  </si>
  <si>
    <t xml:space="preserve">Monthly TXS:</t>
  </si>
  <si>
    <t xml:space="preserve">Monthly NGC:</t>
  </si>
  <si>
    <t xml:space="preserve"> </t>
  </si>
  <si>
    <t xml:space="preserve">Day</t>
  </si>
  <si>
    <t xml:space="preserve">S</t>
  </si>
  <si>
    <t xml:space="preserve">M</t>
  </si>
  <si>
    <t xml:space="preserve">T</t>
  </si>
  <si>
    <t xml:space="preserve">W</t>
  </si>
  <si>
    <t xml:space="preserve">Th</t>
  </si>
  <si>
    <t xml:space="preserve">F</t>
  </si>
  <si>
    <t xml:space="preserve">Sa</t>
  </si>
  <si>
    <t xml:space="preserve">  # = Time in hours</t>
  </si>
  <si>
    <t xml:space="preserve">Date</t>
  </si>
  <si>
    <t xml:space="preserve">  ND = No Data</t>
  </si>
  <si>
    <t xml:space="preserve">Observer</t>
  </si>
  <si>
    <t xml:space="preserve">  All timestamps in EST</t>
  </si>
  <si>
    <t xml:space="preserve">Moon illumination</t>
  </si>
  <si>
    <t xml:space="preserve">On call</t>
  </si>
  <si>
    <t xml:space="preserve">Week 1 Totals:</t>
  </si>
  <si>
    <t xml:space="preserve">Time observing</t>
  </si>
  <si>
    <t xml:space="preserve">Total</t>
  </si>
  <si>
    <t xml:space="preserve">Time on TXS</t>
  </si>
  <si>
    <t xml:space="preserve">TXS</t>
  </si>
  <si>
    <t xml:space="preserve">Time on NGC</t>
  </si>
  <si>
    <t xml:space="preserve">NGC</t>
  </si>
  <si>
    <t xml:space="preserve">Start/end (EST)</t>
  </si>
  <si>
    <t xml:space="preserve">Ideal Total</t>
  </si>
  <si>
    <t xml:space="preserve">Week 2 Totals:</t>
  </si>
  <si>
    <t xml:space="preserve">Week 3 Totals:</t>
  </si>
  <si>
    <t xml:space="preserve">Week 4 Totals:</t>
  </si>
  <si>
    <t xml:space="preserve">Week 5 Totals:</t>
  </si>
  <si>
    <t xml:space="preserve">Week 6 Totals:</t>
  </si>
  <si>
    <t xml:space="preserve">  Total</t>
  </si>
  <si>
    <t xml:space="preserve">  TXS</t>
  </si>
  <si>
    <t xml:space="preserve">  NGC</t>
  </si>
  <si>
    <t xml:space="preserve">August</t>
  </si>
  <si>
    <t xml:space="preserve">Alex</t>
  </si>
  <si>
    <t xml:space="preserve">David</t>
  </si>
  <si>
    <t xml:space="preserve">Angelina</t>
  </si>
  <si>
    <t xml:space="preserve">02:55 AM - 06:52 AM</t>
  </si>
  <si>
    <t xml:space="preserve">03:28 AM - 06:54 AM</t>
  </si>
  <si>
    <t xml:space="preserve">Luis</t>
  </si>
  <si>
    <t xml:space="preserve">Josslyn</t>
  </si>
  <si>
    <t xml:space="preserve">Anurag</t>
  </si>
  <si>
    <t xml:space="preserve">04:09 AM - 06:55 AM</t>
  </si>
  <si>
    <t xml:space="preserve">02:45 PM - 06:56 AM</t>
  </si>
  <si>
    <t xml:space="preserve">05:55 AM - 06:58 AM</t>
  </si>
  <si>
    <t xml:space="preserve">00:20 AM - 01:59 AM</t>
  </si>
  <si>
    <t xml:space="preserve">00:19 AM - 02:53 AM</t>
  </si>
  <si>
    <t xml:space="preserve">00:17 AM - 03:46 AM</t>
  </si>
  <si>
    <t xml:space="preserve">00:15 AM - 04:35 AM</t>
  </si>
  <si>
    <t xml:space="preserve">Shruti (Supervised)</t>
  </si>
  <si>
    <t xml:space="preserve">Mariia</t>
  </si>
  <si>
    <t xml:space="preserve">00:14 AM - 05:23 AM</t>
  </si>
  <si>
    <t xml:space="preserve">00:12 AM - 06:10 AM</t>
  </si>
  <si>
    <t xml:space="preserve">00:10 AM - 06:57 AM</t>
  </si>
  <si>
    <t xml:space="preserve">00:09 AM - 07:08 AM</t>
  </si>
  <si>
    <t xml:space="preserve">00:07 AM - 07:10 AM</t>
  </si>
  <si>
    <t xml:space="preserve">00:05 AM - 07:11 AM</t>
  </si>
  <si>
    <t xml:space="preserve">00:04 AM - 07:12 AM</t>
  </si>
  <si>
    <t xml:space="preserve">Sofia</t>
  </si>
  <si>
    <t xml:space="preserve">00:02 AM - 07:13 AM</t>
  </si>
  <si>
    <t xml:space="preserve">00:00 AM - 07:15 AM</t>
  </si>
  <si>
    <t xml:space="preserve">23:59 PM - 07:16 AM</t>
  </si>
  <si>
    <t xml:space="preserve">23:57 PM - 07:17 AM</t>
  </si>
  <si>
    <t xml:space="preserve">23:55 PM - 07:18 AM</t>
  </si>
  <si>
    <t xml:space="preserve">23:53 PM - 07:20 AM</t>
  </si>
  <si>
    <t xml:space="preserve">23:52 PM - 07:21 AM</t>
  </si>
  <si>
    <t xml:space="preserve">Shruti</t>
  </si>
  <si>
    <t xml:space="preserve">23:50 PM - 07:22 AM</t>
  </si>
  <si>
    <t xml:space="preserve">23:48 PM - 07:23 AM</t>
  </si>
  <si>
    <t xml:space="preserve">00:04 AM - 07:25 AM</t>
  </si>
  <si>
    <t xml:space="preserve">00:28 AM - 07:26 AM</t>
  </si>
  <si>
    <t xml:space="preserve">00:54 AM - 07:27 AM</t>
  </si>
  <si>
    <t xml:space="preserve">01:26 AM - 07:28 AM</t>
  </si>
  <si>
    <t xml:space="preserve">02:03 AM - 07:29 AM</t>
  </si>
  <si>
    <t xml:space="preserve">July</t>
  </si>
  <si>
    <t xml:space="preserve">Nolan</t>
  </si>
  <si>
    <t xml:space="preserve">--</t>
  </si>
  <si>
    <t xml:space="preserve">Eden</t>
  </si>
  <si>
    <t xml:space="preserve">5.9 (Door down)</t>
  </si>
  <si>
    <t xml:space="preserve">6.4 (Door down)</t>
  </si>
  <si>
    <t xml:space="preserve">4.6 (Door down)</t>
  </si>
  <si>
    <t xml:space="preserve">03:16 AM - 06:17 AM</t>
  </si>
  <si>
    <t xml:space="preserve">03:37 AM - 06:18 AM</t>
  </si>
  <si>
    <t xml:space="preserve">04:00 AM - 06:19 AM</t>
  </si>
  <si>
    <t xml:space="preserve">04:26 AM - 06:20 AM</t>
  </si>
  <si>
    <t xml:space="preserve">04:56 AM - 06:21 AM</t>
  </si>
  <si>
    <t xml:space="preserve">7 (Door down)</t>
  </si>
  <si>
    <t xml:space="preserve">2 (Door down)</t>
  </si>
  <si>
    <t xml:space="preserve">1.3 (Door down)</t>
  </si>
  <si>
    <t xml:space="preserve">6.7 (Door down)</t>
  </si>
  <si>
    <t xml:space="preserve">6.4 (Moonlight Study)</t>
  </si>
  <si>
    <t xml:space="preserve">6.5 (Moonlight Study)</t>
  </si>
  <si>
    <t xml:space="preserve">05:33 AM - 06:22 AM</t>
  </si>
  <si>
    <t xml:space="preserve">00:55 AM - 01:22 AM</t>
  </si>
  <si>
    <t xml:space="preserve">00:55 AM - 02:17 AM</t>
  </si>
  <si>
    <t xml:space="preserve">00:54 AM - 03:13 AM</t>
  </si>
  <si>
    <t xml:space="preserve">00:53 AM - 04:09 AM</t>
  </si>
  <si>
    <t xml:space="preserve">00:52 AM - 05:02 AM</t>
  </si>
  <si>
    <t xml:space="preserve">00:52 AM - 05:52 AM</t>
  </si>
  <si>
    <t xml:space="preserve">Josslyn, Mariia (Moon)</t>
  </si>
  <si>
    <t xml:space="preserve">Alex, Eden (Moon)</t>
  </si>
  <si>
    <t xml:space="preserve">Luis, Angelina (Moon)</t>
  </si>
  <si>
    <t xml:space="preserve">Luis, Anurag (Moon)</t>
  </si>
  <si>
    <t xml:space="preserve">Alex, Anurag (Moon)</t>
  </si>
  <si>
    <t xml:space="preserve">00:51 AM - 06:29 AM</t>
  </si>
  <si>
    <t xml:space="preserve">00:50 AM - 06:30 AM</t>
  </si>
  <si>
    <t xml:space="preserve">00:49 AM - 06:31 AM</t>
  </si>
  <si>
    <t xml:space="preserve">00:48 AM - 06:32 AM</t>
  </si>
  <si>
    <t xml:space="preserve">00:47 AM - 06:33 AM</t>
  </si>
  <si>
    <t xml:space="preserve">00:46 AM - 06:34 AM</t>
  </si>
  <si>
    <t xml:space="preserve">00:45 AM - 06:36 AM</t>
  </si>
  <si>
    <t xml:space="preserve">Luis, David (Moon)</t>
  </si>
  <si>
    <t xml:space="preserve">Luis, Eden (Moon)</t>
  </si>
  <si>
    <t xml:space="preserve">00:44 AM - 06:37 AM</t>
  </si>
  <si>
    <t xml:space="preserve">00:42 AM - 06:38 AM</t>
  </si>
  <si>
    <t xml:space="preserve">00:41 AM - 06:39 AM</t>
  </si>
  <si>
    <t xml:space="preserve">00:40 AM - 06:41 AM</t>
  </si>
  <si>
    <t xml:space="preserve">00:39 AM - 06:42 AM</t>
  </si>
  <si>
    <t xml:space="preserve">00:37 AM - 06:43 AM</t>
  </si>
  <si>
    <t xml:space="preserve">00:36 AM - 06:45 AM</t>
  </si>
  <si>
    <t xml:space="preserve">Shruti (Training), David</t>
  </si>
  <si>
    <t xml:space="preserve">Shruti (Training), </t>
  </si>
  <si>
    <t xml:space="preserve">Alex, David</t>
  </si>
  <si>
    <t xml:space="preserve">00:57 AM - 06:46 AM</t>
  </si>
  <si>
    <t xml:space="preserve">01:18 AM - 06:47 AM</t>
  </si>
  <si>
    <t xml:space="preserve">01:39 AM - 06:49 AM</t>
  </si>
  <si>
    <t xml:space="preserve">02:02 AM - 06:50 AM</t>
  </si>
  <si>
    <t xml:space="preserve">01:26 AM - 05:51 AM</t>
  </si>
  <si>
    <t xml:space="preserve">June</t>
  </si>
  <si>
    <t xml:space="preserve">Josslyn (Supervised)</t>
  </si>
  <si>
    <t xml:space="preserve">Clark</t>
  </si>
  <si>
    <t xml:space="preserve">Site Visit</t>
  </si>
  <si>
    <t xml:space="preserve">04:09 AM - 06:17 AM</t>
  </si>
  <si>
    <t xml:space="preserve">04:32 AM - 06:16 AM</t>
  </si>
  <si>
    <t xml:space="preserve">04:52 AM - 06:15 AM</t>
  </si>
  <si>
    <t xml:space="preserve">05:13 AM - 06:15 AM</t>
  </si>
  <si>
    <t xml:space="preserve">05:34 AM - 06:14 AM</t>
  </si>
  <si>
    <t xml:space="preserve">05:58 AM - 06:14 AM</t>
  </si>
  <si>
    <t xml:space="preserve">00:52 AM - 01:00 AM</t>
  </si>
  <si>
    <t xml:space="preserve">Noise Runs</t>
  </si>
  <si>
    <t xml:space="preserve">Moonlight Study</t>
  </si>
  <si>
    <t xml:space="preserve">00:53 AM - 01:47 AM</t>
  </si>
  <si>
    <t xml:space="preserve">00:54 AM - 02:37 AM</t>
  </si>
  <si>
    <t xml:space="preserve">00:54 AM - 03:30 AM</t>
  </si>
  <si>
    <t xml:space="preserve">00:55 AM - 04:25 AM</t>
  </si>
  <si>
    <t xml:space="preserve">00:56 AM - 05:21 AM</t>
  </si>
  <si>
    <t xml:space="preserve">00:56 AM - 06:12 AM</t>
  </si>
  <si>
    <t xml:space="preserve">00:57 AM - 06:12 AM</t>
  </si>
  <si>
    <t xml:space="preserve">Varun</t>
  </si>
  <si>
    <t xml:space="preserve">1.97 (Moonlight Study)</t>
  </si>
  <si>
    <t xml:space="preserve">Power Outage</t>
  </si>
  <si>
    <t xml:space="preserve">ND: Misc</t>
  </si>
  <si>
    <t xml:space="preserve">00:58 AM - 06:12 AM</t>
  </si>
  <si>
    <t xml:space="preserve">00:59 AM - 06:12 AM</t>
  </si>
  <si>
    <t xml:space="preserve">Eden (Supervised)</t>
  </si>
  <si>
    <t xml:space="preserve">Alex (Supervised)</t>
  </si>
  <si>
    <t xml:space="preserve">00:59 AM - 06:13 AM</t>
  </si>
  <si>
    <t xml:space="preserve">00:59 AM - 06:14 AM</t>
  </si>
  <si>
    <t xml:space="preserve">01:06 AM - 06:14 AM</t>
  </si>
  <si>
    <t xml:space="preserve">01:41 AM - 06:15 AM</t>
  </si>
  <si>
    <t xml:space="preserve">02:09 AM - 06:15 AM</t>
  </si>
  <si>
    <t xml:space="preserve">David (Supervised)</t>
  </si>
  <si>
    <t xml:space="preserve">02:33 AM - 06:16 AM</t>
  </si>
  <si>
    <t xml:space="preserve">02:55 AM - 05:17 AM</t>
  </si>
  <si>
    <t xml:space="preserve">May</t>
  </si>
  <si>
    <t xml:space="preserve">Jordan</t>
  </si>
  <si>
    <t xml:space="preserve">03:57 AM - 06:54 AM</t>
  </si>
  <si>
    <t xml:space="preserve">04:41 AM - 06:53 AM</t>
  </si>
  <si>
    <t xml:space="preserve">05:16 AM - 06:51 AM</t>
  </si>
  <si>
    <t xml:space="preserve">05:43 AM - 06:49 AM</t>
  </si>
  <si>
    <t xml:space="preserve">06:07 AM - 06:48 AM</t>
  </si>
  <si>
    <t xml:space="preserve">06:28 AM - 06:46 AM</t>
  </si>
  <si>
    <t xml:space="preserve">00:15 AM - 00:20 AM</t>
  </si>
  <si>
    <t xml:space="preserve">00:16 AM - 00:59 AM</t>
  </si>
  <si>
    <t xml:space="preserve">00:18 AM - 01:38 AM</t>
  </si>
  <si>
    <t xml:space="preserve">00:19 AM - 02:19 AM</t>
  </si>
  <si>
    <t xml:space="preserve">-</t>
  </si>
  <si>
    <t xml:space="preserve">00:21 AM - 03:03 AM</t>
  </si>
  <si>
    <t xml:space="preserve">00:22 AM - 03:51 AM</t>
  </si>
  <si>
    <t xml:space="preserve">00:23 AM - 04:42 AM</t>
  </si>
  <si>
    <t xml:space="preserve">00:25 AM - 05:35 AM</t>
  </si>
  <si>
    <t xml:space="preserve">00:26 AM - 06:30 AM</t>
  </si>
  <si>
    <t xml:space="preserve">00:27 AM - 06:32 AM</t>
  </si>
  <si>
    <t xml:space="preserve">00:29 AM - 06:31 AM</t>
  </si>
  <si>
    <t xml:space="preserve">Clark (Supervised)</t>
  </si>
  <si>
    <t xml:space="preserve">David/Eden/Anurag  (Training)</t>
  </si>
  <si>
    <t xml:space="preserve">David, Eden, Anurag, Josslyn (Training)</t>
  </si>
  <si>
    <t xml:space="preserve">ND:Humidity</t>
  </si>
  <si>
    <t xml:space="preserve">00:30 AM - 06:30 AM</t>
  </si>
  <si>
    <t xml:space="preserve">00:31 AM - 06:29 AM</t>
  </si>
  <si>
    <t xml:space="preserve">00:33 AM - 06:28 AM</t>
  </si>
  <si>
    <t xml:space="preserve">00:34 AM - 06:26 AM</t>
  </si>
  <si>
    <t xml:space="preserve">00:35 AM - 06:25 AM</t>
  </si>
  <si>
    <t xml:space="preserve">00:36 AM - 06:24 AM</t>
  </si>
  <si>
    <t xml:space="preserve">00:38 AM - 06:23 AM</t>
  </si>
  <si>
    <t xml:space="preserve">Josslyn (Training)</t>
  </si>
  <si>
    <t xml:space="preserve">00:39 AM - 06:22 AM</t>
  </si>
  <si>
    <t xml:space="preserve">00:40 AM - 06:21 AM</t>
  </si>
  <si>
    <t xml:space="preserve">00:41 AM - 06:20 AM</t>
  </si>
  <si>
    <t xml:space="preserve">01:42 AM - 06:20 AM</t>
  </si>
  <si>
    <t xml:space="preserve">02:33 AM - 06:19 AM</t>
  </si>
  <si>
    <t xml:space="preserve">03:13 AM - 06:18 AM</t>
  </si>
  <si>
    <t xml:space="preserve">02:44 AM - 05:17 AM</t>
  </si>
  <si>
    <t xml:space="preserve">Ideal Total: 117.98</t>
  </si>
  <si>
    <t xml:space="preserve">April</t>
  </si>
  <si>
    <t xml:space="preserve">Ace</t>
  </si>
  <si>
    <t xml:space="preserve">ND: Weather</t>
  </si>
  <si>
    <t xml:space="preserve">02:59 AM - 07:46 AM</t>
  </si>
  <si>
    <t xml:space="preserve">04:12 AM - 07:44 AM</t>
  </si>
  <si>
    <t xml:space="preserve">05:14 AM - 07:42 AM</t>
  </si>
  <si>
    <t xml:space="preserve">06:04 AM - 07:40 AM</t>
  </si>
  <si>
    <t xml:space="preserve">06:43 AM - 07:39 AM</t>
  </si>
  <si>
    <t xml:space="preserve">Noah</t>
  </si>
  <si>
    <t xml:space="preserve">ND: Moon</t>
  </si>
  <si>
    <t xml:space="preserve">07:14 AM - 07:37 AM</t>
  </si>
  <si>
    <t xml:space="preserve">23:35 PM - 00:18 AM</t>
  </si>
  <si>
    <t xml:space="preserve">23:37 PM - 01:01 AM</t>
  </si>
  <si>
    <t xml:space="preserve">23:38 PM - 01:41 AM</t>
  </si>
  <si>
    <t xml:space="preserve">23:39 PM - 02:20 AM</t>
  </si>
  <si>
    <t xml:space="preserve">23:40 PM - 02:59 AM</t>
  </si>
  <si>
    <t xml:space="preserve">23:42 PM - 03:39 AM</t>
  </si>
  <si>
    <t xml:space="preserve">ND:weather</t>
  </si>
  <si>
    <t xml:space="preserve">23:43 PM - 04:21 AM</t>
  </si>
  <si>
    <t xml:space="preserve">23:44 PM - 05:06 AM</t>
  </si>
  <si>
    <t xml:space="preserve">23:45 PM - 05:54 AM</t>
  </si>
  <si>
    <t xml:space="preserve">23:47 PM - 06:46 AM</t>
  </si>
  <si>
    <t xml:space="preserve">23:48 PM - 07:18 AM</t>
  </si>
  <si>
    <t xml:space="preserve">23:49 PM - 07:16 AM</t>
  </si>
  <si>
    <t xml:space="preserve">23:51 PM - 07:14 AM</t>
  </si>
  <si>
    <t xml:space="preserve">Clark (Training)</t>
  </si>
  <si>
    <t xml:space="preserve">23:52 PM - 07:12 AM</t>
  </si>
  <si>
    <t xml:space="preserve">23:53 PM - 07:11 AM</t>
  </si>
  <si>
    <t xml:space="preserve">23:54 PM - 07:09 AM</t>
  </si>
  <si>
    <t xml:space="preserve">23:56 PM - 07:07 AM</t>
  </si>
  <si>
    <t xml:space="preserve">23:57 PM - 07:06 AM</t>
  </si>
  <si>
    <t xml:space="preserve">23:59 PM - 07:04 AM</t>
  </si>
  <si>
    <t xml:space="preserve">00:00 AM - 07:02 AM</t>
  </si>
  <si>
    <t xml:space="preserve">00:01 AM - 07:01 AM</t>
  </si>
  <si>
    <t xml:space="preserve">00:31 AM - 06:59 AM</t>
  </si>
  <si>
    <t xml:space="preserve">01:50 AM - 06:57 AM</t>
  </si>
  <si>
    <t xml:space="preserve">02:00 AM - 05:56 AM</t>
  </si>
  <si>
    <t xml:space="preserve">March</t>
  </si>
  <si>
    <t xml:space="preserve">23:08 PM - 07:36 AM</t>
  </si>
  <si>
    <t xml:space="preserve">Supervised: Alex</t>
  </si>
  <si>
    <t xml:space="preserve">Training: Clark</t>
  </si>
  <si>
    <t xml:space="preserve">ND:Weather</t>
  </si>
  <si>
    <t xml:space="preserve">ND:Moon</t>
  </si>
  <si>
    <t xml:space="preserve">00:24 AM - 07:34 AM</t>
  </si>
  <si>
    <t xml:space="preserve">01:42 AM - 07:33 AM</t>
  </si>
  <si>
    <t xml:space="preserve">03:00 AM - 07:31 AM</t>
  </si>
  <si>
    <t xml:space="preserve">04:15 AM - 07:30 AM</t>
  </si>
  <si>
    <t xml:space="preserve">05:23 AM - 07:28 AM</t>
  </si>
  <si>
    <t xml:space="preserve">06:19 AM - 07:27 AM</t>
  </si>
  <si>
    <t xml:space="preserve">22:02 PM - 22:52 PM</t>
  </si>
  <si>
    <t xml:space="preserve">23:03 PM - 00:46 AM</t>
  </si>
  <si>
    <t xml:space="preserve">23:04 PM - 01:35 AM</t>
  </si>
  <si>
    <t xml:space="preserve">23:05 PM - 02:19 AM</t>
  </si>
  <si>
    <t xml:space="preserve">23:06 PM - 03:01 AM</t>
  </si>
  <si>
    <t xml:space="preserve">23:07 PM - 03:41 AM</t>
  </si>
  <si>
    <t xml:space="preserve">23:09 PM - 04:20 AM</t>
  </si>
  <si>
    <t xml:space="preserve">23:10 PM - 05:00 AM</t>
  </si>
  <si>
    <t xml:space="preserve">23:11 PM - 05:40 AM</t>
  </si>
  <si>
    <t xml:space="preserve">23:12 PM - 06:23 AM</t>
  </si>
  <si>
    <t xml:space="preserve">23:13 PM - 07:09 AM</t>
  </si>
  <si>
    <t xml:space="preserve">23:14 PM - 07:59 AM</t>
  </si>
  <si>
    <t xml:space="preserve">23:15 PM - 08:06 AM</t>
  </si>
  <si>
    <t xml:space="preserve">23:16 PM - 08:04 AM</t>
  </si>
  <si>
    <t xml:space="preserve">23:17 PM - 08:03 AM</t>
  </si>
  <si>
    <t xml:space="preserve">23:18 PM - 08:01 AM</t>
  </si>
  <si>
    <t xml:space="preserve">23:19 PM - 07:59 AM</t>
  </si>
  <si>
    <t xml:space="preserve">23:20 PM - 07:58 AM</t>
  </si>
  <si>
    <t xml:space="preserve">23:21 PM - 07:56 AM</t>
  </si>
  <si>
    <t xml:space="preserve">23:23 PM - 07:54 AM</t>
  </si>
  <si>
    <t xml:space="preserve">23:24 PM - 07:52 AM</t>
  </si>
  <si>
    <t xml:space="preserve">23:25 PM - 07:51 AM</t>
  </si>
  <si>
    <t xml:space="preserve">00:18 AM - 07:49 AM</t>
  </si>
  <si>
    <t xml:space="preserve">00:39 AM - 06:47 AM</t>
  </si>
  <si>
    <t xml:space="preserve">February</t>
  </si>
  <si>
    <t xml:space="preserve">Sofia </t>
  </si>
  <si>
    <t xml:space="preserve">00:13 AM - 08:07 AM</t>
  </si>
  <si>
    <t xml:space="preserve">01:26 AM - 08:06 AM</t>
  </si>
  <si>
    <t xml:space="preserve">02:40 AM - 08:06 AM</t>
  </si>
  <si>
    <t xml:space="preserve">03:55 AM - 08:05 AM</t>
  </si>
  <si>
    <t xml:space="preserve">05:11 AM - 08:04 AM</t>
  </si>
  <si>
    <t xml:space="preserve">06:23 AM - 08:03 AM</t>
  </si>
  <si>
    <t xml:space="preserve">21:33 PM - 23:01 PM</t>
  </si>
  <si>
    <t xml:space="preserve">21:34 PM - 00:00 AM</t>
  </si>
  <si>
    <t xml:space="preserve">ND:Software</t>
  </si>
  <si>
    <t xml:space="preserve">21:35 PM - 00:57 AM</t>
  </si>
  <si>
    <t xml:space="preserve">21:36 PM - 01:50 AM</t>
  </si>
  <si>
    <t xml:space="preserve">21:37 PM - 02:38 AM</t>
  </si>
  <si>
    <t xml:space="preserve">21:38 PM - 03:22 AM</t>
  </si>
  <si>
    <t xml:space="preserve">21:39 PM - 04:04 AM</t>
  </si>
  <si>
    <t xml:space="preserve">21:40 PM - 04:44 AM</t>
  </si>
  <si>
    <t xml:space="preserve">21:41 PM - 05:23 AM</t>
  </si>
  <si>
    <t xml:space="preserve">21:42 PM - 06:02 AM</t>
  </si>
  <si>
    <t xml:space="preserve">21:43 PM - 06:44 AM</t>
  </si>
  <si>
    <t xml:space="preserve">21:44 PM - 07:28 AM</t>
  </si>
  <si>
    <t xml:space="preserve">21:45 PM - 07:49 AM</t>
  </si>
  <si>
    <t xml:space="preserve">21:46 PM - 07:48 AM</t>
  </si>
  <si>
    <t xml:space="preserve">21:47 PM - 07:47 AM</t>
  </si>
  <si>
    <t xml:space="preserve">21:48 PM - 07:45 AM</t>
  </si>
  <si>
    <t xml:space="preserve">Training: Alex</t>
  </si>
  <si>
    <t xml:space="preserve">Training: Alex, Clark</t>
  </si>
  <si>
    <t xml:space="preserve">21:49 PM - 07:44 AM</t>
  </si>
  <si>
    <t xml:space="preserve">21:50 PM - 07:43 AM</t>
  </si>
  <si>
    <t xml:space="preserve">21:51 PM - 07:41 AM</t>
  </si>
  <si>
    <t xml:space="preserve">21:52 PM - 07:40 AM</t>
  </si>
  <si>
    <t xml:space="preserve">21:53 PM - 07:39 AM</t>
  </si>
  <si>
    <t xml:space="preserve">21:54 PM - 07:37 AM</t>
  </si>
  <si>
    <t xml:space="preserve"> </t>
  </si>
  <si>
    <t xml:space="preserve">January</t>
  </si>
  <si>
    <t xml:space="preserve">21:41 PM - 08:16 AM</t>
  </si>
  <si>
    <t xml:space="preserve">22:53 PM - 08:17 AM</t>
  </si>
  <si>
    <t xml:space="preserve">00:03 AM - 08:17 AM</t>
  </si>
  <si>
    <t xml:space="preserve">01:13 AM - 08:17 AM</t>
  </si>
  <si>
    <t xml:space="preserve">ND: Flasher</t>
  </si>
  <si>
    <t xml:space="preserve">ND: Weather&amp;Flasher</t>
  </si>
  <si>
    <t xml:space="preserve">ND: Moon&amp;Flasher</t>
  </si>
  <si>
    <t xml:space="preserve">02:23 AM - 08:17 AM</t>
  </si>
  <si>
    <t xml:space="preserve">03:35 AM - 08:17 AM</t>
  </si>
  <si>
    <t xml:space="preserve">04:49 AM - 08:17 AM</t>
  </si>
  <si>
    <t xml:space="preserve">21:04 PM - 22:13 PM</t>
  </si>
  <si>
    <t xml:space="preserve">21:05 PM - 23:09 PM</t>
  </si>
  <si>
    <t xml:space="preserve">21:06 PM - 00:09 AM</t>
  </si>
  <si>
    <t xml:space="preserve">21:07 PM - 01:10 AM</t>
  </si>
  <si>
    <t xml:space="preserve">21:08 PM - 02:10 AM</t>
  </si>
  <si>
    <t xml:space="preserve">21:09 PM - 03:06 AM</t>
  </si>
  <si>
    <t xml:space="preserve">21:10 PM - 03:58 AM</t>
  </si>
  <si>
    <t xml:space="preserve">21:11 PM - 04:45 AM</t>
  </si>
  <si>
    <t xml:space="preserve">21:12 PM - 05:28 AM</t>
  </si>
  <si>
    <t xml:space="preserve">21:12 PM - 06:09 AM</t>
  </si>
  <si>
    <t xml:space="preserve">21:13 PM - 06:48 AM</t>
  </si>
  <si>
    <t xml:space="preserve">ND: Configuration issues</t>
  </si>
  <si>
    <t xml:space="preserve">21:14 PM - 07:27 AM</t>
  </si>
  <si>
    <t xml:space="preserve">21:15 PM - 08:07 AM</t>
  </si>
  <si>
    <t xml:space="preserve">21:16 PM - 08:14 AM</t>
  </si>
  <si>
    <t xml:space="preserve">21:17 PM - 08:13 AM</t>
  </si>
  <si>
    <t xml:space="preserve">21:18 PM - 08:13 AM</t>
  </si>
  <si>
    <t xml:space="preserve">21:19 PM - 08:12 AM</t>
  </si>
  <si>
    <t xml:space="preserve">21:20 PM - 08:12 AM</t>
  </si>
  <si>
    <t xml:space="preserve">21:21 PM - 08:11 AM</t>
  </si>
  <si>
    <t xml:space="preserve">21:22 PM - 08:11 AM</t>
  </si>
  <si>
    <t xml:space="preserve">21:23 PM - 08:10 AM</t>
  </si>
  <si>
    <t xml:space="preserve">21:24 PM - 08:09 AM</t>
  </si>
  <si>
    <t xml:space="preserve">21:49 PM - 08:09 AM</t>
  </si>
  <si>
    <t xml:space="preserve">23:01 PM - 08:08 AM</t>
  </si>
  <si>
    <t xml:space="preserve">December</t>
  </si>
  <si>
    <t xml:space="preserve">Adam</t>
  </si>
  <si>
    <t xml:space="preserve">20:47 PM - 8:00 AM</t>
  </si>
  <si>
    <t xml:space="preserve">21:36 PM - 8:01 AM</t>
  </si>
  <si>
    <t xml:space="preserve">22:42 PM - 8:02 AM</t>
  </si>
  <si>
    <t xml:space="preserve">23:52 AM - 8:03 AM</t>
  </si>
  <si>
    <t xml:space="preserve">01:01 AM - 8:03 AM</t>
  </si>
  <si>
    <t xml:space="preserve">2:11 AM - 8:04 AM</t>
  </si>
  <si>
    <t xml:space="preserve">Luigi</t>
  </si>
  <si>
    <t xml:space="preserve">3:21 AM - 8:05 AM</t>
  </si>
  <si>
    <t xml:space="preserve">04:32 AM - 8:06 AM</t>
  </si>
  <si>
    <t xml:space="preserve">20:48 PM - 22:35 PM</t>
  </si>
  <si>
    <t xml:space="preserve">20:48 PM - 23:27 PM</t>
  </si>
  <si>
    <t xml:space="preserve">20:48 PM - 00:22 AM</t>
  </si>
  <si>
    <t xml:space="preserve">20:49 PM - 1:21 AM</t>
  </si>
  <si>
    <t xml:space="preserve">20:49 PM - 2:23 AM</t>
  </si>
  <si>
    <t xml:space="preserve">20:49 PM - 03:26 AM</t>
  </si>
  <si>
    <t xml:space="preserve">20:50 PM - 4:25 AM</t>
  </si>
  <si>
    <t xml:space="preserve">20:50 PM - 5:20 AM</t>
  </si>
  <si>
    <t xml:space="preserve">20:50 PM - 6:09 AM</t>
  </si>
  <si>
    <t xml:space="preserve">20:51 PM - 6:53 AM</t>
  </si>
  <si>
    <t xml:space="preserve">20:51 PM - 7:35 AM</t>
  </si>
  <si>
    <t xml:space="preserve">20:52 PM - 8:13 AM</t>
  </si>
  <si>
    <t xml:space="preserve">20:53 PM - 8:14 AM</t>
  </si>
  <si>
    <t xml:space="preserve">20:54 PM - 8:15 AM</t>
  </si>
  <si>
    <t xml:space="preserve">20:55 PM - 8:15 AM</t>
  </si>
  <si>
    <t xml:space="preserve">20:56 PM - 8:16 AM</t>
  </si>
  <si>
    <t xml:space="preserve">Angelina/Sofia</t>
  </si>
  <si>
    <t xml:space="preserve">20:57 PM - 8:16 AM</t>
  </si>
  <si>
    <t xml:space="preserve">20:58 PM - 8:16 AM</t>
  </si>
  <si>
    <t xml:space="preserve">November</t>
  </si>
  <si>
    <t xml:space="preserve">10:03 PM - 8:32 AM</t>
  </si>
  <si>
    <t xml:space="preserve">10:02 PM - 8:33 AM</t>
  </si>
  <si>
    <t xml:space="preserve">Training/Ace</t>
  </si>
  <si>
    <t xml:space="preserve">Training/</t>
  </si>
  <si>
    <t xml:space="preserve">10:01 PM - 8:34 AM</t>
  </si>
  <si>
    <t xml:space="preserve">9:45 PM - 7:35 AM</t>
  </si>
  <si>
    <t xml:space="preserve">10:40 PM - 7:36 AM</t>
  </si>
  <si>
    <t xml:space="preserve">11:42 PM - 7:37 AM</t>
  </si>
  <si>
    <t xml:space="preserve">12:50 AM - 7:38 AM</t>
  </si>
  <si>
    <t xml:space="preserve">2:00 AM - 7:39 AM</t>
  </si>
  <si>
    <t xml:space="preserve">3:11 AM - 7:40 AM</t>
  </si>
  <si>
    <t xml:space="preserve">ND:  People on Mtn</t>
  </si>
  <si>
    <t xml:space="preserve">ND:moon</t>
  </si>
  <si>
    <t xml:space="preserve">4:22 AM - 7:41 AM</t>
  </si>
  <si>
    <t xml:space="preserve">8:54 PM - 11:06 PM</t>
  </si>
  <si>
    <t xml:space="preserve">8:54 PM - 11:55 PM</t>
  </si>
  <si>
    <t xml:space="preserve">Training/Anurag</t>
  </si>
  <si>
    <t xml:space="preserve">8:50 PM - 5:44 AM</t>
  </si>
  <si>
    <t xml:space="preserve">8:50 PM - 6:41 AM</t>
  </si>
  <si>
    <t xml:space="preserve">8:50 PM - 7:31 AM</t>
  </si>
  <si>
    <t xml:space="preserve">8:49 PM - 7:51 AM</t>
  </si>
  <si>
    <t xml:space="preserve">8:49 PM - 7:52 AM</t>
  </si>
  <si>
    <t xml:space="preserve">8:48 PM - 7:53 AM</t>
  </si>
  <si>
    <t xml:space="preserve">Training/Noah</t>
  </si>
  <si>
    <t xml:space="preserve">8:48 PM - 7:54 AM</t>
  </si>
  <si>
    <t xml:space="preserve">8:48 PM - 7:55 AM</t>
  </si>
  <si>
    <t xml:space="preserve">8:47 PM - 7:56 AM</t>
  </si>
  <si>
    <t xml:space="preserve">8:47 PM - 7:57 AM</t>
  </si>
  <si>
    <t xml:space="preserve">8:47 PM - 7:58 AM</t>
  </si>
  <si>
    <t xml:space="preserve">8:47 PM - 7:59 AM</t>
  </si>
  <si>
    <t xml:space="preserve">October</t>
  </si>
  <si>
    <t xml:space="preserve">10:43 PM - 8:03 AM</t>
  </si>
  <si>
    <t xml:space="preserve">10:42 PM - 8:04 AM</t>
  </si>
  <si>
    <t xml:space="preserve">10:40 PM - 8:05 AM </t>
  </si>
  <si>
    <t xml:space="preserve">10:39 PM - 8:06 AM</t>
  </si>
  <si>
    <t xml:space="preserve">10:45 PM - 8:07 AM</t>
  </si>
  <si>
    <t xml:space="preserve">Varun Iyengar</t>
  </si>
  <si>
    <t xml:space="preserve">11:19 PM - 8:08 AM</t>
  </si>
  <si>
    <t xml:space="preserve">11:59 PM - 8:09 AM </t>
  </si>
  <si>
    <t xml:space="preserve">12:48 AM - 8:10 AM</t>
  </si>
  <si>
    <t xml:space="preserve">1:46 AM - 8:10 AM</t>
  </si>
  <si>
    <t xml:space="preserve">2:51 AM - 8:11 AM</t>
  </si>
  <si>
    <t xml:space="preserve">4:02 AM - 8:02 AM</t>
  </si>
  <si>
    <t xml:space="preserve">5:15 AM - 8:13 AM</t>
  </si>
  <si>
    <t xml:space="preserve">Luis Rojas</t>
  </si>
  <si>
    <t xml:space="preserve">*10:25 PM - 12:37 AM*</t>
  </si>
  <si>
    <t xml:space="preserve">10:16 PM - 7:01 AM </t>
  </si>
  <si>
    <t xml:space="preserve">10:15 PM - 8:01 AM</t>
  </si>
  <si>
    <t xml:space="preserve">10:14 PM - 8:23 AM</t>
  </si>
  <si>
    <t xml:space="preserve">10:12 PM - 8:24 AM</t>
  </si>
  <si>
    <t xml:space="preserve">10:11 PM - 8:25 AM</t>
  </si>
  <si>
    <t xml:space="preserve">10:10 PM - 8:25 AM</t>
  </si>
  <si>
    <t xml:space="preserve">10:09 PM - 8:26 AM</t>
  </si>
  <si>
    <t xml:space="preserve">ND: Snow</t>
  </si>
  <si>
    <t xml:space="preserve">ND: Clouds</t>
  </si>
  <si>
    <t xml:space="preserve">10:08 PM - 8:27 AM</t>
  </si>
  <si>
    <t xml:space="preserve">10:07 PM - 8:28 AM</t>
  </si>
  <si>
    <t xml:space="preserve">10:06 PM - 8:29 AM</t>
  </si>
  <si>
    <t xml:space="preserve">10:05 PM - 8:30 AM</t>
  </si>
  <si>
    <t xml:space="preserve">10:04 PM - 8:31 AM</t>
  </si>
  <si>
    <t xml:space="preserve">September</t>
  </si>
  <si>
    <t xml:space="preserve"># = Time in hours</t>
  </si>
  <si>
    <t xml:space="preserve">ND = No Data</t>
  </si>
  <si>
    <t xml:space="preserve">11:35 PM - 7:32 AM</t>
  </si>
  <si>
    <t xml:space="preserve">11:33 PM - 7:33 AM</t>
  </si>
  <si>
    <t xml:space="preserve">11:32 PM - 7:34 AM</t>
  </si>
  <si>
    <t xml:space="preserve">11:30 PM - 7:35 AM</t>
  </si>
  <si>
    <t xml:space="preserve">11:28 PM - 7:36 AM</t>
  </si>
  <si>
    <t xml:space="preserve">11:49 PM - 07:37 AM</t>
  </si>
  <si>
    <t xml:space="preserve">12:14 AM - 07:39 AM</t>
  </si>
  <si>
    <t xml:space="preserve">ND Weather</t>
  </si>
  <si>
    <t xml:space="preserve">ND Training</t>
  </si>
  <si>
    <t xml:space="preserve">ND Error</t>
  </si>
  <si>
    <t xml:space="preserve">12:43 AM - 7:40 AM</t>
  </si>
  <si>
    <t xml:space="preserve">1:19 AM - 7:41 AM</t>
  </si>
  <si>
    <t xml:space="preserve">2:03 AM - 7:42 AM</t>
  </si>
  <si>
    <t xml:space="preserve">2:56 AM - 7:43 AM</t>
  </si>
  <si>
    <t xml:space="preserve">3:59 AM - 7:44 AM</t>
  </si>
  <si>
    <t xml:space="preserve">11:14 PM - 12:05 AM</t>
  </si>
  <si>
    <t xml:space="preserve">11:12 PM - 1:04 AM</t>
  </si>
  <si>
    <t xml:space="preserve">ND Training/Bright</t>
  </si>
  <si>
    <t xml:space="preserve">ND: Bright</t>
  </si>
  <si>
    <t xml:space="preserve">11:02 PM - 6:20 AM</t>
  </si>
  <si>
    <t xml:space="preserve">11:00 PM - 7:16 AM</t>
  </si>
  <si>
    <t xml:space="preserve">ND - testing, bright</t>
  </si>
  <si>
    <t xml:space="preserve">10:58 PM - 7:54 AM</t>
  </si>
  <si>
    <t xml:space="preserve">10:57 PM - 7:55 AM</t>
  </si>
  <si>
    <t xml:space="preserve">10:55 PM - 7:56 AM</t>
  </si>
  <si>
    <t xml:space="preserve">10:53 PM - 7:57 AM</t>
  </si>
  <si>
    <t xml:space="preserve">10:52 PM - 7:58 AM</t>
  </si>
  <si>
    <t xml:space="preserve">10:50 PM - 7:59 AM</t>
  </si>
  <si>
    <t xml:space="preserve">10:48 PM - 8:00 AM</t>
  </si>
  <si>
    <t xml:space="preserve">10:47 PM - 8:01 AM</t>
  </si>
  <si>
    <t xml:space="preserve">10:45 PM - 8:02 AM</t>
  </si>
  <si>
    <t xml:space="preserve">Time = # of hours</t>
  </si>
  <si>
    <t xml:space="preserve">Week 1</t>
  </si>
  <si>
    <t xml:space="preserve">Time on TXS/NGC</t>
  </si>
  <si>
    <t xml:space="preserve">Start/end times (EST)</t>
  </si>
  <si>
    <t xml:space="preserve">Week 2</t>
  </si>
  <si>
    <t xml:space="preserve">ND: Trigger rate</t>
  </si>
  <si>
    <t xml:space="preserve">ND: SIAB problem </t>
  </si>
  <si>
    <t xml:space="preserve">Week 3</t>
  </si>
  <si>
    <t xml:space="preserve">ND: Weather </t>
  </si>
  <si>
    <t xml:space="preserve">Week 4</t>
  </si>
  <si>
    <t xml:space="preserve">11:51 PM - 7:21 AM</t>
  </si>
  <si>
    <t xml:space="preserve">11:49 PM - 7:22 AM</t>
  </si>
  <si>
    <t xml:space="preserve">Week 5</t>
  </si>
  <si>
    <t xml:space="preserve">11:48 PM - 7:24 AM</t>
  </si>
  <si>
    <t xml:space="preserve">11:46 PM - 7:25 AM</t>
  </si>
  <si>
    <t xml:space="preserve">11:44 PM - 7:26 AM</t>
  </si>
  <si>
    <t xml:space="preserve">11:42 PM - 7:27 AM</t>
  </si>
  <si>
    <t xml:space="preserve">11:40 PM - 7:28 AM</t>
  </si>
  <si>
    <t xml:space="preserve">11:39 PM - 7:30 AM</t>
  </si>
  <si>
    <t xml:space="preserve">11:37 PM - 7:31 AM</t>
  </si>
  <si>
    <t xml:space="preserve">Week 6</t>
  </si>
  <si>
    <t xml:space="preserve">Moon Illumination</t>
  </si>
  <si>
    <t xml:space="preserve">ND: windy</t>
  </si>
  <si>
    <t xml:space="preserve">ND: winds</t>
  </si>
  <si>
    <t xml:space="preserve">ND: Wind</t>
  </si>
  <si>
    <t xml:space="preserve">&lt;5 min</t>
  </si>
  <si>
    <t xml:space="preserve">Observing time</t>
  </si>
  <si>
    <t xml:space="preserve">Time TXS/NGC</t>
  </si>
  <si>
    <t xml:space="preserve">None</t>
  </si>
  <si>
    <t xml:space="preserve">Data Quality</t>
  </si>
  <si>
    <t xml:space="preserve">Arnav</t>
  </si>
  <si>
    <t xml:space="preserve">ND: operation difficulties</t>
  </si>
  <si>
    <t xml:space="preserve">30 min</t>
  </si>
  <si>
    <t xml:space="preserve">2 hours</t>
  </si>
  <si>
    <t xml:space="preserve">Error: TriggerRate</t>
  </si>
  <si>
    <t xml:space="preserve">Testing: TriggerRate</t>
  </si>
  <si>
    <t xml:space="preserve">3 hours</t>
  </si>
  <si>
    <t xml:space="preserve">Issue</t>
  </si>
  <si>
    <t xml:space="preserve">ND: VPN Error</t>
  </si>
  <si>
    <t xml:space="preserve"> 1 hour</t>
  </si>
  <si>
    <t xml:space="preserve">7 hr</t>
  </si>
  <si>
    <t xml:space="preserve">File saving </t>
  </si>
  <si>
    <t xml:space="preserve">good</t>
  </si>
  <si>
    <t xml:space="preserve">Good</t>
  </si>
  <si>
    <t xml:space="preserve">ND: error</t>
  </si>
  <si>
    <t xml:space="preserve">ND: TriggerScan</t>
  </si>
  <si>
    <t xml:space="preserve">ND:TriggerScan</t>
  </si>
  <si>
    <t xml:space="preserve">ND: ASAD 1.8</t>
  </si>
  <si>
    <t xml:space="preserve">ND:</t>
  </si>
  <si>
    <t xml:space="preserve">4hs</t>
  </si>
  <si>
    <t xml:space="preserve">3.5 hrs</t>
  </si>
  <si>
    <t xml:space="preserve">ND: wind</t>
  </si>
  <si>
    <t xml:space="preserve">ND:wind</t>
  </si>
  <si>
    <t xml:space="preserve">ND:intrigs error</t>
  </si>
  <si>
    <t xml:space="preserve">1.5 hrs</t>
  </si>
  <si>
    <t xml:space="preserve">ND:Wind</t>
  </si>
  <si>
    <t xml:space="preserve">ND: storm</t>
  </si>
  <si>
    <t xml:space="preserve">0.25 hr</t>
  </si>
  <si>
    <t xml:space="preserve">ND: connection issues</t>
  </si>
  <si>
    <t xml:space="preserve">ND:forgotten shift</t>
  </si>
  <si>
    <t xml:space="preserve">Moon Illuminsation</t>
  </si>
  <si>
    <t xml:space="preserve">_</t>
  </si>
  <si>
    <t xml:space="preserve">7hr</t>
  </si>
  <si>
    <t xml:space="preserve">0hr</t>
  </si>
  <si>
    <t xml:space="preserve">0hrs</t>
  </si>
  <si>
    <t xml:space="preserve">Srikar</t>
  </si>
  <si>
    <t xml:space="preserve">DAQ:error</t>
  </si>
  <si>
    <t xml:space="preserve">7 hrs</t>
  </si>
  <si>
    <t xml:space="preserve">Error</t>
  </si>
  <si>
    <t xml:space="preserve">IT Error</t>
  </si>
  <si>
    <t xml:space="preserve">4 hr</t>
  </si>
  <si>
    <t xml:space="preserve">Aurora</t>
  </si>
  <si>
    <t xml:space="preserve">3 hr 43 min</t>
  </si>
  <si>
    <t xml:space="preserve">1hr</t>
  </si>
  <si>
    <t xml:space="preserve">VPN Error</t>
  </si>
  <si>
    <t xml:space="preserve">0/0</t>
  </si>
  <si>
    <t xml:space="preserve">ND: ice</t>
  </si>
  <si>
    <t xml:space="preserve">ND: technical</t>
  </si>
  <si>
    <t xml:space="preserve">ND: Flasher Data</t>
  </si>
  <si>
    <t xml:space="preserve">ND: OIT Issues</t>
  </si>
  <si>
    <t xml:space="preserve">ND: Technical</t>
  </si>
  <si>
    <t xml:space="preserve">ND</t>
  </si>
  <si>
    <t xml:space="preserve">Nicholas</t>
  </si>
  <si>
    <t xml:space="preserve">ND: Hot SIAB</t>
  </si>
  <si>
    <t xml:space="preserve">5hrs</t>
  </si>
  <si>
    <t xml:space="preserve">3hr</t>
  </si>
  <si>
    <t xml:space="preserve">5hr</t>
  </si>
  <si>
    <t xml:space="preserve">2hr</t>
  </si>
  <si>
    <t xml:space="preserve">0/1</t>
  </si>
  <si>
    <t xml:space="preserve">1:30hr</t>
  </si>
  <si>
    <t xml:space="preserve">1 hr</t>
  </si>
  <si>
    <t xml:space="preserve">ND: monitoring issues</t>
  </si>
  <si>
    <t xml:space="preserve">OIT</t>
  </si>
  <si>
    <t xml:space="preserve">Mariia Testing</t>
  </si>
  <si>
    <t xml:space="preserve">lab CPU testing</t>
  </si>
  <si>
    <t xml:space="preserve">Pixel Testing</t>
  </si>
  <si>
    <t xml:space="preserve">Lab CPU testing</t>
  </si>
  <si>
    <t xml:space="preserve">5 hr</t>
  </si>
  <si>
    <t xml:space="preserve">ND: pixel and test system</t>
  </si>
  <si>
    <t xml:space="preserve">ND: ran intrigs</t>
  </si>
  <si>
    <t xml:space="preserve">ND: cam cover</t>
  </si>
  <si>
    <t xml:space="preserve">ND: data saving</t>
  </si>
  <si>
    <t xml:space="preserve">ND: intrigs problem</t>
  </si>
  <si>
    <t xml:space="preserve">7hr 26min</t>
  </si>
  <si>
    <t xml:space="preserve">1hr/1hr</t>
  </si>
  <si>
    <t xml:space="preserve">Sofia/Srikar</t>
  </si>
  <si>
    <t xml:space="preserve">9hr 1min</t>
  </si>
  <si>
    <t xml:space="preserve">8 hr 7 min</t>
  </si>
  <si>
    <t xml:space="preserve">ND: weather</t>
  </si>
  <si>
    <t xml:space="preserve"> ND: snow</t>
  </si>
  <si>
    <t xml:space="preserve">ND: weather iv</t>
  </si>
  <si>
    <t xml:space="preserve">1hr.1hr</t>
  </si>
  <si>
    <t xml:space="preserve">Sofia/Adam</t>
  </si>
  <si>
    <t xml:space="preserve">59 min</t>
  </si>
  <si>
    <t xml:space="preserve">ND: moon</t>
  </si>
  <si>
    <t xml:space="preserve">Pixel script Testing</t>
  </si>
  <si>
    <t xml:space="preserve">Pixel testing</t>
  </si>
  <si>
    <t xml:space="preserve">Flasher</t>
  </si>
  <si>
    <t xml:space="preserve">DV offset</t>
  </si>
  <si>
    <t xml:space="preserve">1 hr 52 min</t>
  </si>
  <si>
    <t xml:space="preserve">0/1hr</t>
  </si>
  <si>
    <t xml:space="preserve">4hr 40 min</t>
  </si>
  <si>
    <t xml:space="preserve">ND: Door failure</t>
  </si>
  <si>
    <t xml:space="preserve">Testing Pixels</t>
  </si>
  <si>
    <t xml:space="preserve">ECND:Door failure</t>
  </si>
  <si>
    <t xml:space="preserve">Mariia (late)</t>
  </si>
  <si>
    <t xml:space="preserve">1 h 4 min</t>
  </si>
  <si>
    <t xml:space="preserve">5 h 49 min</t>
  </si>
  <si>
    <t xml:space="preserve">4 h 46 m</t>
  </si>
  <si>
    <t xml:space="preserve">6 h 24 min</t>
  </si>
  <si>
    <t xml:space="preserve">Training Nick, Ace</t>
  </si>
  <si>
    <t xml:space="preserve">8 h 16 m</t>
  </si>
  <si>
    <t xml:space="preserve">ND: Flasher issue </t>
  </si>
  <si>
    <t xml:space="preserve">ND: Flasher issue</t>
  </si>
  <si>
    <t xml:space="preserve">8 hr</t>
  </si>
  <si>
    <t xml:space="preserve">9 hr 17 min</t>
  </si>
  <si>
    <t xml:space="preserve">1 hr/1 hr</t>
  </si>
  <si>
    <t xml:space="preserve">Srikar/Training Nick and Ace</t>
  </si>
  <si>
    <t xml:space="preserve">7 h 40 m</t>
  </si>
  <si>
    <t xml:space="preserve">5.5 hrs</t>
  </si>
  <si>
    <t xml:space="preserve">5h 10 m</t>
  </si>
  <si>
    <t xml:space="preserve">3hr 44m</t>
  </si>
  <si>
    <t xml:space="preserve">2 hr 8 m</t>
  </si>
  <si>
    <t xml:space="preserve">1hr/0hr</t>
  </si>
  <si>
    <t xml:space="preserve">1 hr/0hr</t>
  </si>
  <si>
    <t xml:space="preserve">ND: Testing Pixels</t>
  </si>
  <si>
    <t xml:space="preserve">sofia</t>
  </si>
  <si>
    <t xml:space="preserve">jordan</t>
  </si>
  <si>
    <t xml:space="preserve">22- ND: weather</t>
  </si>
  <si>
    <t xml:space="preserve">Mariia,Adam</t>
  </si>
  <si>
    <t xml:space="preserve">Sofia, Srikar,Adam</t>
  </si>
  <si>
    <t xml:space="preserve">Srikar Sofia</t>
  </si>
  <si>
    <t xml:space="preserve">Srikar(starting), Sofia</t>
  </si>
  <si>
    <t xml:space="preserve">Sofia, Srikar</t>
  </si>
  <si>
    <t xml:space="preserve">Mariia (after 5 am UTC)</t>
  </si>
  <si>
    <t xml:space="preserve">Name</t>
  </si>
  <si>
    <t xml:space="preserve">Level</t>
  </si>
  <si>
    <t xml:space="preserve">Training 1</t>
  </si>
  <si>
    <t xml:space="preserve">Training 2</t>
  </si>
  <si>
    <t xml:space="preserve">Supervision 1</t>
  </si>
  <si>
    <t xml:space="preserve">Supervision 2</t>
  </si>
  <si>
    <t xml:space="preserve">Complete</t>
  </si>
  <si>
    <t xml:space="preserve">Provide on call support</t>
  </si>
  <si>
    <t xml:space="preserve">Set up on New lab Computer</t>
  </si>
  <si>
    <t xml:space="preserve">Notes</t>
  </si>
  <si>
    <t xml:space="preserve">undergrad</t>
  </si>
  <si>
    <t xml:space="preserve">SS</t>
  </si>
  <si>
    <t xml:space="preserve">JB</t>
  </si>
  <si>
    <t xml:space="preserve">MF</t>
  </si>
  <si>
    <t xml:space="preserve">X</t>
  </si>
  <si>
    <t xml:space="preserve">yes</t>
  </si>
  <si>
    <t xml:space="preserve">AZ</t>
  </si>
  <si>
    <t xml:space="preserve">Ronemus</t>
  </si>
  <si>
    <t xml:space="preserve">no</t>
  </si>
  <si>
    <t xml:space="preserve">Grad</t>
  </si>
  <si>
    <t xml:space="preserve">x</t>
  </si>
  <si>
    <t xml:space="preserve">post Doc</t>
  </si>
  <si>
    <t xml:space="preserve">retired</t>
  </si>
  <si>
    <t xml:space="preserve">Not available during the summer 2025</t>
  </si>
  <si>
    <t xml:space="preserve">Quenzler</t>
  </si>
  <si>
    <t xml:space="preserve">Not responsive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</si>
</sst>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General"/>
    <numFmt numFmtId="166" formatCode="0%"/>
    <numFmt numFmtId="167" formatCode="h:mm"/>
    <numFmt numFmtId="168" formatCode="h:mm\ AM/PM"/>
    <numFmt numFmtId="169" formatCode="d\-mmm"/>
    <numFmt numFmtId="170" formatCode="[$-F400]h:mm:ss\ AM/PM"/>
    <numFmt numFmtId="171" formatCode="0.00%"/>
    <numFmt numFmtId="172" formatCode="0.0"/>
    <numFmt numFmtId="173" formatCode="0.00"/>
  </numFmts>
  <fonts count="6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Malgun Gothic"/>
      <family val="0"/>
      <charset val="129"/>
    </font>
    <font>
      <b val="true"/>
      <sz val="12"/>
      <color rgb="FF548235"/>
      <name val="Malgun Gothic"/>
      <family val="0"/>
      <charset val="129"/>
    </font>
    <font>
      <b val="true"/>
      <sz val="12"/>
      <color theme="9" tint="-0.25"/>
      <name val="Malgun Gothic"/>
      <family val="0"/>
      <charset val="129"/>
    </font>
    <font>
      <sz val="11"/>
      <color rgb="FF375623"/>
      <name val="Malgun Gothic"/>
      <family val="0"/>
      <charset val="129"/>
    </font>
    <font>
      <b val="true"/>
      <sz val="14"/>
      <color rgb="FF548235"/>
      <name val="Malgun Gothic"/>
      <family val="0"/>
      <charset val="129"/>
    </font>
    <font>
      <b val="true"/>
      <sz val="12"/>
      <color theme="0"/>
      <name val="Malgun Gothic"/>
      <family val="0"/>
      <charset val="129"/>
    </font>
    <font>
      <sz val="12"/>
      <color theme="1"/>
      <name val="Malgun Gothic"/>
      <family val="0"/>
      <charset val="129"/>
    </font>
    <font>
      <i val="true"/>
      <sz val="12"/>
      <color theme="1"/>
      <name val="Malgun Gothic"/>
      <family val="0"/>
      <charset val="129"/>
    </font>
    <font>
      <sz val="12"/>
      <color theme="0"/>
      <name val="Malgun Gothic"/>
      <family val="0"/>
      <charset val="129"/>
    </font>
    <font>
      <b val="true"/>
      <sz val="12"/>
      <color theme="9" tint="0.7999"/>
      <name val="Malgun Gothic"/>
      <family val="0"/>
      <charset val="129"/>
    </font>
    <font>
      <i val="true"/>
      <sz val="11"/>
      <color theme="1"/>
      <name val="Malgun Gothic"/>
      <family val="0"/>
      <charset val="129"/>
    </font>
    <font>
      <b val="true"/>
      <sz val="12"/>
      <color theme="1"/>
      <name val="Malgun Gothic"/>
      <family val="0"/>
      <charset val="129"/>
    </font>
    <font>
      <b val="true"/>
      <sz val="12"/>
      <color rgb="FF000000"/>
      <name val="Malgun Gothic"/>
      <family val="0"/>
      <charset val="129"/>
    </font>
    <font>
      <sz val="10"/>
      <color theme="1"/>
      <name val="Malgun Gothic"/>
      <family val="0"/>
      <charset val="129"/>
    </font>
    <font>
      <i val="true"/>
      <sz val="10"/>
      <color theme="1"/>
      <name val="Malgun Gothic"/>
      <family val="0"/>
      <charset val="129"/>
    </font>
    <font>
      <i val="true"/>
      <sz val="10"/>
      <color rgb="FF000000"/>
      <name val="Malgun Gothic"/>
      <family val="0"/>
      <charset val="129"/>
    </font>
    <font>
      <sz val="11"/>
      <color rgb="FF000000"/>
      <name val="Malgun Gothic"/>
      <family val="0"/>
      <charset val="129"/>
    </font>
    <font>
      <b val="true"/>
      <sz val="12"/>
      <color theme="1"/>
      <name val="Malgun Gothic"/>
      <family val="2"/>
      <charset val="1"/>
    </font>
    <font>
      <b val="true"/>
      <sz val="12"/>
      <color rgb="FFF1EDE3"/>
      <name val="Malgun Gothic"/>
      <family val="2"/>
      <charset val="1"/>
    </font>
    <font>
      <b val="true"/>
      <sz val="12"/>
      <color theme="1" tint="0.3499"/>
      <name val="Malgun Gothic"/>
      <family val="0"/>
      <charset val="129"/>
    </font>
    <font>
      <b val="true"/>
      <sz val="12"/>
      <color rgb="FFC00000"/>
      <name val="Malgun Gothic"/>
      <family val="2"/>
      <charset val="1"/>
    </font>
    <font>
      <b val="true"/>
      <sz val="12"/>
      <color rgb="FFF3D9D9"/>
      <name val="Malgun Gothic"/>
      <family val="2"/>
      <charset val="1"/>
    </font>
    <font>
      <b val="true"/>
      <sz val="12"/>
      <color theme="7" tint="-0.25"/>
      <name val="Malgun Gothic"/>
      <family val="2"/>
      <charset val="1"/>
    </font>
    <font>
      <b val="true"/>
      <sz val="12"/>
      <color rgb="FFF7F8E8"/>
      <name val="Malgun Gothic"/>
      <family val="2"/>
      <charset val="1"/>
    </font>
    <font>
      <b val="true"/>
      <sz val="12"/>
      <color theme="7" tint="-0.5"/>
      <name val="Malgun Gothic"/>
      <family val="2"/>
      <charset val="1"/>
    </font>
    <font>
      <b val="true"/>
      <sz val="12"/>
      <color rgb="FFFCFAF2"/>
      <name val="Malgun Gothic"/>
      <family val="2"/>
      <charset val="1"/>
    </font>
    <font>
      <b val="true"/>
      <sz val="12"/>
      <color rgb="FF13A183"/>
      <name val="Malgun Gothic"/>
      <family val="2"/>
      <charset val="1"/>
    </font>
    <font>
      <b val="true"/>
      <sz val="12"/>
      <color rgb="FFE1F3EF"/>
      <name val="Malgun Gothic"/>
      <family val="2"/>
      <charset val="1"/>
    </font>
    <font>
      <b val="true"/>
      <sz val="12"/>
      <color rgb="FFD642B4"/>
      <name val="Malgun Gothic"/>
      <family val="0"/>
      <charset val="1"/>
    </font>
    <font>
      <b val="true"/>
      <sz val="12"/>
      <color rgb="FFF4DCEE"/>
      <name val="Malgun Gothic"/>
      <family val="0"/>
      <charset val="1"/>
    </font>
    <font>
      <sz val="11"/>
      <color rgb="FF000000"/>
      <name val="Malgun Gothic"/>
      <family val="2"/>
      <charset val="129"/>
    </font>
    <font>
      <b val="true"/>
      <sz val="12"/>
      <color rgb="FF1F4E78"/>
      <name val="Malgun Gothic"/>
      <family val="2"/>
      <charset val="1"/>
    </font>
    <font>
      <sz val="11"/>
      <color rgb="FF375623"/>
      <name val="Malgun Gothic"/>
      <family val="2"/>
      <charset val="129"/>
    </font>
    <font>
      <b val="true"/>
      <sz val="14"/>
      <color theme="8" tint="-0.5"/>
      <name val="Malgun Gothic"/>
      <family val="2"/>
      <charset val="129"/>
    </font>
    <font>
      <b val="true"/>
      <sz val="12"/>
      <color rgb="FFFFFFFF"/>
      <name val="Malgun Gothic"/>
      <family val="2"/>
      <charset val="129"/>
    </font>
    <font>
      <sz val="12"/>
      <color rgb="FF000000"/>
      <name val="Malgun Gothic"/>
      <family val="2"/>
      <charset val="129"/>
    </font>
    <font>
      <i val="true"/>
      <sz val="12"/>
      <color rgb="FF000000"/>
      <name val="Malgun Gothic"/>
      <family val="2"/>
      <charset val="129"/>
    </font>
    <font>
      <sz val="12"/>
      <color rgb="FFFFFFFF"/>
      <name val="Malgun Gothic"/>
      <family val="2"/>
      <charset val="129"/>
    </font>
    <font>
      <b val="true"/>
      <sz val="12"/>
      <color rgb="FFDDEBF7"/>
      <name val="Malgun Gothic"/>
      <family val="2"/>
      <charset val="1"/>
    </font>
    <font>
      <i val="true"/>
      <sz val="11"/>
      <color rgb="FF000000"/>
      <name val="Malgun Gothic"/>
      <family val="2"/>
      <charset val="129"/>
    </font>
    <font>
      <b val="true"/>
      <sz val="12"/>
      <color rgb="FF000000"/>
      <name val="Malgun Gothic"/>
      <family val="2"/>
      <charset val="129"/>
    </font>
    <font>
      <sz val="10"/>
      <color rgb="FF000000"/>
      <name val="Malgun Gothic"/>
      <family val="2"/>
      <charset val="129"/>
    </font>
    <font>
      <i val="true"/>
      <sz val="10"/>
      <color rgb="FF000000"/>
      <name val="Malgun Gothic"/>
      <family val="2"/>
      <charset val="129"/>
    </font>
    <font>
      <sz val="12"/>
      <color rgb="FF000000"/>
      <name val="Malgun Gothic"/>
      <family val="0"/>
      <charset val="129"/>
    </font>
    <font>
      <b val="true"/>
      <sz val="12"/>
      <color theme="1"/>
      <name val="Malgun Gothic"/>
      <family val="2"/>
      <charset val="129"/>
    </font>
    <font>
      <sz val="11"/>
      <color rgb="FF000000"/>
      <name val="Calibri"/>
      <family val="2"/>
      <charset val="1"/>
    </font>
    <font>
      <sz val="11"/>
      <color theme="1"/>
      <name val="Malgun Gothic"/>
      <family val="2"/>
      <charset val="129"/>
    </font>
    <font>
      <b val="true"/>
      <sz val="12"/>
      <color rgb="FF548235"/>
      <name val="Malgun Gothic"/>
      <family val="2"/>
      <charset val="129"/>
    </font>
    <font>
      <b val="true"/>
      <sz val="12"/>
      <color theme="9" tint="-0.25"/>
      <name val="Malgun Gothic"/>
      <family val="2"/>
      <charset val="129"/>
    </font>
    <font>
      <b val="true"/>
      <sz val="14"/>
      <color rgb="FF548235"/>
      <name val="Malgun Gothic"/>
      <family val="2"/>
      <charset val="129"/>
    </font>
    <font>
      <b val="true"/>
      <sz val="12"/>
      <color theme="0"/>
      <name val="Malgun Gothic"/>
      <family val="2"/>
      <charset val="129"/>
    </font>
    <font>
      <sz val="12"/>
      <color theme="1"/>
      <name val="Malgun Gothic"/>
      <family val="2"/>
      <charset val="129"/>
    </font>
    <font>
      <i val="true"/>
      <sz val="12"/>
      <color theme="1"/>
      <name val="Malgun Gothic"/>
      <family val="2"/>
      <charset val="129"/>
    </font>
    <font>
      <sz val="12"/>
      <color theme="0"/>
      <name val="Malgun Gothic"/>
      <family val="2"/>
      <charset val="129"/>
    </font>
    <font>
      <b val="true"/>
      <sz val="12"/>
      <color theme="9" tint="0.7999"/>
      <name val="Malgun Gothic"/>
      <family val="2"/>
      <charset val="129"/>
    </font>
    <font>
      <i val="true"/>
      <sz val="11"/>
      <color theme="1"/>
      <name val="Malgun Gothic"/>
      <family val="2"/>
      <charset val="129"/>
    </font>
    <font>
      <sz val="10"/>
      <color theme="1"/>
      <name val="Malgun Gothic"/>
      <family val="2"/>
      <charset val="129"/>
    </font>
    <font>
      <i val="true"/>
      <sz val="10"/>
      <color theme="1"/>
      <name val="Malgun Gothic"/>
      <family val="2"/>
      <charset val="129"/>
    </font>
    <font>
      <sz val="22"/>
      <color theme="9" tint="-0.25"/>
      <name val="Malgun Gothic"/>
      <family val="2"/>
      <charset val="129"/>
    </font>
    <font>
      <sz val="26"/>
      <color theme="9" tint="-0.25"/>
      <name val="Malgun Gothic"/>
      <family val="2"/>
      <charset val="129"/>
    </font>
    <font>
      <sz val="11"/>
      <color theme="9" tint="0.7999"/>
      <name val="Malgun Gothic"/>
      <family val="2"/>
      <charset val="129"/>
    </font>
    <font>
      <sz val="11"/>
      <color theme="0"/>
      <name val="Malgun Gothic"/>
      <family val="2"/>
      <charset val="129"/>
    </font>
    <font>
      <b val="true"/>
      <sz val="11"/>
      <color theme="1"/>
      <name val="Malgun Gothic"/>
      <family val="2"/>
      <charset val="129"/>
    </font>
    <font>
      <b val="true"/>
      <sz val="11"/>
      <color theme="0"/>
      <name val="Malgun Gothic"/>
      <family val="2"/>
      <charset val="129"/>
    </font>
    <font>
      <b val="true"/>
      <sz val="11"/>
      <color rgb="FF000000"/>
      <name val="Malgun Gothic"/>
      <family val="2"/>
      <charset val="129"/>
    </font>
  </fonts>
  <fills count="52">
    <fill>
      <patternFill patternType="none"/>
    </fill>
    <fill>
      <patternFill patternType="gray125"/>
    </fill>
    <fill>
      <patternFill patternType="solid">
        <fgColor theme="8" tint="0.7999"/>
        <bgColor rgb="FFDDEBF7"/>
      </patternFill>
    </fill>
    <fill>
      <patternFill patternType="solid">
        <fgColor theme="9" tint="-0.25"/>
        <bgColor rgb="FF5B5946"/>
      </patternFill>
    </fill>
    <fill>
      <patternFill patternType="solid">
        <fgColor theme="9" tint="0.5999"/>
        <bgColor rgb="FFB4E6DA"/>
      </patternFill>
    </fill>
    <fill>
      <patternFill patternType="solid">
        <fgColor theme="9" tint="0.7999"/>
        <bgColor rgb="FFE1F3EF"/>
      </patternFill>
    </fill>
    <fill>
      <patternFill patternType="solid">
        <fgColor theme="0" tint="-0.05"/>
        <bgColor rgb="FFEFF6EA"/>
      </patternFill>
    </fill>
    <fill>
      <patternFill patternType="solid">
        <fgColor theme="8" tint="0.5999"/>
        <bgColor rgb="FFB4E6DA"/>
      </patternFill>
    </fill>
    <fill>
      <patternFill patternType="solid">
        <fgColor rgb="FFDDEBF7"/>
        <bgColor rgb="FFDEEBF7"/>
      </patternFill>
    </fill>
    <fill>
      <patternFill patternType="solid">
        <fgColor theme="0"/>
        <bgColor rgb="FFFCFAF2"/>
      </patternFill>
    </fill>
    <fill>
      <patternFill patternType="solid">
        <fgColor theme="1" tint="0.2499"/>
        <bgColor rgb="FF375623"/>
      </patternFill>
    </fill>
    <fill>
      <patternFill patternType="solid">
        <fgColor theme="0" tint="-0.35"/>
        <bgColor rgb="FF8EA9DB"/>
      </patternFill>
    </fill>
    <fill>
      <patternFill patternType="solid">
        <fgColor theme="0" tint="-0.15"/>
        <bgColor rgb="FFD6DCE5"/>
      </patternFill>
    </fill>
    <fill>
      <patternFill patternType="solid">
        <fgColor theme="1" tint="0.4999"/>
        <bgColor rgb="FF548235"/>
      </patternFill>
    </fill>
    <fill>
      <patternFill patternType="solid">
        <fgColor theme="1" tint="0.3499"/>
        <bgColor rgb="FF404040"/>
      </patternFill>
    </fill>
    <fill>
      <patternFill patternType="solid">
        <fgColor rgb="FFFADEDE"/>
        <bgColor rgb="FFF3D9D9"/>
      </patternFill>
    </fill>
    <fill>
      <patternFill patternType="solid">
        <fgColor rgb="FF9E1A1A"/>
        <bgColor rgb="FFC00000"/>
      </patternFill>
    </fill>
    <fill>
      <patternFill patternType="solid">
        <fgColor rgb="FFD77B7B"/>
        <bgColor rgb="FFD06666"/>
      </patternFill>
    </fill>
    <fill>
      <patternFill patternType="solid">
        <fgColor rgb="FFDCA4A4"/>
        <bgColor rgb="FFCDAB89"/>
      </patternFill>
    </fill>
    <fill>
      <patternFill patternType="solid">
        <fgColor rgb="FFF3D9D9"/>
        <bgColor rgb="FFFADEDE"/>
      </patternFill>
    </fill>
    <fill>
      <patternFill patternType="solid">
        <fgColor rgb="FFD06666"/>
        <bgColor rgb="FFD77B7B"/>
      </patternFill>
    </fill>
    <fill>
      <patternFill patternType="solid">
        <fgColor rgb="FFC00000"/>
        <bgColor rgb="FF9E1A1A"/>
      </patternFill>
    </fill>
    <fill>
      <patternFill patternType="solid">
        <fgColor rgb="FFF7F8E8"/>
        <bgColor rgb="FFFCFAF2"/>
      </patternFill>
    </fill>
    <fill>
      <patternFill patternType="solid">
        <fgColor theme="5" tint="-0.25"/>
        <bgColor rgb="FFD06666"/>
      </patternFill>
    </fill>
    <fill>
      <patternFill patternType="solid">
        <fgColor theme="5" tint="0.3999"/>
        <bgColor rgb="FFDCA4A4"/>
      </patternFill>
    </fill>
    <fill>
      <patternFill patternType="solid">
        <fgColor theme="5" tint="0.7999"/>
        <bgColor rgb="FFFADEDE"/>
      </patternFill>
    </fill>
    <fill>
      <patternFill patternType="solid">
        <fgColor rgb="FFFCFAF2"/>
        <bgColor rgb="FFF7F8E8"/>
      </patternFill>
    </fill>
    <fill>
      <patternFill patternType="solid">
        <fgColor rgb="FFCDAB89"/>
        <bgColor rgb="FFDCA4A4"/>
      </patternFill>
    </fill>
    <fill>
      <patternFill patternType="solid">
        <fgColor rgb="FFF0E3CE"/>
        <bgColor rgb="FFEEDEC5"/>
      </patternFill>
    </fill>
    <fill>
      <patternFill patternType="solid">
        <fgColor rgb="FFFFF2D7"/>
        <bgColor rgb="FFF7F8E8"/>
      </patternFill>
    </fill>
    <fill>
      <patternFill patternType="solid">
        <fgColor rgb="FFEEDEC5"/>
        <bgColor rgb="FFF0E3CE"/>
      </patternFill>
    </fill>
    <fill>
      <patternFill patternType="solid">
        <fgColor rgb="FFE1F3EF"/>
        <bgColor rgb="FFDEEBF7"/>
      </patternFill>
    </fill>
    <fill>
      <patternFill patternType="solid">
        <fgColor rgb="FF13A183"/>
        <bgColor rgb="FF399983"/>
      </patternFill>
    </fill>
    <fill>
      <patternFill patternType="solid">
        <fgColor rgb="FF99D7B9"/>
        <bgColor rgb="FFA9D18E"/>
      </patternFill>
    </fill>
    <fill>
      <patternFill patternType="solid">
        <fgColor rgb="FFB4E6DA"/>
        <bgColor rgb="FFBDD7EE"/>
      </patternFill>
    </fill>
    <fill>
      <patternFill patternType="solid">
        <fgColor rgb="FF72C4A7"/>
        <bgColor rgb="FF99D7B9"/>
      </patternFill>
    </fill>
    <fill>
      <patternFill patternType="solid">
        <fgColor rgb="FF399983"/>
        <bgColor rgb="FF13A183"/>
      </patternFill>
    </fill>
    <fill>
      <patternFill patternType="solid">
        <fgColor rgb="FFEFF6EA"/>
        <bgColor rgb="FFF2F2F2"/>
      </patternFill>
    </fill>
    <fill>
      <patternFill patternType="solid">
        <fgColor theme="9" tint="0.3999"/>
        <bgColor rgb="FF99D7B9"/>
      </patternFill>
    </fill>
    <fill>
      <patternFill patternType="solid">
        <fgColor theme="9"/>
        <bgColor rgb="FF72C4A7"/>
      </patternFill>
    </fill>
    <fill>
      <patternFill patternType="solid">
        <fgColor rgb="FFFFEBFF"/>
        <bgColor rgb="FFF2F2F2"/>
      </patternFill>
    </fill>
    <fill>
      <patternFill patternType="solid">
        <fgColor rgb="FFBD299A"/>
        <bgColor rgb="FFD642B4"/>
      </patternFill>
    </fill>
    <fill>
      <patternFill patternType="solid">
        <fgColor rgb="FFF4AEE8"/>
        <bgColor rgb="FFF1BDF1"/>
      </patternFill>
    </fill>
    <fill>
      <patternFill patternType="solid">
        <fgColor rgb="FFFFCCFF"/>
        <bgColor rgb="FFF1BDF1"/>
      </patternFill>
    </fill>
    <fill>
      <patternFill patternType="solid">
        <fgColor rgb="FFF1BDF1"/>
        <bgColor rgb="FFF4AEE8"/>
      </patternFill>
    </fill>
    <fill>
      <patternFill patternType="solid">
        <fgColor rgb="FFD642B4"/>
        <bgColor rgb="FFBD299A"/>
      </patternFill>
    </fill>
    <fill>
      <patternFill patternType="solid">
        <fgColor rgb="FF2F75B5"/>
        <bgColor rgb="FF399983"/>
      </patternFill>
    </fill>
    <fill>
      <patternFill patternType="solid">
        <fgColor rgb="FF9BC2E6"/>
        <bgColor rgb="FF8EA9DB"/>
      </patternFill>
    </fill>
    <fill>
      <patternFill patternType="solid">
        <fgColor rgb="FF8EA9DB"/>
        <bgColor rgb="FF9BC2E6"/>
      </patternFill>
    </fill>
    <fill>
      <patternFill patternType="solid">
        <fgColor theme="9" tint="-0.5"/>
        <bgColor rgb="FF375623"/>
      </patternFill>
    </fill>
    <fill>
      <patternFill patternType="solid">
        <fgColor theme="3" tint="0.7999"/>
        <bgColor rgb="FFD9D9D9"/>
      </patternFill>
    </fill>
    <fill>
      <patternFill patternType="solid">
        <fgColor rgb="FFFF0000"/>
        <bgColor rgb="FFC00000"/>
      </patternFill>
    </fill>
  </fills>
  <borders count="7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hair"/>
      <right style="hair"/>
      <top style="medium"/>
      <bottom/>
      <diagonal/>
    </border>
    <border diagonalUp="false" diagonalDown="false">
      <left/>
      <right style="hair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/>
      <top/>
      <bottom/>
      <diagonal/>
    </border>
    <border diagonalUp="false" diagonalDown="false">
      <left style="dotted"/>
      <right style="dotted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hair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hair"/>
      <top/>
      <bottom style="medium"/>
      <diagonal/>
    </border>
    <border diagonalUp="false" diagonalDown="false">
      <left style="hair"/>
      <right style="hair"/>
      <top/>
      <bottom style="medium"/>
      <diagonal/>
    </border>
    <border diagonalUp="false" diagonalDown="false">
      <left/>
      <right style="hair"/>
      <top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dotted"/>
      <right style="medium"/>
      <top/>
      <bottom/>
      <diagonal/>
    </border>
    <border diagonalUp="false" diagonalDown="false">
      <left style="dotted"/>
      <right/>
      <top/>
      <bottom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hair"/>
      <top style="medium"/>
      <bottom/>
      <diagonal/>
    </border>
    <border diagonalUp="false" diagonalDown="false">
      <left style="thick"/>
      <right style="hair"/>
      <top/>
      <bottom/>
      <diagonal/>
    </border>
    <border diagonalUp="false" diagonalDown="false">
      <left style="hair"/>
      <right style="medium"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hair"/>
      <top style="medium"/>
      <bottom style="medium"/>
      <diagonal/>
    </border>
    <border diagonalUp="false" diagonalDown="false">
      <left style="hair"/>
      <right style="medium"/>
      <top style="medium"/>
      <bottom/>
      <diagonal/>
    </border>
    <border diagonalUp="false" diagonalDown="false">
      <left style="medium">
        <color theme="9" tint="-0.5"/>
      </left>
      <right/>
      <top style="medium">
        <color theme="9" tint="-0.5"/>
      </top>
      <bottom/>
      <diagonal/>
    </border>
    <border diagonalUp="false" diagonalDown="false">
      <left/>
      <right/>
      <top style="medium">
        <color theme="9" tint="-0.5"/>
      </top>
      <bottom/>
      <diagonal/>
    </border>
    <border diagonalUp="false" diagonalDown="false">
      <left/>
      <right style="medium">
        <color theme="9" tint="-0.5"/>
      </right>
      <top style="medium">
        <color theme="9" tint="-0.5"/>
      </top>
      <bottom/>
      <diagonal/>
    </border>
    <border diagonalUp="false" diagonalDown="false">
      <left style="medium">
        <color theme="9" tint="-0.5"/>
      </left>
      <right/>
      <top style="medium">
        <color theme="9" tint="-0.5"/>
      </top>
      <bottom style="dotted">
        <color theme="9" tint="-0.5"/>
      </bottom>
      <diagonal/>
    </border>
    <border diagonalUp="false" diagonalDown="false">
      <left style="medium">
        <color theme="9" tint="-0.5"/>
      </left>
      <right style="medium">
        <color theme="9" tint="-0.5"/>
      </right>
      <top style="medium">
        <color theme="9" tint="-0.5"/>
      </top>
      <bottom/>
      <diagonal/>
    </border>
    <border diagonalUp="false" diagonalDown="false">
      <left style="medium">
        <color theme="9" tint="-0.5"/>
      </left>
      <right/>
      <top style="dotted">
        <color theme="9" tint="-0.5"/>
      </top>
      <bottom style="dotted">
        <color theme="9" tint="-0.5"/>
      </bottom>
      <diagonal/>
    </border>
    <border diagonalUp="false" diagonalDown="false">
      <left style="medium">
        <color theme="9" tint="-0.5"/>
      </left>
      <right/>
      <top/>
      <bottom style="dotted">
        <color theme="9" tint="-0.5"/>
      </bottom>
      <diagonal/>
    </border>
    <border diagonalUp="false" diagonalDown="false">
      <left style="medium">
        <color theme="9" tint="-0.5"/>
      </left>
      <right style="medium">
        <color theme="9" tint="-0.5"/>
      </right>
      <top/>
      <bottom/>
      <diagonal/>
    </border>
    <border diagonalUp="false" diagonalDown="false">
      <left style="medium">
        <color theme="9" tint="-0.5"/>
      </left>
      <right style="medium">
        <color theme="9" tint="-0.5"/>
      </right>
      <top style="dotted">
        <color theme="9" tint="-0.5"/>
      </top>
      <bottom style="dotted">
        <color theme="9" tint="-0.5"/>
      </bottom>
      <diagonal/>
    </border>
    <border diagonalUp="false" diagonalDown="false">
      <left/>
      <right style="medium">
        <color theme="9" tint="-0.5"/>
      </right>
      <top/>
      <bottom/>
      <diagonal/>
    </border>
    <border diagonalUp="false" diagonalDown="false">
      <left style="medium">
        <color theme="9" tint="-0.5"/>
      </left>
      <right style="medium">
        <color theme="9" tint="-0.5"/>
      </right>
      <top/>
      <bottom style="dotted">
        <color theme="9" tint="-0.5"/>
      </bottom>
      <diagonal/>
    </border>
    <border diagonalUp="false" diagonalDown="false">
      <left/>
      <right style="medium">
        <color theme="9" tint="-0.5"/>
      </right>
      <top/>
      <bottom style="medium">
        <color theme="9" tint="-0.5"/>
      </bottom>
      <diagonal/>
    </border>
    <border diagonalUp="false" diagonalDown="false">
      <left style="medium">
        <color theme="9" tint="-0.5"/>
      </left>
      <right style="medium">
        <color theme="9" tint="-0.5"/>
      </right>
      <top style="medium">
        <color theme="9" tint="-0.5"/>
      </top>
      <bottom style="dotted">
        <color theme="9" tint="-0.5"/>
      </bottom>
      <diagonal/>
    </border>
    <border diagonalUp="false" diagonalDown="false">
      <left style="medium">
        <color theme="9" tint="-0.5"/>
      </left>
      <right/>
      <top style="dotted">
        <color theme="9" tint="-0.5"/>
      </top>
      <bottom/>
      <diagonal/>
    </border>
    <border diagonalUp="false" diagonalDown="false">
      <left style="medium">
        <color theme="9" tint="-0.5"/>
      </left>
      <right style="medium">
        <color theme="9" tint="-0.5"/>
      </right>
      <top style="dotted">
        <color theme="9" tint="-0.5"/>
      </top>
      <bottom/>
      <diagonal/>
    </border>
    <border diagonalUp="false" diagonalDown="false">
      <left style="medium">
        <color theme="9" tint="-0.5"/>
      </left>
      <right/>
      <top style="dotted">
        <color theme="9" tint="-0.5"/>
      </top>
      <bottom style="medium">
        <color theme="9" tint="-0.5"/>
      </bottom>
      <diagonal/>
    </border>
    <border diagonalUp="false" diagonalDown="false">
      <left style="medium">
        <color theme="9" tint="-0.5"/>
      </left>
      <right style="medium">
        <color theme="9" tint="-0.5"/>
      </right>
      <top style="dotted">
        <color theme="9" tint="-0.5"/>
      </top>
      <bottom style="medium">
        <color theme="9" tint="-0.5"/>
      </bottom>
      <diagonal/>
    </border>
    <border diagonalUp="false" diagonalDown="false">
      <left style="dotted">
        <color theme="9" tint="-0.5"/>
      </left>
      <right style="dotted">
        <color theme="9" tint="-0.5"/>
      </right>
      <top style="dotted">
        <color theme="9" tint="-0.5"/>
      </top>
      <bottom style="dotted">
        <color theme="9" tint="-0.5"/>
      </bottom>
      <diagonal/>
    </border>
    <border diagonalUp="false" diagonalDown="false">
      <left style="medium">
        <color theme="9" tint="-0.5"/>
      </left>
      <right style="medium">
        <color theme="9" tint="-0.5"/>
      </right>
      <top/>
      <bottom style="medium">
        <color theme="9" tint="-0.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7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4" fillId="6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6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5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6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7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7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6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6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6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1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1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9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9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9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9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9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1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4" fillId="9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9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9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1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9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4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9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9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9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9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9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3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9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" fillId="9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9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9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6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16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8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8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16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19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9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9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9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9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8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2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9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9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9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2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6" fillId="2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6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4" fillId="19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19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1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9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19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9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21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1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1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1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1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19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1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19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1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19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19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9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9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9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2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2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19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1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9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19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8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8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9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9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19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19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19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2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2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2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3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3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5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5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2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5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5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2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2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2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2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3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4" fillId="2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2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2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2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4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4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5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5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22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5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2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2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2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2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23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2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2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2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" fillId="22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5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2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2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2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2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7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2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7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7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7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2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9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9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9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3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2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6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3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0" fillId="2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3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7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4" fillId="26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26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2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2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8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8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8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2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27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7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6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26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7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6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2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2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2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8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7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7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9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6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2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3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3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26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2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6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29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" fillId="26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9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6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6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26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2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3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3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3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3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3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3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3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3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3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2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32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2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31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31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31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31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31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3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1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1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1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3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0" fillId="3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6" fillId="35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2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4" fillId="31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1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31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31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1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31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1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3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3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3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3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6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31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3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31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6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31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31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31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31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3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6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31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31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1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1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3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35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31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31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1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3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1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" fillId="31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4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1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1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31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31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3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3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3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3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3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38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6" fillId="3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3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3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39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9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3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38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3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9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4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4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4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4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4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1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4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4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4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41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41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1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41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4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1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4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4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4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10" fillId="4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6" fillId="4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1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4" fillId="4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4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4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4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2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2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4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4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3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4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3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4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4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4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4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5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4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" fillId="4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4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" fillId="4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3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4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4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4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4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5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4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7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8" fillId="4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4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4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4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46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0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1" fillId="46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2" fillId="46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4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4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4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46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4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1" fillId="46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9" fillId="47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47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4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9" fillId="4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8" fillId="46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7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7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46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9" fillId="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9" fillId="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39" fillId="8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9" fillId="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4" fillId="7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7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4" fillId="4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9" fillId="8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4" fillId="48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4" fillId="4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46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4" fillId="8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8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48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47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47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4" fillId="4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4" fillId="46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9" fillId="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9" fillId="8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46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4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47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4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4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46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4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9" fillId="8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46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4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4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4" fillId="4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4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8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4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8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4" fillId="7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48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8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8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9" fillId="8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9" fillId="8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4" fillId="8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4" fillId="8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4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7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7" fillId="3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5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4" fillId="3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5" fillId="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5" fillId="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8" fillId="5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4" fillId="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6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4" fillId="7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4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3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50" fillId="6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0" fillId="6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0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0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4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3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0" fillId="6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4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0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4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5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4" fillId="7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4" fillId="7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0" fillId="6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6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5" fillId="6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50" fillId="6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5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6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0" fillId="6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4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5" fillId="6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5" fillId="6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8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3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3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3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5" fillId="6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5" fillId="6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5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5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50" fillId="6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6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6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54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8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6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6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8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5" fillId="6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4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4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49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4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3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4" fillId="3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4" fillId="3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4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5" fillId="3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6" fillId="5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6" fillId="5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3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0" fillId="6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5" fillId="3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6" fillId="6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6" fillId="6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6" fillId="6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6" fillId="6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7" fillId="3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5" fillId="3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6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6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6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5" fillId="3" borderId="4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4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6" fillId="5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0" fillId="6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6" fillId="6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6" fillId="6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9" fillId="6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0" fillId="6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6" fillId="49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6" fillId="49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6" fillId="6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0" fillId="6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8" fillId="49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8" fillId="5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6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6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6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6" borderId="5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6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6" fillId="49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6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2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5" fillId="3" borderId="5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6" fillId="6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4" fillId="4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4" fillId="5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4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4" fillId="0" borderId="5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0" fillId="0" borderId="5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0" fillId="0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4" fillId="3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4" fillId="3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4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4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4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4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4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4" fillId="3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5" borderId="5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5" borderId="5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5" borderId="5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4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0" fillId="0" borderId="6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0" fillId="0" borderId="6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0" fillId="0" borderId="6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5" borderId="5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5" borderId="5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5" borderId="5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0" fillId="4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6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6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6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0" borderId="6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0" borderId="6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6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6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1" borderId="6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1" borderId="6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1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5" borderId="6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5" borderId="6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5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548235"/>
          <bgColor rgb="FF000000"/>
        </patternFill>
      </fill>
    </dxf>
    <dxf>
      <fill>
        <patternFill patternType="solid">
          <fgColor rgb="FFC5E0B4"/>
          <bgColor rgb="FF000000"/>
        </patternFill>
      </fill>
    </dxf>
    <dxf>
      <fill>
        <patternFill patternType="solid">
          <fgColor rgb="FFDEEBF7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ont>
        <b val="1"/>
        <i val="0"/>
        <color rgb="FF000000"/>
      </font>
      <fill>
        <patternFill>
          <bgColor theme="9"/>
        </patternFill>
      </fill>
    </dxf>
  </dxfs>
  <colors>
    <indexedColors>
      <rgbColor rgb="FF000000"/>
      <rgbColor rgb="FFFFFFFF"/>
      <rgbColor rgb="FFFF0000"/>
      <rgbColor rgb="FFD9D9D9"/>
      <rgbColor rgb="FFFFEBFF"/>
      <rgbColor rgb="FFC5E0B4"/>
      <rgbColor rgb="FFF1BDF1"/>
      <rgbColor rgb="FFB4E6DA"/>
      <rgbColor rgb="FFC00000"/>
      <rgbColor rgb="FFF3D9D9"/>
      <rgbColor rgb="FFEFF6EA"/>
      <rgbColor rgb="FF548235"/>
      <rgbColor rgb="FFD06666"/>
      <rgbColor rgb="FF13A183"/>
      <rgbColor rgb="FFA9D18E"/>
      <rgbColor rgb="FF7F7F7F"/>
      <rgbColor rgb="FF8EA9DB"/>
      <rgbColor rgb="FFBD299A"/>
      <rgbColor rgb="FFFFF2D7"/>
      <rgbColor rgb="FFE1F3EF"/>
      <rgbColor rgb="FFFADEDE"/>
      <rgbColor rgb="FFD77B7B"/>
      <rgbColor rgb="FFDEEBF7"/>
      <rgbColor rgb="FFBDD7EE"/>
      <rgbColor rgb="FFFCFAF2"/>
      <rgbColor rgb="FFFFCCFF"/>
      <rgbColor rgb="FFF0E3CE"/>
      <rgbColor rgb="FFD6DCE5"/>
      <rgbColor rgb="FFF4DCEE"/>
      <rgbColor rgb="FFF1EDE3"/>
      <rgbColor rgb="FFCDAB89"/>
      <rgbColor rgb="FFF2F2F2"/>
      <rgbColor rgb="FF99D7B9"/>
      <rgbColor rgb="FFDDEBF7"/>
      <rgbColor rgb="FFE2F0D9"/>
      <rgbColor rgb="FFF7F8E8"/>
      <rgbColor rgb="FF9BC2E6"/>
      <rgbColor rgb="FFF4AEE8"/>
      <rgbColor rgb="FFDCA4A4"/>
      <rgbColor rgb="FFEEDEC5"/>
      <rgbColor rgb="FF2F75B5"/>
      <rgbColor rgb="FF72C4A7"/>
      <rgbColor rgb="FF70AD47"/>
      <rgbColor rgb="FFF4B183"/>
      <rgbColor rgb="FFBF9000"/>
      <rgbColor rgb="FFC55A11"/>
      <rgbColor rgb="FF5B5946"/>
      <rgbColor rgb="FFA6A6A6"/>
      <rgbColor rgb="FFFBE5D6"/>
      <rgbColor rgb="FF399983"/>
      <rgbColor rgb="FF385724"/>
      <rgbColor rgb="FF375623"/>
      <rgbColor rgb="FF9E1A1A"/>
      <rgbColor rgb="FFD642B4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88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G6" activeCellId="0" sqref="G6"/>
    </sheetView>
  </sheetViews>
  <sheetFormatPr defaultColWidth="8.859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1"/>
    <col collapsed="false" customWidth="true" hidden="false" outlineLevel="0" max="10" min="3" style="0" width="23.71"/>
    <col collapsed="false" customWidth="true" hidden="false" outlineLevel="0" max="11" min="11" style="0" width="1.86"/>
    <col collapsed="false" customWidth="true" hidden="false" outlineLevel="0" max="12" min="12" style="0" width="33"/>
    <col collapsed="false" customWidth="true" hidden="false" outlineLevel="0" max="14" min="13" style="0" width="23.28"/>
  </cols>
  <sheetData>
    <row r="1" customFormat="false" ht="23.25" hidden="false" customHeight="true" outlineLevel="0" collapsed="false">
      <c r="A1" s="1"/>
      <c r="B1" s="1"/>
      <c r="C1" s="2" t="s">
        <v>0</v>
      </c>
      <c r="D1" s="3"/>
      <c r="E1" s="1"/>
      <c r="F1" s="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23.25" hidden="false" customHeight="true" outlineLevel="0" collapsed="false">
      <c r="A2" s="1"/>
      <c r="B2" s="5"/>
      <c r="C2" s="6" t="s">
        <v>1</v>
      </c>
      <c r="D2" s="7" t="n">
        <f aca="false">J8+J16+J24+J32+J40+E48</f>
        <v>0</v>
      </c>
      <c r="E2" s="8" t="s">
        <v>2</v>
      </c>
      <c r="F2" s="9" t="n">
        <f aca="false">J9+J17+J25+J33+J41+E49</f>
        <v>0</v>
      </c>
      <c r="G2" s="8" t="s">
        <v>3</v>
      </c>
      <c r="H2" s="9" t="n">
        <f aca="false">J10+J18+J26+J34+J42+E50</f>
        <v>0</v>
      </c>
      <c r="I2" s="10"/>
      <c r="J2" s="11" t="s">
        <v>4</v>
      </c>
      <c r="K2" s="12"/>
      <c r="L2" s="1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customFormat="false" ht="23.25" hidden="false" customHeight="true" outlineLevel="0" collapsed="false">
      <c r="A3" s="1"/>
      <c r="B3" s="13" t="s">
        <v>5</v>
      </c>
      <c r="C3" s="14" t="s">
        <v>6</v>
      </c>
      <c r="D3" s="15" t="s">
        <v>7</v>
      </c>
      <c r="E3" s="16" t="s">
        <v>8</v>
      </c>
      <c r="F3" s="17" t="s">
        <v>9</v>
      </c>
      <c r="G3" s="15" t="s">
        <v>10</v>
      </c>
      <c r="H3" s="15" t="s">
        <v>11</v>
      </c>
      <c r="I3" s="18" t="s">
        <v>12</v>
      </c>
      <c r="J3" s="11" t="s">
        <v>13</v>
      </c>
      <c r="K3" s="19"/>
      <c r="L3" s="1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customFormat="false" ht="23.25" hidden="false" customHeight="true" outlineLevel="0" collapsed="false">
      <c r="A4" s="1"/>
      <c r="B4" s="20" t="s">
        <v>14</v>
      </c>
      <c r="C4" s="21"/>
      <c r="D4" s="21"/>
      <c r="E4" s="21"/>
      <c r="F4" s="21"/>
      <c r="G4" s="21"/>
      <c r="H4" s="22"/>
      <c r="I4" s="23"/>
      <c r="J4" s="11" t="s">
        <v>15</v>
      </c>
      <c r="K4" s="19"/>
      <c r="L4" s="2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customFormat="false" ht="23.25" hidden="false" customHeight="true" outlineLevel="0" collapsed="false">
      <c r="A5" s="1"/>
      <c r="B5" s="25" t="s">
        <v>16</v>
      </c>
      <c r="C5" s="26"/>
      <c r="D5" s="27"/>
      <c r="E5" s="28"/>
      <c r="F5" s="27"/>
      <c r="G5" s="27"/>
      <c r="H5" s="27"/>
      <c r="I5" s="29"/>
      <c r="J5" s="11" t="s">
        <v>17</v>
      </c>
      <c r="K5" s="19"/>
      <c r="L5" s="30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customFormat="false" ht="23.25" hidden="false" customHeight="true" outlineLevel="0" collapsed="false">
      <c r="A6" s="1"/>
      <c r="B6" s="31" t="s">
        <v>18</v>
      </c>
      <c r="C6" s="32"/>
      <c r="D6" s="32"/>
      <c r="E6" s="33"/>
      <c r="F6" s="33"/>
      <c r="G6" s="34"/>
      <c r="H6" s="35"/>
      <c r="I6" s="36"/>
      <c r="J6" s="37"/>
      <c r="K6" s="19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customFormat="false" ht="23.25" hidden="false" customHeight="true" outlineLevel="0" collapsed="false">
      <c r="A7" s="1"/>
      <c r="B7" s="25" t="s">
        <v>19</v>
      </c>
      <c r="C7" s="38"/>
      <c r="D7" s="39"/>
      <c r="E7" s="40"/>
      <c r="F7" s="39"/>
      <c r="G7" s="39"/>
      <c r="H7" s="39"/>
      <c r="I7" s="41"/>
      <c r="J7" s="42" t="s">
        <v>20</v>
      </c>
      <c r="K7" s="19"/>
      <c r="L7" s="4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customFormat="false" ht="23.25" hidden="false" customHeight="true" outlineLevel="0" collapsed="false">
      <c r="A8" s="1"/>
      <c r="B8" s="20" t="s">
        <v>21</v>
      </c>
      <c r="C8" s="44"/>
      <c r="D8" s="45"/>
      <c r="E8" s="46"/>
      <c r="F8" s="45"/>
      <c r="G8" s="45"/>
      <c r="H8" s="45"/>
      <c r="I8" s="47"/>
      <c r="J8" s="48" t="n">
        <f aca="false" t="array" ref="J8:J8">SUM(IF(ISNUMBER(C8:I8), C8:I8, 0))</f>
        <v>0</v>
      </c>
      <c r="K8" s="19"/>
      <c r="L8" s="49" t="s">
        <v>22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customFormat="false" ht="23.25" hidden="false" customHeight="true" outlineLevel="0" collapsed="false">
      <c r="A9" s="1"/>
      <c r="B9" s="20" t="s">
        <v>23</v>
      </c>
      <c r="C9" s="44"/>
      <c r="D9" s="45"/>
      <c r="E9" s="46"/>
      <c r="F9" s="45"/>
      <c r="G9" s="45"/>
      <c r="H9" s="45"/>
      <c r="I9" s="47"/>
      <c r="J9" s="48" t="n">
        <f aca="false" t="array" ref="J9:J9">SUM(IF(ISNUMBER(B9:I9), B9:I9, 0))</f>
        <v>0</v>
      </c>
      <c r="K9" s="19"/>
      <c r="L9" s="49" t="s">
        <v>24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customFormat="false" ht="23.25" hidden="false" customHeight="true" outlineLevel="0" collapsed="false">
      <c r="A10" s="1"/>
      <c r="B10" s="20" t="s">
        <v>25</v>
      </c>
      <c r="C10" s="44"/>
      <c r="D10" s="45"/>
      <c r="E10" s="46"/>
      <c r="F10" s="45"/>
      <c r="G10" s="45"/>
      <c r="H10" s="45"/>
      <c r="I10" s="50"/>
      <c r="J10" s="51" t="n">
        <f aca="false" t="array" ref="J10:J10">SUM(IF(ISNUMBER(B10:I10), B10:I10, 0))</f>
        <v>0</v>
      </c>
      <c r="K10" s="19"/>
      <c r="L10" s="49" t="s">
        <v>26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customFormat="false" ht="23.25" hidden="false" customHeight="true" outlineLevel="0" collapsed="false">
      <c r="A11" s="1"/>
      <c r="B11" s="52" t="s">
        <v>27</v>
      </c>
      <c r="C11" s="53"/>
      <c r="D11" s="54"/>
      <c r="E11" s="55"/>
      <c r="F11" s="56"/>
      <c r="G11" s="57"/>
      <c r="H11" s="58"/>
      <c r="I11" s="59"/>
      <c r="J11" s="51"/>
      <c r="K11" s="19"/>
      <c r="L11" s="49" t="s">
        <v>28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customFormat="false" ht="23.25" hidden="false" customHeight="true" outlineLevel="0" collapsed="false">
      <c r="A12" s="1"/>
      <c r="B12" s="1" t="s">
        <v>4</v>
      </c>
      <c r="C12" s="60"/>
      <c r="D12" s="60"/>
      <c r="E12" s="60"/>
      <c r="F12" s="61"/>
      <c r="G12" s="62"/>
      <c r="H12" s="63"/>
      <c r="I12" s="23"/>
      <c r="J12" s="64"/>
      <c r="K12" s="19"/>
      <c r="L12" s="65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customFormat="false" ht="23.25" hidden="false" customHeight="true" outlineLevel="0" collapsed="false">
      <c r="A13" s="1"/>
      <c r="B13" s="1"/>
      <c r="C13" s="26"/>
      <c r="D13" s="27"/>
      <c r="E13" s="28"/>
      <c r="F13" s="27"/>
      <c r="G13" s="39"/>
      <c r="H13" s="66"/>
      <c r="I13" s="67"/>
      <c r="J13" s="64"/>
      <c r="K13" s="19"/>
      <c r="L13" s="6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customFormat="false" ht="23.25" hidden="false" customHeight="true" outlineLevel="0" collapsed="false">
      <c r="A14" s="1"/>
      <c r="B14" s="1"/>
      <c r="C14" s="68"/>
      <c r="D14" s="35"/>
      <c r="E14" s="32"/>
      <c r="F14" s="33"/>
      <c r="G14" s="33"/>
      <c r="H14" s="69"/>
      <c r="I14" s="70"/>
      <c r="J14" s="19"/>
      <c r="K14" s="19"/>
      <c r="L14" s="6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customFormat="false" ht="23.25" hidden="false" customHeight="true" outlineLevel="0" collapsed="false">
      <c r="A15" s="1"/>
      <c r="B15" s="1"/>
      <c r="C15" s="38"/>
      <c r="D15" s="39"/>
      <c r="E15" s="39"/>
      <c r="F15" s="39"/>
      <c r="G15" s="39"/>
      <c r="H15" s="66"/>
      <c r="I15" s="71"/>
      <c r="J15" s="42" t="s">
        <v>29</v>
      </c>
      <c r="K15" s="19"/>
      <c r="L15" s="6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customFormat="false" ht="23.25" hidden="false" customHeight="true" outlineLevel="0" collapsed="false">
      <c r="A16" s="1"/>
      <c r="B16" s="1"/>
      <c r="C16" s="44"/>
      <c r="D16" s="45"/>
      <c r="E16" s="45"/>
      <c r="F16" s="45"/>
      <c r="G16" s="45"/>
      <c r="H16" s="45"/>
      <c r="I16" s="47"/>
      <c r="J16" s="48" t="n">
        <f aca="false" t="array" ref="J16:J16">SUM(IF(ISNUMBER(B16:I16), B16:I16, 0))</f>
        <v>0</v>
      </c>
      <c r="K16" s="19"/>
      <c r="L16" s="72" t="s">
        <v>22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customFormat="false" ht="23.25" hidden="false" customHeight="true" outlineLevel="0" collapsed="false">
      <c r="A17" s="1"/>
      <c r="B17" s="1"/>
      <c r="C17" s="44"/>
      <c r="D17" s="45"/>
      <c r="E17" s="45"/>
      <c r="F17" s="45"/>
      <c r="G17" s="45"/>
      <c r="H17" s="45"/>
      <c r="I17" s="47"/>
      <c r="J17" s="48" t="n">
        <f aca="false" t="array" ref="J17:J17">SUM(IF(ISNUMBER(B17:I17), B17:I17, 0))</f>
        <v>0</v>
      </c>
      <c r="K17" s="19"/>
      <c r="L17" s="72" t="s">
        <v>24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customFormat="false" ht="23.25" hidden="false" customHeight="true" outlineLevel="0" collapsed="false">
      <c r="A18" s="1"/>
      <c r="B18" s="1"/>
      <c r="C18" s="44"/>
      <c r="D18" s="45"/>
      <c r="E18" s="45"/>
      <c r="F18" s="45"/>
      <c r="G18" s="45"/>
      <c r="H18" s="45"/>
      <c r="I18" s="47"/>
      <c r="J18" s="51" t="n">
        <f aca="false" t="array" ref="J18:J18">SUM(IF(ISNUMBER(B18:I18), B18:I18, 0))</f>
        <v>0</v>
      </c>
      <c r="K18" s="19"/>
      <c r="L18" s="72" t="s">
        <v>26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customFormat="false" ht="23.25" hidden="false" customHeight="true" outlineLevel="0" collapsed="false">
      <c r="A19" s="1"/>
      <c r="B19" s="1"/>
      <c r="C19" s="73"/>
      <c r="D19" s="74"/>
      <c r="E19" s="54"/>
      <c r="F19" s="57"/>
      <c r="G19" s="75"/>
      <c r="H19" s="76"/>
      <c r="I19" s="59"/>
      <c r="J19" s="51"/>
      <c r="K19" s="19"/>
      <c r="L19" s="49" t="s">
        <v>28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customFormat="false" ht="23.25" hidden="false" customHeight="true" outlineLevel="0" collapsed="false">
      <c r="A20" s="1"/>
      <c r="B20" s="1"/>
      <c r="C20" s="77"/>
      <c r="D20" s="77"/>
      <c r="E20" s="78"/>
      <c r="F20" s="23"/>
      <c r="G20" s="23"/>
      <c r="H20" s="23"/>
      <c r="I20" s="23"/>
      <c r="J20" s="64"/>
      <c r="K20" s="19"/>
      <c r="L20" s="65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customFormat="false" ht="23.25" hidden="false" customHeight="true" outlineLevel="0" collapsed="false">
      <c r="A21" s="1"/>
      <c r="B21" s="1"/>
      <c r="C21" s="38"/>
      <c r="D21" s="39"/>
      <c r="E21" s="39"/>
      <c r="F21" s="39"/>
      <c r="G21" s="39"/>
      <c r="H21" s="39"/>
      <c r="I21" s="79"/>
      <c r="J21" s="64"/>
      <c r="K21" s="19"/>
      <c r="L21" s="65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customFormat="false" ht="23.25" hidden="false" customHeight="true" outlineLevel="0" collapsed="false">
      <c r="A22" s="1"/>
      <c r="B22" s="1"/>
      <c r="C22" s="80"/>
      <c r="D22" s="33"/>
      <c r="E22" s="33"/>
      <c r="F22" s="33"/>
      <c r="G22" s="34"/>
      <c r="H22" s="35"/>
      <c r="I22" s="36"/>
      <c r="J22" s="19"/>
      <c r="K22" s="19"/>
      <c r="L22" s="65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customFormat="false" ht="23.25" hidden="false" customHeight="true" outlineLevel="0" collapsed="false">
      <c r="A23" s="1"/>
      <c r="B23" s="1"/>
      <c r="C23" s="38"/>
      <c r="D23" s="39"/>
      <c r="E23" s="39"/>
      <c r="F23" s="39"/>
      <c r="G23" s="39"/>
      <c r="H23" s="39"/>
      <c r="I23" s="79"/>
      <c r="J23" s="81" t="s">
        <v>30</v>
      </c>
      <c r="K23" s="19"/>
      <c r="L23" s="65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customFormat="false" ht="23.25" hidden="false" customHeight="true" outlineLevel="0" collapsed="false">
      <c r="A24" s="1"/>
      <c r="B24" s="1"/>
      <c r="C24" s="44"/>
      <c r="D24" s="82"/>
      <c r="E24" s="45"/>
      <c r="F24" s="45"/>
      <c r="G24" s="45"/>
      <c r="H24" s="83"/>
      <c r="I24" s="84"/>
      <c r="J24" s="85" t="n">
        <f aca="false" t="array" ref="J24:J24">SUM(IF(ISNUMBER(B24:I24), B24:I24, 0))</f>
        <v>0</v>
      </c>
      <c r="K24" s="19"/>
      <c r="L24" s="72" t="s">
        <v>22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customFormat="false" ht="23.25" hidden="false" customHeight="true" outlineLevel="0" collapsed="false">
      <c r="A25" s="1"/>
      <c r="B25" s="1"/>
      <c r="C25" s="44"/>
      <c r="D25" s="82"/>
      <c r="E25" s="45"/>
      <c r="F25" s="45"/>
      <c r="G25" s="45"/>
      <c r="H25" s="83"/>
      <c r="I25" s="84"/>
      <c r="J25" s="85" t="n">
        <f aca="false" t="array" ref="J25:J25">SUM(IF(ISNUMBER(B25:I25), B25:I25, 0))</f>
        <v>0</v>
      </c>
      <c r="K25" s="19"/>
      <c r="L25" s="72" t="s">
        <v>24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customFormat="false" ht="23.25" hidden="false" customHeight="true" outlineLevel="0" collapsed="false">
      <c r="A26" s="1"/>
      <c r="B26" s="1"/>
      <c r="C26" s="44"/>
      <c r="D26" s="83"/>
      <c r="E26" s="83"/>
      <c r="F26" s="83"/>
      <c r="G26" s="83"/>
      <c r="H26" s="83"/>
      <c r="I26" s="84"/>
      <c r="J26" s="86" t="n">
        <f aca="false" t="array" ref="J26:J26">SUM(IF(ISNUMBER(B26:I26), B26:I26, 0))</f>
        <v>0</v>
      </c>
      <c r="K26" s="19"/>
      <c r="L26" s="72" t="s">
        <v>26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customFormat="false" ht="23.25" hidden="false" customHeight="true" outlineLevel="0" collapsed="false">
      <c r="A27" s="1"/>
      <c r="B27" s="1"/>
      <c r="C27" s="87"/>
      <c r="D27" s="54"/>
      <c r="E27" s="54"/>
      <c r="F27" s="88"/>
      <c r="G27" s="54"/>
      <c r="H27" s="54"/>
      <c r="I27" s="89"/>
      <c r="J27" s="51"/>
      <c r="K27" s="19"/>
      <c r="L27" s="49" t="s">
        <v>28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customFormat="false" ht="23.25" hidden="false" customHeight="true" outlineLevel="0" collapsed="false">
      <c r="A28" s="1"/>
      <c r="B28" s="1"/>
      <c r="C28" s="60"/>
      <c r="D28" s="60"/>
      <c r="E28" s="60"/>
      <c r="F28" s="60"/>
      <c r="G28" s="60"/>
      <c r="H28" s="60"/>
      <c r="I28" s="60"/>
      <c r="J28" s="90"/>
      <c r="K28" s="19"/>
      <c r="L28" s="65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customFormat="false" ht="23.25" hidden="false" customHeight="true" outlineLevel="0" collapsed="false">
      <c r="A29" s="1"/>
      <c r="B29" s="1"/>
      <c r="C29" s="26"/>
      <c r="D29" s="27"/>
      <c r="E29" s="28"/>
      <c r="F29" s="27"/>
      <c r="G29" s="27"/>
      <c r="H29" s="27"/>
      <c r="I29" s="29"/>
      <c r="J29" s="64"/>
      <c r="K29" s="19"/>
      <c r="L29" s="65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customFormat="false" ht="23.25" hidden="false" customHeight="true" outlineLevel="0" collapsed="false">
      <c r="A30" s="1"/>
      <c r="B30" s="1"/>
      <c r="C30" s="80"/>
      <c r="D30" s="33"/>
      <c r="E30" s="33"/>
      <c r="F30" s="33"/>
      <c r="G30" s="33"/>
      <c r="H30" s="33"/>
      <c r="I30" s="36"/>
      <c r="J30" s="19"/>
      <c r="K30" s="19"/>
      <c r="L30" s="65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customFormat="false" ht="23.25" hidden="false" customHeight="true" outlineLevel="0" collapsed="false">
      <c r="A31" s="1"/>
      <c r="B31" s="1"/>
      <c r="C31" s="38"/>
      <c r="D31" s="39"/>
      <c r="E31" s="39"/>
      <c r="F31" s="39"/>
      <c r="G31" s="39"/>
      <c r="H31" s="39"/>
      <c r="I31" s="79"/>
      <c r="J31" s="81" t="s">
        <v>31</v>
      </c>
      <c r="K31" s="19"/>
      <c r="L31" s="65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customFormat="false" ht="23.25" hidden="false" customHeight="true" outlineLevel="0" collapsed="false">
      <c r="A32" s="1"/>
      <c r="B32" s="1"/>
      <c r="C32" s="44"/>
      <c r="D32" s="45"/>
      <c r="E32" s="45"/>
      <c r="F32" s="45"/>
      <c r="G32" s="45"/>
      <c r="H32" s="45"/>
      <c r="I32" s="91"/>
      <c r="J32" s="85" t="n">
        <f aca="false" t="array" ref="J32:J32">SUM(IF(ISNUMBER(B32:I32), B32:I32, 0))</f>
        <v>0</v>
      </c>
      <c r="K32" s="19"/>
      <c r="L32" s="72" t="s">
        <v>22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customFormat="false" ht="23.25" hidden="false" customHeight="true" outlineLevel="0" collapsed="false">
      <c r="A33" s="1"/>
      <c r="B33" s="1"/>
      <c r="C33" s="44"/>
      <c r="D33" s="45"/>
      <c r="E33" s="45"/>
      <c r="F33" s="45"/>
      <c r="G33" s="47"/>
      <c r="H33" s="45"/>
      <c r="I33" s="91"/>
      <c r="J33" s="85" t="n">
        <f aca="false" t="array" ref="J33:J33">SUM(IF(ISNUMBER(B33:I33), B33:I33, 0))</f>
        <v>0</v>
      </c>
      <c r="K33" s="19"/>
      <c r="L33" s="72" t="s">
        <v>24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customFormat="false" ht="23.25" hidden="false" customHeight="true" outlineLevel="0" collapsed="false">
      <c r="A34" s="1"/>
      <c r="B34" s="1"/>
      <c r="C34" s="44"/>
      <c r="D34" s="45"/>
      <c r="E34" s="45"/>
      <c r="F34" s="45"/>
      <c r="G34" s="92"/>
      <c r="H34" s="45"/>
      <c r="I34" s="91"/>
      <c r="J34" s="86" t="n">
        <f aca="false" t="array" ref="J34:J34">SUM(IF(ISNUMBER(B34:I34), B34:I34, 0))</f>
        <v>0</v>
      </c>
      <c r="K34" s="19"/>
      <c r="L34" s="72" t="s">
        <v>26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customFormat="false" ht="23.25" hidden="false" customHeight="true" outlineLevel="0" collapsed="false">
      <c r="A35" s="1"/>
      <c r="B35" s="1"/>
      <c r="C35" s="73"/>
      <c r="D35" s="54"/>
      <c r="E35" s="54"/>
      <c r="F35" s="54"/>
      <c r="G35" s="54"/>
      <c r="H35" s="54"/>
      <c r="I35" s="93"/>
      <c r="J35" s="51"/>
      <c r="K35" s="19"/>
      <c r="L35" s="49" t="s">
        <v>28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customFormat="false" ht="23.25" hidden="false" customHeight="true" outlineLevel="0" collapsed="false">
      <c r="A36" s="1"/>
      <c r="B36" s="1"/>
      <c r="C36" s="60"/>
      <c r="D36" s="60"/>
      <c r="E36" s="60"/>
      <c r="F36" s="60"/>
      <c r="G36" s="60"/>
      <c r="H36" s="60"/>
      <c r="I36" s="60"/>
      <c r="J36" s="90"/>
      <c r="K36" s="19"/>
      <c r="L36" s="65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customFormat="false" ht="23.25" hidden="false" customHeight="true" outlineLevel="0" collapsed="false">
      <c r="A37" s="1"/>
      <c r="B37" s="1"/>
      <c r="C37" s="94"/>
      <c r="D37" s="95"/>
      <c r="E37" s="95"/>
      <c r="F37" s="95"/>
      <c r="G37" s="95"/>
      <c r="H37" s="95"/>
      <c r="I37" s="29"/>
      <c r="J37" s="64"/>
      <c r="K37" s="19"/>
      <c r="L37" s="65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customFormat="false" ht="23.25" hidden="false" customHeight="true" outlineLevel="0" collapsed="false">
      <c r="A38" s="1"/>
      <c r="B38" s="1"/>
      <c r="C38" s="80"/>
      <c r="D38" s="33"/>
      <c r="E38" s="33"/>
      <c r="F38" s="33"/>
      <c r="G38" s="33"/>
      <c r="H38" s="33"/>
      <c r="I38" s="36"/>
      <c r="J38" s="19"/>
      <c r="K38" s="19"/>
      <c r="L38" s="65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customFormat="false" ht="23.25" hidden="false" customHeight="true" outlineLevel="0" collapsed="false">
      <c r="A39" s="1"/>
      <c r="B39" s="1"/>
      <c r="C39" s="38"/>
      <c r="D39" s="39"/>
      <c r="E39" s="39"/>
      <c r="F39" s="39"/>
      <c r="G39" s="39"/>
      <c r="H39" s="39"/>
      <c r="I39" s="41"/>
      <c r="J39" s="42" t="s">
        <v>32</v>
      </c>
      <c r="K39" s="19"/>
      <c r="L39" s="65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customFormat="false" ht="23.25" hidden="false" customHeight="true" outlineLevel="0" collapsed="false">
      <c r="A40" s="1"/>
      <c r="B40" s="1"/>
      <c r="C40" s="96"/>
      <c r="D40" s="83"/>
      <c r="E40" s="83"/>
      <c r="F40" s="83"/>
      <c r="G40" s="83"/>
      <c r="H40" s="83"/>
      <c r="I40" s="97"/>
      <c r="J40" s="48" t="n">
        <f aca="false" t="array" ref="J40:J40">SUM(IF(ISNUMBER(B40:I40), B40:I40, 0))</f>
        <v>0</v>
      </c>
      <c r="K40" s="19"/>
      <c r="L40" s="72" t="s">
        <v>22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customFormat="false" ht="23.25" hidden="false" customHeight="true" outlineLevel="0" collapsed="false">
      <c r="A41" s="1"/>
      <c r="B41" s="1"/>
      <c r="C41" s="44"/>
      <c r="D41" s="45"/>
      <c r="E41" s="45"/>
      <c r="F41" s="45"/>
      <c r="G41" s="45"/>
      <c r="H41" s="45"/>
      <c r="I41" s="47"/>
      <c r="J41" s="48" t="n">
        <f aca="false" t="array" ref="J41:J41">SUM(IF(ISNUMBER(B41:I41), B41:I41, 0))</f>
        <v>0</v>
      </c>
      <c r="K41" s="19"/>
      <c r="L41" s="72" t="s">
        <v>24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customFormat="false" ht="23.25" hidden="false" customHeight="true" outlineLevel="0" collapsed="false">
      <c r="A42" s="1"/>
      <c r="B42" s="1"/>
      <c r="C42" s="44"/>
      <c r="D42" s="45"/>
      <c r="E42" s="45"/>
      <c r="F42" s="45"/>
      <c r="G42" s="45"/>
      <c r="H42" s="45"/>
      <c r="I42" s="47"/>
      <c r="J42" s="51" t="n">
        <f aca="false" t="array" ref="J42:J42">SUM(IF(ISNUMBER(B42:I42), B42:I42, 0))</f>
        <v>0</v>
      </c>
      <c r="K42" s="19"/>
      <c r="L42" s="72" t="s">
        <v>26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customFormat="false" ht="23.25" hidden="false" customHeight="true" outlineLevel="0" collapsed="false">
      <c r="A43" s="1"/>
      <c r="B43" s="1"/>
      <c r="C43" s="98"/>
      <c r="D43" s="57"/>
      <c r="E43" s="88"/>
      <c r="F43" s="54"/>
      <c r="G43" s="54"/>
      <c r="H43" s="54"/>
      <c r="I43" s="89"/>
      <c r="J43" s="51"/>
      <c r="K43" s="19"/>
      <c r="L43" s="49" t="s">
        <v>28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customFormat="false" ht="23.25" hidden="false" customHeight="true" outlineLevel="0" collapsed="false">
      <c r="A44" s="1"/>
      <c r="B44" s="1"/>
      <c r="C44" s="23"/>
      <c r="D44" s="99"/>
      <c r="E44" s="90"/>
      <c r="F44" s="19"/>
      <c r="G44" s="19"/>
      <c r="H44" s="19"/>
      <c r="I44" s="19"/>
      <c r="J44" s="19"/>
      <c r="K44" s="19"/>
      <c r="L44" s="43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customFormat="false" ht="23.25" hidden="false" customHeight="true" outlineLevel="0" collapsed="false">
      <c r="A45" s="1"/>
      <c r="B45" s="1"/>
      <c r="C45" s="38"/>
      <c r="D45" s="79"/>
      <c r="E45" s="64"/>
      <c r="F45" s="19"/>
      <c r="G45" s="19"/>
      <c r="H45" s="19"/>
      <c r="I45" s="19"/>
      <c r="J45" s="19"/>
      <c r="K45" s="19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customFormat="false" ht="23.25" hidden="false" customHeight="true" outlineLevel="0" collapsed="false">
      <c r="A46" s="1"/>
      <c r="B46" s="1"/>
      <c r="C46" s="100"/>
      <c r="D46" s="101"/>
      <c r="E46" s="19"/>
      <c r="F46" s="19"/>
      <c r="G46" s="19"/>
      <c r="H46" s="19"/>
      <c r="I46" s="19"/>
      <c r="J46" s="19"/>
      <c r="K46" s="19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customFormat="false" ht="23.25" hidden="false" customHeight="true" outlineLevel="0" collapsed="false">
      <c r="A47" s="1"/>
      <c r="B47" s="1"/>
      <c r="C47" s="38"/>
      <c r="D47" s="41"/>
      <c r="E47" s="42" t="s">
        <v>33</v>
      </c>
      <c r="F47" s="102"/>
      <c r="G47" s="19"/>
      <c r="H47" s="19"/>
      <c r="I47" s="19"/>
      <c r="J47" s="19"/>
      <c r="K47" s="19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customFormat="false" ht="23.25" hidden="false" customHeight="true" outlineLevel="0" collapsed="false">
      <c r="A48" s="1"/>
      <c r="B48" s="1"/>
      <c r="C48" s="96"/>
      <c r="D48" s="97"/>
      <c r="E48" s="48" t="n">
        <f aca="false" t="array" ref="E48:E48">SUM(IF(ISNUMBER(B48:D48), B48:D48, 0))</f>
        <v>0</v>
      </c>
      <c r="F48" s="72" t="s">
        <v>34</v>
      </c>
      <c r="G48" s="19"/>
      <c r="H48" s="19"/>
      <c r="I48" s="19"/>
      <c r="J48" s="19"/>
      <c r="K48" s="19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customFormat="false" ht="23.25" hidden="false" customHeight="true" outlineLevel="0" collapsed="false">
      <c r="A49" s="1"/>
      <c r="B49" s="1"/>
      <c r="C49" s="44"/>
      <c r="D49" s="47"/>
      <c r="E49" s="48" t="n">
        <f aca="false" t="array" ref="E49:E49">SUM(IF(ISNUMBER(B49:D49), B49:D49, 0))</f>
        <v>0</v>
      </c>
      <c r="F49" s="72" t="s">
        <v>35</v>
      </c>
      <c r="G49" s="19"/>
      <c r="H49" s="19"/>
      <c r="I49" s="19"/>
      <c r="J49" s="19"/>
      <c r="K49" s="19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customFormat="false" ht="23.25" hidden="false" customHeight="true" outlineLevel="0" collapsed="false">
      <c r="A50" s="1"/>
      <c r="B50" s="1"/>
      <c r="C50" s="44"/>
      <c r="D50" s="47"/>
      <c r="E50" s="51" t="n">
        <f aca="false" t="array" ref="E50:E50">SUM(IF(ISNUMBER(B50:D50), B50:D50, 0))</f>
        <v>0</v>
      </c>
      <c r="F50" s="72" t="s">
        <v>36</v>
      </c>
      <c r="G50" s="19"/>
      <c r="H50" s="19"/>
      <c r="I50" s="19"/>
      <c r="J50" s="19"/>
      <c r="K50" s="19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customFormat="false" ht="23.25" hidden="false" customHeight="true" outlineLevel="0" collapsed="false">
      <c r="A51" s="1"/>
      <c r="B51" s="1"/>
      <c r="C51" s="73"/>
      <c r="D51" s="89"/>
      <c r="E51" s="51"/>
      <c r="F51" s="49" t="s">
        <v>28</v>
      </c>
      <c r="G51" s="19"/>
      <c r="H51" s="19"/>
      <c r="I51" s="19"/>
      <c r="J51" s="19"/>
      <c r="K51" s="19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customFormat="false" ht="23.25" hidden="false" customHeight="true" outlineLevel="0" collapsed="false">
      <c r="A52" s="1"/>
      <c r="B52" s="1"/>
      <c r="C52" s="19"/>
      <c r="D52" s="19"/>
      <c r="E52" s="19"/>
      <c r="F52" s="19"/>
      <c r="G52" s="19"/>
      <c r="H52" s="19"/>
      <c r="I52" s="19"/>
      <c r="J52" s="19"/>
      <c r="K52" s="19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customFormat="false" ht="22.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customFormat="false" ht="16.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customFormat="false" ht="16.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customFormat="false" ht="16.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customFormat="false" ht="16.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customFormat="false" ht="16.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customFormat="false" ht="16.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customFormat="false" ht="16.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customFormat="false" ht="16.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customFormat="false" ht="16.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customFormat="false" ht="16.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customFormat="false" ht="16.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customFormat="false" ht="16.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customFormat="false" ht="16.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customFormat="false" ht="16.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customFormat="false" ht="16.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customFormat="false" ht="16.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customFormat="false" ht="16.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customFormat="false" ht="16.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customFormat="false" ht="16.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customFormat="false" ht="16.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customFormat="false" ht="16.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customFormat="false" ht="16.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customFormat="false" ht="16.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customFormat="false" ht="16.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customFormat="false" ht="16.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customFormat="false" ht="16.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customFormat="false" ht="16.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customFormat="false" ht="16.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customFormat="false" ht="16.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customFormat="false" ht="16.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customFormat="false" ht="16.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customFormat="false" ht="16.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customFormat="false" ht="16.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customFormat="false" ht="16.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customFormat="false" ht="16.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88"/>
  <sheetViews>
    <sheetView showFormulas="false" showGridLines="true" showRowColHeaders="true" showZeros="true" rightToLeft="false" tabSelected="true" showOutlineSymbols="true" defaultGridColor="true" view="normal" topLeftCell="A7" colorId="64" zoomScale="140" zoomScaleNormal="140" zoomScalePageLayoutView="100" workbookViewId="0">
      <selection pane="topLeft" activeCell="D19" activeCellId="0" sqref="D19"/>
    </sheetView>
  </sheetViews>
  <sheetFormatPr defaultColWidth="8.859375" defaultRowHeight="15" zeroHeight="false" outlineLevelRow="0" outlineLevelCol="0"/>
  <cols>
    <col collapsed="false" customWidth="true" hidden="false" outlineLevel="0" max="1" min="1" style="103" width="3"/>
    <col collapsed="false" customWidth="true" hidden="false" outlineLevel="0" max="2" min="2" style="103" width="21"/>
    <col collapsed="false" customWidth="true" hidden="false" outlineLevel="0" max="9" min="3" style="103" width="23.71"/>
    <col collapsed="false" customWidth="true" hidden="false" outlineLevel="0" max="10" min="10" style="103" width="24.43"/>
    <col collapsed="false" customWidth="true" hidden="false" outlineLevel="0" max="11" min="11" style="103" width="1.86"/>
    <col collapsed="false" customWidth="true" hidden="false" outlineLevel="0" max="12" min="12" style="103" width="33"/>
    <col collapsed="false" customWidth="true" hidden="false" outlineLevel="0" max="14" min="13" style="103" width="23.28"/>
    <col collapsed="false" customWidth="false" hidden="false" outlineLevel="0" max="16384" min="15" style="103" width="8.86"/>
  </cols>
  <sheetData>
    <row r="1" customFormat="false" ht="23.25" hidden="false" customHeight="true" outlineLevel="0" collapsed="false">
      <c r="A1" s="104"/>
      <c r="B1" s="104"/>
      <c r="C1" s="105" t="s">
        <v>0</v>
      </c>
      <c r="D1" s="106"/>
      <c r="E1" s="104"/>
      <c r="F1" s="107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</row>
    <row r="2" customFormat="false" ht="23.25" hidden="false" customHeight="true" outlineLevel="0" collapsed="false">
      <c r="A2" s="104"/>
      <c r="B2" s="108" t="s">
        <v>37</v>
      </c>
      <c r="C2" s="109" t="s">
        <v>1</v>
      </c>
      <c r="D2" s="110" t="n">
        <f aca="false">J8+J16+J24+J32+J40+J48</f>
        <v>0</v>
      </c>
      <c r="E2" s="111" t="s">
        <v>2</v>
      </c>
      <c r="F2" s="112" t="n">
        <f aca="false">J9+J17+J25+J33+J41+J49</f>
        <v>0</v>
      </c>
      <c r="G2" s="111" t="s">
        <v>3</v>
      </c>
      <c r="H2" s="112" t="n">
        <f aca="false">J10+J18+J26+J34+J42+J50</f>
        <v>0</v>
      </c>
      <c r="I2" s="113"/>
      <c r="J2" s="114" t="s">
        <v>4</v>
      </c>
      <c r="K2" s="115"/>
      <c r="L2" s="11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</row>
    <row r="3" customFormat="false" ht="23.25" hidden="false" customHeight="true" outlineLevel="0" collapsed="false">
      <c r="A3" s="104"/>
      <c r="B3" s="116" t="s">
        <v>5</v>
      </c>
      <c r="C3" s="117" t="s">
        <v>6</v>
      </c>
      <c r="D3" s="118" t="s">
        <v>7</v>
      </c>
      <c r="E3" s="119" t="s">
        <v>8</v>
      </c>
      <c r="F3" s="120" t="s">
        <v>9</v>
      </c>
      <c r="G3" s="118" t="s">
        <v>10</v>
      </c>
      <c r="H3" s="118" t="s">
        <v>11</v>
      </c>
      <c r="I3" s="121" t="s">
        <v>12</v>
      </c>
      <c r="J3" s="114" t="s">
        <v>13</v>
      </c>
      <c r="K3" s="122"/>
      <c r="L3" s="11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</row>
    <row r="4" customFormat="false" ht="23.25" hidden="false" customHeight="true" outlineLevel="0" collapsed="false">
      <c r="A4" s="104"/>
      <c r="B4" s="123" t="s">
        <v>14</v>
      </c>
      <c r="C4" s="124" t="s">
        <v>4</v>
      </c>
      <c r="D4" s="124" t="s">
        <v>4</v>
      </c>
      <c r="E4" s="124" t="s">
        <v>4</v>
      </c>
      <c r="F4" s="124" t="s">
        <v>4</v>
      </c>
      <c r="G4" s="124" t="s">
        <v>4</v>
      </c>
      <c r="H4" s="125" t="n">
        <v>1</v>
      </c>
      <c r="I4" s="126" t="n">
        <v>2</v>
      </c>
      <c r="J4" s="114" t="s">
        <v>15</v>
      </c>
      <c r="K4" s="122"/>
      <c r="L4" s="127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</row>
    <row r="5" customFormat="false" ht="23.25" hidden="false" customHeight="true" outlineLevel="0" collapsed="false">
      <c r="A5" s="104"/>
      <c r="B5" s="128" t="s">
        <v>16</v>
      </c>
      <c r="C5" s="129"/>
      <c r="D5" s="130"/>
      <c r="E5" s="131"/>
      <c r="F5" s="130"/>
      <c r="G5" s="130"/>
      <c r="H5" s="130" t="s">
        <v>38</v>
      </c>
      <c r="I5" s="132" t="s">
        <v>38</v>
      </c>
      <c r="J5" s="114" t="s">
        <v>17</v>
      </c>
      <c r="K5" s="122"/>
      <c r="L5" s="133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</row>
    <row r="6" customFormat="false" ht="23.25" hidden="false" customHeight="true" outlineLevel="0" collapsed="false">
      <c r="A6" s="104"/>
      <c r="B6" s="134" t="s">
        <v>18</v>
      </c>
      <c r="C6" s="135" t="s">
        <v>4</v>
      </c>
      <c r="D6" s="135" t="s">
        <v>4</v>
      </c>
      <c r="E6" s="136" t="s">
        <v>4</v>
      </c>
      <c r="F6" s="136" t="s">
        <v>4</v>
      </c>
      <c r="G6" s="137" t="s">
        <v>4</v>
      </c>
      <c r="H6" s="138" t="n">
        <v>0.55</v>
      </c>
      <c r="I6" s="139" t="n">
        <v>0.64</v>
      </c>
      <c r="J6" s="140"/>
      <c r="K6" s="122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</row>
    <row r="7" customFormat="false" ht="23.25" hidden="false" customHeight="true" outlineLevel="0" collapsed="false">
      <c r="A7" s="104"/>
      <c r="B7" s="128" t="s">
        <v>19</v>
      </c>
      <c r="C7" s="141"/>
      <c r="D7" s="142"/>
      <c r="E7" s="143"/>
      <c r="F7" s="142"/>
      <c r="G7" s="142"/>
      <c r="H7" s="142" t="s">
        <v>39</v>
      </c>
      <c r="I7" s="144" t="s">
        <v>40</v>
      </c>
      <c r="J7" s="145" t="s">
        <v>20</v>
      </c>
      <c r="K7" s="122"/>
      <c r="L7" s="146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</row>
    <row r="8" customFormat="false" ht="23.25" hidden="false" customHeight="true" outlineLevel="0" collapsed="false">
      <c r="A8" s="104"/>
      <c r="B8" s="123" t="s">
        <v>21</v>
      </c>
      <c r="C8" s="147"/>
      <c r="D8" s="148"/>
      <c r="E8" s="149"/>
      <c r="F8" s="148"/>
      <c r="G8" s="148"/>
      <c r="H8" s="148"/>
      <c r="I8" s="113"/>
      <c r="J8" s="150" t="n">
        <f aca="false" t="array" ref="J8:J8">SUM(IF(ISNUMBER(C8:I8), C8:I8, 0))</f>
        <v>0</v>
      </c>
      <c r="K8" s="122"/>
      <c r="L8" s="151" t="s">
        <v>22</v>
      </c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</row>
    <row r="9" customFormat="false" ht="23.25" hidden="false" customHeight="true" outlineLevel="0" collapsed="false">
      <c r="A9" s="104"/>
      <c r="B9" s="123" t="s">
        <v>23</v>
      </c>
      <c r="C9" s="147"/>
      <c r="D9" s="148"/>
      <c r="E9" s="149"/>
      <c r="F9" s="148"/>
      <c r="G9" s="148"/>
      <c r="H9" s="148"/>
      <c r="I9" s="113"/>
      <c r="J9" s="150" t="n">
        <f aca="false" t="array" ref="J9:J9">SUM(IF(ISNUMBER(B9:I9), B9:I9, 0))</f>
        <v>0</v>
      </c>
      <c r="K9" s="122"/>
      <c r="L9" s="151" t="s">
        <v>24</v>
      </c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</row>
    <row r="10" customFormat="false" ht="23.25" hidden="false" customHeight="true" outlineLevel="0" collapsed="false">
      <c r="A10" s="104"/>
      <c r="B10" s="123" t="s">
        <v>25</v>
      </c>
      <c r="C10" s="147"/>
      <c r="D10" s="148"/>
      <c r="E10" s="149"/>
      <c r="F10" s="148"/>
      <c r="G10" s="148"/>
      <c r="H10" s="148"/>
      <c r="I10" s="152"/>
      <c r="J10" s="153" t="n">
        <f aca="false" t="array" ref="J10:J10">SUM(IF(ISNUMBER(B10:I10), B10:I10, 0))</f>
        <v>0</v>
      </c>
      <c r="K10" s="122"/>
      <c r="L10" s="151" t="s">
        <v>26</v>
      </c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</row>
    <row r="11" customFormat="false" ht="23.25" hidden="false" customHeight="true" outlineLevel="0" collapsed="false">
      <c r="A11" s="104"/>
      <c r="B11" s="154" t="s">
        <v>27</v>
      </c>
      <c r="C11" s="155" t="s">
        <v>4</v>
      </c>
      <c r="D11" s="156" t="s">
        <v>4</v>
      </c>
      <c r="E11" s="157" t="s">
        <v>4</v>
      </c>
      <c r="F11" s="158" t="s">
        <v>4</v>
      </c>
      <c r="G11" s="159" t="s">
        <v>4</v>
      </c>
      <c r="H11" s="160" t="s">
        <v>41</v>
      </c>
      <c r="I11" s="161" t="s">
        <v>42</v>
      </c>
      <c r="J11" s="153"/>
      <c r="K11" s="122"/>
      <c r="L11" s="151" t="s">
        <v>28</v>
      </c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</row>
    <row r="12" customFormat="false" ht="23.25" hidden="false" customHeight="true" outlineLevel="0" collapsed="false">
      <c r="A12" s="104"/>
      <c r="B12" s="104" t="s">
        <v>4</v>
      </c>
      <c r="C12" s="162" t="n">
        <v>3</v>
      </c>
      <c r="D12" s="162" t="n">
        <v>4</v>
      </c>
      <c r="E12" s="162" t="n">
        <v>5</v>
      </c>
      <c r="F12" s="163" t="n">
        <v>6</v>
      </c>
      <c r="G12" s="164" t="n">
        <v>7</v>
      </c>
      <c r="H12" s="165" t="n">
        <v>8</v>
      </c>
      <c r="I12" s="126" t="n">
        <v>9</v>
      </c>
      <c r="J12" s="166"/>
      <c r="K12" s="122"/>
      <c r="L12" s="167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</row>
    <row r="13" customFormat="false" ht="23.25" hidden="false" customHeight="true" outlineLevel="0" collapsed="false">
      <c r="A13" s="104"/>
      <c r="B13" s="104"/>
      <c r="C13" s="129" t="s">
        <v>43</v>
      </c>
      <c r="D13" s="130" t="s">
        <v>44</v>
      </c>
      <c r="E13" s="131" t="s">
        <v>45</v>
      </c>
      <c r="F13" s="168"/>
      <c r="G13" s="169"/>
      <c r="H13" s="170"/>
      <c r="I13" s="171"/>
      <c r="J13" s="166"/>
      <c r="K13" s="122"/>
      <c r="L13" s="167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04"/>
    </row>
    <row r="14" customFormat="false" ht="23.25" hidden="false" customHeight="true" outlineLevel="0" collapsed="false">
      <c r="A14" s="104"/>
      <c r="B14" s="104"/>
      <c r="C14" s="172" t="n">
        <v>0.73</v>
      </c>
      <c r="D14" s="138" t="n">
        <v>0.81</v>
      </c>
      <c r="E14" s="135" t="n">
        <v>0.88</v>
      </c>
      <c r="F14" s="136" t="n">
        <v>0.94</v>
      </c>
      <c r="G14" s="136" t="n">
        <v>0.98</v>
      </c>
      <c r="H14" s="173" t="n">
        <v>1</v>
      </c>
      <c r="I14" s="174" t="n">
        <v>0.99</v>
      </c>
      <c r="J14" s="122"/>
      <c r="K14" s="122"/>
      <c r="L14" s="167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</row>
    <row r="15" customFormat="false" ht="23.25" hidden="false" customHeight="true" outlineLevel="0" collapsed="false">
      <c r="A15" s="104"/>
      <c r="B15" s="104"/>
      <c r="C15" s="141" t="s">
        <v>40</v>
      </c>
      <c r="D15" s="142" t="s">
        <v>39</v>
      </c>
      <c r="E15" s="142" t="s">
        <v>39</v>
      </c>
      <c r="F15" s="169"/>
      <c r="G15" s="169"/>
      <c r="H15" s="170"/>
      <c r="I15" s="175"/>
      <c r="J15" s="145" t="s">
        <v>29</v>
      </c>
      <c r="K15" s="122"/>
      <c r="L15" s="167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</row>
    <row r="16" customFormat="false" ht="23.25" hidden="false" customHeight="true" outlineLevel="0" collapsed="false">
      <c r="A16" s="104"/>
      <c r="B16" s="104"/>
      <c r="C16" s="147"/>
      <c r="D16" s="148"/>
      <c r="E16" s="148"/>
      <c r="F16" s="148"/>
      <c r="G16" s="148"/>
      <c r="H16" s="148"/>
      <c r="I16" s="113"/>
      <c r="J16" s="150" t="n">
        <f aca="false" t="array" ref="J16:J16">SUM(IF(ISNUMBER(B16:I16), B16:I16, 0))</f>
        <v>0</v>
      </c>
      <c r="K16" s="122"/>
      <c r="L16" s="176" t="s">
        <v>22</v>
      </c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</row>
    <row r="17" customFormat="false" ht="23.25" hidden="false" customHeight="true" outlineLevel="0" collapsed="false">
      <c r="A17" s="104"/>
      <c r="B17" s="104"/>
      <c r="C17" s="147"/>
      <c r="D17" s="148"/>
      <c r="E17" s="148"/>
      <c r="F17" s="148"/>
      <c r="G17" s="148"/>
      <c r="H17" s="148"/>
      <c r="I17" s="113"/>
      <c r="J17" s="150" t="n">
        <f aca="false" t="array" ref="J17:J17">SUM(IF(ISNUMBER(B17:I17), B17:I17, 0))</f>
        <v>0</v>
      </c>
      <c r="K17" s="122"/>
      <c r="L17" s="176" t="s">
        <v>24</v>
      </c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</row>
    <row r="18" customFormat="false" ht="23.25" hidden="false" customHeight="true" outlineLevel="0" collapsed="false">
      <c r="A18" s="104"/>
      <c r="B18" s="104"/>
      <c r="C18" s="147"/>
      <c r="D18" s="148"/>
      <c r="E18" s="148"/>
      <c r="F18" s="148"/>
      <c r="G18" s="148"/>
      <c r="H18" s="148"/>
      <c r="I18" s="113"/>
      <c r="J18" s="153" t="n">
        <f aca="false" t="array" ref="J18:J18">SUM(IF(ISNUMBER(B18:I18), B18:I18, 0))</f>
        <v>0</v>
      </c>
      <c r="K18" s="122"/>
      <c r="L18" s="176" t="s">
        <v>26</v>
      </c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</row>
    <row r="19" customFormat="false" ht="23.25" hidden="false" customHeight="true" outlineLevel="0" collapsed="false">
      <c r="A19" s="104"/>
      <c r="B19" s="104"/>
      <c r="C19" s="177" t="s">
        <v>46</v>
      </c>
      <c r="D19" s="178" t="s">
        <v>47</v>
      </c>
      <c r="E19" s="156" t="s">
        <v>48</v>
      </c>
      <c r="F19" s="159" t="s">
        <v>49</v>
      </c>
      <c r="G19" s="179" t="s">
        <v>50</v>
      </c>
      <c r="H19" s="180" t="s">
        <v>51</v>
      </c>
      <c r="I19" s="161" t="s">
        <v>52</v>
      </c>
      <c r="J19" s="153"/>
      <c r="K19" s="122"/>
      <c r="L19" s="151" t="s">
        <v>28</v>
      </c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</row>
    <row r="20" customFormat="false" ht="23.25" hidden="false" customHeight="true" outlineLevel="0" collapsed="false">
      <c r="A20" s="104"/>
      <c r="B20" s="104"/>
      <c r="C20" s="181" t="n">
        <v>10</v>
      </c>
      <c r="D20" s="181" t="n">
        <v>11</v>
      </c>
      <c r="E20" s="182" t="n">
        <v>12</v>
      </c>
      <c r="F20" s="126" t="n">
        <v>13</v>
      </c>
      <c r="G20" s="126" t="n">
        <v>14</v>
      </c>
      <c r="H20" s="126" t="n">
        <v>15</v>
      </c>
      <c r="I20" s="126" t="n">
        <v>16</v>
      </c>
      <c r="J20" s="166"/>
      <c r="K20" s="122"/>
      <c r="L20" s="167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</row>
    <row r="21" customFormat="false" ht="23.25" hidden="false" customHeight="true" outlineLevel="0" collapsed="false">
      <c r="A21" s="104"/>
      <c r="B21" s="104"/>
      <c r="C21" s="183"/>
      <c r="D21" s="184"/>
      <c r="E21" s="142" t="s">
        <v>38</v>
      </c>
      <c r="F21" s="142" t="s">
        <v>45</v>
      </c>
      <c r="G21" s="142" t="s">
        <v>44</v>
      </c>
      <c r="H21" s="142" t="s">
        <v>43</v>
      </c>
      <c r="I21" s="185" t="s">
        <v>53</v>
      </c>
      <c r="J21" s="166"/>
      <c r="K21" s="122"/>
      <c r="L21" s="167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</row>
    <row r="22" customFormat="false" ht="23.25" hidden="false" customHeight="true" outlineLevel="0" collapsed="false">
      <c r="A22" s="104"/>
      <c r="B22" s="104"/>
      <c r="C22" s="186" t="n">
        <v>0.97</v>
      </c>
      <c r="D22" s="136" t="n">
        <v>0.91</v>
      </c>
      <c r="E22" s="136" t="n">
        <v>0.84</v>
      </c>
      <c r="F22" s="136" t="n">
        <v>0.75</v>
      </c>
      <c r="G22" s="137" t="n">
        <v>0.64</v>
      </c>
      <c r="H22" s="138" t="n">
        <v>0.53</v>
      </c>
      <c r="I22" s="139" t="n">
        <v>0.41</v>
      </c>
      <c r="J22" s="122"/>
      <c r="K22" s="122"/>
      <c r="L22" s="167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</row>
    <row r="23" customFormat="false" ht="23.25" hidden="false" customHeight="true" outlineLevel="0" collapsed="false">
      <c r="A23" s="104"/>
      <c r="B23" s="104"/>
      <c r="C23" s="187"/>
      <c r="D23" s="188" t="s">
        <v>54</v>
      </c>
      <c r="E23" s="142" t="s">
        <v>40</v>
      </c>
      <c r="F23" s="142" t="s">
        <v>40</v>
      </c>
      <c r="G23" s="142"/>
      <c r="H23" s="142"/>
      <c r="I23" s="185"/>
      <c r="J23" s="189" t="s">
        <v>30</v>
      </c>
      <c r="K23" s="122"/>
      <c r="L23" s="167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</row>
    <row r="24" customFormat="false" ht="23.25" hidden="false" customHeight="true" outlineLevel="0" collapsed="false">
      <c r="A24" s="104"/>
      <c r="B24" s="104"/>
      <c r="C24" s="147"/>
      <c r="D24" s="190"/>
      <c r="E24" s="148"/>
      <c r="F24" s="148"/>
      <c r="G24" s="148"/>
      <c r="H24" s="191"/>
      <c r="I24" s="192"/>
      <c r="J24" s="193" t="n">
        <f aca="false" t="array" ref="J24:J24">SUM(IF(ISNUMBER(B24:I24), B24:I24, 0))</f>
        <v>0</v>
      </c>
      <c r="K24" s="122"/>
      <c r="L24" s="176" t="s">
        <v>22</v>
      </c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</row>
    <row r="25" customFormat="false" ht="23.25" hidden="false" customHeight="true" outlineLevel="0" collapsed="false">
      <c r="A25" s="104"/>
      <c r="B25" s="104"/>
      <c r="C25" s="147"/>
      <c r="D25" s="190"/>
      <c r="E25" s="148"/>
      <c r="F25" s="148"/>
      <c r="G25" s="148"/>
      <c r="H25" s="191"/>
      <c r="I25" s="192"/>
      <c r="J25" s="193" t="n">
        <f aca="false" t="array" ref="J25:J25">SUM(IF(ISNUMBER(B25:I25), B25:I25, 0))</f>
        <v>0</v>
      </c>
      <c r="K25" s="122"/>
      <c r="L25" s="176" t="s">
        <v>24</v>
      </c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</row>
    <row r="26" customFormat="false" ht="23.25" hidden="false" customHeight="true" outlineLevel="0" collapsed="false">
      <c r="A26" s="104"/>
      <c r="B26" s="104"/>
      <c r="C26" s="147"/>
      <c r="D26" s="191"/>
      <c r="E26" s="191"/>
      <c r="F26" s="191"/>
      <c r="G26" s="191"/>
      <c r="H26" s="191"/>
      <c r="I26" s="192"/>
      <c r="J26" s="194" t="n">
        <f aca="false" t="array" ref="J26:J26">SUM(IF(ISNUMBER(B26:I26), B26:I26, 0))</f>
        <v>0</v>
      </c>
      <c r="K26" s="122"/>
      <c r="L26" s="176" t="s">
        <v>26</v>
      </c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</row>
    <row r="27" customFormat="false" ht="23.25" hidden="false" customHeight="true" outlineLevel="0" collapsed="false">
      <c r="A27" s="104"/>
      <c r="B27" s="104"/>
      <c r="C27" s="195" t="s">
        <v>55</v>
      </c>
      <c r="D27" s="156" t="s">
        <v>56</v>
      </c>
      <c r="E27" s="156" t="s">
        <v>57</v>
      </c>
      <c r="F27" s="196" t="s">
        <v>58</v>
      </c>
      <c r="G27" s="156" t="s">
        <v>59</v>
      </c>
      <c r="H27" s="156" t="s">
        <v>60</v>
      </c>
      <c r="I27" s="197" t="s">
        <v>61</v>
      </c>
      <c r="J27" s="153"/>
      <c r="K27" s="122"/>
      <c r="L27" s="151" t="s">
        <v>28</v>
      </c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</row>
    <row r="28" customFormat="false" ht="23.25" hidden="false" customHeight="true" outlineLevel="0" collapsed="false">
      <c r="A28" s="104"/>
      <c r="B28" s="104"/>
      <c r="C28" s="162" t="n">
        <v>17</v>
      </c>
      <c r="D28" s="162" t="n">
        <v>18</v>
      </c>
      <c r="E28" s="162" t="n">
        <v>19</v>
      </c>
      <c r="F28" s="162" t="n">
        <v>20</v>
      </c>
      <c r="G28" s="162" t="n">
        <v>21</v>
      </c>
      <c r="H28" s="162" t="n">
        <v>22</v>
      </c>
      <c r="I28" s="162" t="n">
        <v>23</v>
      </c>
      <c r="J28" s="198"/>
      <c r="K28" s="122"/>
      <c r="L28" s="167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</row>
    <row r="29" customFormat="false" ht="23.25" hidden="false" customHeight="true" outlineLevel="0" collapsed="false">
      <c r="A29" s="104"/>
      <c r="B29" s="104"/>
      <c r="C29" s="129" t="s">
        <v>43</v>
      </c>
      <c r="D29" s="130" t="s">
        <v>43</v>
      </c>
      <c r="E29" s="131" t="s">
        <v>43</v>
      </c>
      <c r="F29" s="130"/>
      <c r="G29" s="130" t="s">
        <v>53</v>
      </c>
      <c r="H29" s="130" t="s">
        <v>44</v>
      </c>
      <c r="I29" s="132" t="s">
        <v>38</v>
      </c>
      <c r="J29" s="166"/>
      <c r="K29" s="122"/>
      <c r="L29" s="167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</row>
    <row r="30" customFormat="false" ht="23.25" hidden="false" customHeight="true" outlineLevel="0" collapsed="false">
      <c r="A30" s="104"/>
      <c r="B30" s="104"/>
      <c r="C30" s="186" t="n">
        <v>0.3</v>
      </c>
      <c r="D30" s="136" t="n">
        <v>0.2</v>
      </c>
      <c r="E30" s="136" t="n">
        <v>0.12</v>
      </c>
      <c r="F30" s="136" t="n">
        <v>0.06</v>
      </c>
      <c r="G30" s="136" t="n">
        <v>0.02</v>
      </c>
      <c r="H30" s="136" t="n">
        <v>0</v>
      </c>
      <c r="I30" s="139" t="n">
        <v>0.01</v>
      </c>
      <c r="J30" s="122"/>
      <c r="K30" s="122"/>
      <c r="L30" s="167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</row>
    <row r="31" customFormat="false" ht="23.25" hidden="false" customHeight="true" outlineLevel="0" collapsed="false">
      <c r="A31" s="104"/>
      <c r="B31" s="104"/>
      <c r="C31" s="141" t="s">
        <v>62</v>
      </c>
      <c r="D31" s="142" t="s">
        <v>62</v>
      </c>
      <c r="E31" s="142" t="s">
        <v>62</v>
      </c>
      <c r="F31" s="142" t="s">
        <v>62</v>
      </c>
      <c r="G31" s="142" t="s">
        <v>62</v>
      </c>
      <c r="H31" s="142"/>
      <c r="I31" s="185" t="s">
        <v>40</v>
      </c>
      <c r="J31" s="189" t="s">
        <v>31</v>
      </c>
      <c r="K31" s="122"/>
      <c r="L31" s="167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</row>
    <row r="32" customFormat="false" ht="23.25" hidden="false" customHeight="true" outlineLevel="0" collapsed="false">
      <c r="A32" s="104"/>
      <c r="B32" s="104"/>
      <c r="C32" s="147"/>
      <c r="D32" s="148"/>
      <c r="E32" s="148"/>
      <c r="F32" s="148"/>
      <c r="G32" s="148"/>
      <c r="H32" s="148"/>
      <c r="I32" s="199"/>
      <c r="J32" s="193" t="n">
        <f aca="false" t="array" ref="J32:J32">SUM(IF(ISNUMBER(B32:I32), B32:I32, 0))</f>
        <v>0</v>
      </c>
      <c r="K32" s="122"/>
      <c r="L32" s="176" t="s">
        <v>22</v>
      </c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</row>
    <row r="33" customFormat="false" ht="23.25" hidden="false" customHeight="true" outlineLevel="0" collapsed="false">
      <c r="A33" s="104"/>
      <c r="B33" s="104"/>
      <c r="C33" s="147"/>
      <c r="D33" s="148"/>
      <c r="E33" s="148"/>
      <c r="F33" s="148"/>
      <c r="G33" s="113"/>
      <c r="H33" s="148"/>
      <c r="I33" s="199"/>
      <c r="J33" s="193" t="n">
        <f aca="false" t="array" ref="J33:J33">SUM(IF(ISNUMBER(B33:I33), B33:I33, 0))</f>
        <v>0</v>
      </c>
      <c r="K33" s="122"/>
      <c r="L33" s="176" t="s">
        <v>24</v>
      </c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</row>
    <row r="34" customFormat="false" ht="23.25" hidden="false" customHeight="true" outlineLevel="0" collapsed="false">
      <c r="A34" s="104"/>
      <c r="B34" s="104"/>
      <c r="C34" s="147"/>
      <c r="D34" s="148"/>
      <c r="E34" s="148"/>
      <c r="F34" s="148"/>
      <c r="H34" s="148"/>
      <c r="I34" s="199"/>
      <c r="J34" s="194" t="n">
        <f aca="false" t="array" ref="J34:J34">SUM(IF(ISNUMBER(B34:I34), B34:I34, 0))</f>
        <v>0</v>
      </c>
      <c r="K34" s="122"/>
      <c r="L34" s="176" t="s">
        <v>26</v>
      </c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</row>
    <row r="35" customFormat="false" ht="23.25" hidden="false" customHeight="true" outlineLevel="0" collapsed="false">
      <c r="A35" s="104"/>
      <c r="B35" s="104"/>
      <c r="C35" s="177" t="s">
        <v>63</v>
      </c>
      <c r="D35" s="156" t="s">
        <v>64</v>
      </c>
      <c r="E35" s="156" t="s">
        <v>65</v>
      </c>
      <c r="F35" s="156" t="s">
        <v>66</v>
      </c>
      <c r="G35" s="156" t="s">
        <v>67</v>
      </c>
      <c r="H35" s="156" t="s">
        <v>68</v>
      </c>
      <c r="I35" s="200" t="s">
        <v>69</v>
      </c>
      <c r="J35" s="153"/>
      <c r="K35" s="122"/>
      <c r="L35" s="151" t="s">
        <v>28</v>
      </c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</row>
    <row r="36" customFormat="false" ht="23.25" hidden="false" customHeight="true" outlineLevel="0" collapsed="false">
      <c r="A36" s="104"/>
      <c r="B36" s="104"/>
      <c r="C36" s="162" t="n">
        <v>24</v>
      </c>
      <c r="D36" s="162" t="n">
        <v>25</v>
      </c>
      <c r="E36" s="162" t="n">
        <v>26</v>
      </c>
      <c r="F36" s="162" t="n">
        <v>27</v>
      </c>
      <c r="G36" s="162" t="n">
        <v>28</v>
      </c>
      <c r="H36" s="162" t="n">
        <v>29</v>
      </c>
      <c r="I36" s="162" t="n">
        <v>30</v>
      </c>
      <c r="J36" s="198"/>
      <c r="K36" s="122"/>
      <c r="L36" s="167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</row>
    <row r="37" customFormat="false" ht="23.25" hidden="false" customHeight="true" outlineLevel="0" collapsed="false">
      <c r="A37" s="104"/>
      <c r="B37" s="104"/>
      <c r="C37" s="201" t="s">
        <v>43</v>
      </c>
      <c r="D37" s="202" t="s">
        <v>70</v>
      </c>
      <c r="E37" s="202" t="s">
        <v>70</v>
      </c>
      <c r="F37" s="202" t="s">
        <v>70</v>
      </c>
      <c r="G37" s="202"/>
      <c r="H37" s="202" t="s">
        <v>44</v>
      </c>
      <c r="I37" s="132" t="s">
        <v>38</v>
      </c>
      <c r="J37" s="166"/>
      <c r="K37" s="122"/>
      <c r="L37" s="167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04"/>
    </row>
    <row r="38" customFormat="false" ht="23.25" hidden="false" customHeight="true" outlineLevel="0" collapsed="false">
      <c r="A38" s="104"/>
      <c r="B38" s="104"/>
      <c r="C38" s="186" t="n">
        <v>0.03</v>
      </c>
      <c r="D38" s="136" t="n">
        <v>0.08</v>
      </c>
      <c r="E38" s="136" t="n">
        <v>0.14</v>
      </c>
      <c r="F38" s="136" t="n">
        <v>0.21</v>
      </c>
      <c r="G38" s="136" t="n">
        <v>0.29</v>
      </c>
      <c r="H38" s="136" t="n">
        <v>0.38</v>
      </c>
      <c r="I38" s="139" t="n">
        <v>0.48</v>
      </c>
      <c r="J38" s="122"/>
      <c r="K38" s="122"/>
      <c r="L38" s="167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</row>
    <row r="39" customFormat="false" ht="23.25" hidden="false" customHeight="true" outlineLevel="0" collapsed="false">
      <c r="A39" s="104"/>
      <c r="B39" s="104"/>
      <c r="C39" s="141" t="s">
        <v>40</v>
      </c>
      <c r="D39" s="142"/>
      <c r="E39" s="142"/>
      <c r="F39" s="142"/>
      <c r="G39" s="142"/>
      <c r="H39" s="142"/>
      <c r="I39" s="144"/>
      <c r="J39" s="145" t="s">
        <v>32</v>
      </c>
      <c r="K39" s="122"/>
      <c r="L39" s="167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</row>
    <row r="40" customFormat="false" ht="23.25" hidden="false" customHeight="true" outlineLevel="0" collapsed="false">
      <c r="A40" s="104"/>
      <c r="B40" s="104"/>
      <c r="C40" s="203"/>
      <c r="D40" s="191"/>
      <c r="E40" s="191"/>
      <c r="F40" s="191"/>
      <c r="G40" s="191"/>
      <c r="H40" s="191"/>
      <c r="I40" s="166"/>
      <c r="J40" s="150" t="n">
        <f aca="false" t="array" ref="J40:J40">SUM(IF(ISNUMBER(B40:I40), B40:I40, 0))</f>
        <v>0</v>
      </c>
      <c r="K40" s="122"/>
      <c r="L40" s="176" t="s">
        <v>22</v>
      </c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</row>
    <row r="41" customFormat="false" ht="23.25" hidden="false" customHeight="true" outlineLevel="0" collapsed="false">
      <c r="A41" s="104"/>
      <c r="B41" s="104"/>
      <c r="C41" s="147"/>
      <c r="D41" s="148"/>
      <c r="E41" s="148"/>
      <c r="F41" s="148"/>
      <c r="G41" s="148"/>
      <c r="H41" s="148"/>
      <c r="I41" s="113"/>
      <c r="J41" s="150" t="n">
        <f aca="false" t="array" ref="J41:J41">SUM(IF(ISNUMBER(B41:I41), B41:I41, 0))</f>
        <v>0</v>
      </c>
      <c r="K41" s="122"/>
      <c r="L41" s="176" t="s">
        <v>24</v>
      </c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  <c r="AE41" s="104"/>
      <c r="AF41" s="104"/>
    </row>
    <row r="42" customFormat="false" ht="23.25" hidden="false" customHeight="true" outlineLevel="0" collapsed="false">
      <c r="A42" s="104"/>
      <c r="B42" s="104"/>
      <c r="C42" s="147"/>
      <c r="D42" s="148"/>
      <c r="E42" s="148"/>
      <c r="F42" s="148"/>
      <c r="G42" s="148"/>
      <c r="H42" s="148"/>
      <c r="I42" s="113"/>
      <c r="J42" s="153" t="n">
        <f aca="false" t="array" ref="J42:J42">SUM(IF(ISNUMBER(B42:I42), B42:I42, 0))</f>
        <v>0</v>
      </c>
      <c r="K42" s="122"/>
      <c r="L42" s="176" t="s">
        <v>26</v>
      </c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  <c r="AA42" s="104"/>
      <c r="AB42" s="104"/>
      <c r="AC42" s="104"/>
      <c r="AD42" s="104"/>
      <c r="AE42" s="104"/>
      <c r="AF42" s="104"/>
    </row>
    <row r="43" customFormat="false" ht="23.25" hidden="false" customHeight="true" outlineLevel="0" collapsed="false">
      <c r="A43" s="104"/>
      <c r="B43" s="104"/>
      <c r="C43" s="204" t="s">
        <v>71</v>
      </c>
      <c r="D43" s="159" t="s">
        <v>72</v>
      </c>
      <c r="E43" s="196" t="s">
        <v>73</v>
      </c>
      <c r="F43" s="156" t="s">
        <v>74</v>
      </c>
      <c r="G43" s="156" t="s">
        <v>75</v>
      </c>
      <c r="H43" s="156" t="s">
        <v>76</v>
      </c>
      <c r="I43" s="197" t="s">
        <v>77</v>
      </c>
      <c r="J43" s="153"/>
      <c r="K43" s="122"/>
      <c r="L43" s="151" t="s">
        <v>28</v>
      </c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  <c r="AB43" s="104"/>
      <c r="AC43" s="104"/>
      <c r="AD43" s="104"/>
      <c r="AE43" s="104"/>
      <c r="AF43" s="104"/>
    </row>
    <row r="44" customFormat="false" ht="23.25" hidden="false" customHeight="true" outlineLevel="0" collapsed="false">
      <c r="A44" s="104"/>
      <c r="B44" s="104"/>
      <c r="C44" s="126"/>
      <c r="D44" s="205"/>
      <c r="E44" s="198"/>
      <c r="F44" s="122"/>
      <c r="G44" s="122"/>
      <c r="H44" s="122"/>
      <c r="I44" s="122"/>
      <c r="J44" s="122"/>
      <c r="K44" s="122"/>
      <c r="L44" s="146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</row>
    <row r="45" customFormat="false" ht="23.25" hidden="false" customHeight="true" outlineLevel="0" collapsed="false">
      <c r="A45" s="104"/>
      <c r="B45" s="104"/>
      <c r="C45" s="141"/>
      <c r="D45" s="185"/>
      <c r="E45" s="166"/>
      <c r="F45" s="122"/>
      <c r="G45" s="122"/>
      <c r="H45" s="122"/>
      <c r="I45" s="122"/>
      <c r="J45" s="122"/>
      <c r="K45" s="122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</row>
    <row r="46" customFormat="false" ht="23.25" hidden="false" customHeight="true" outlineLevel="0" collapsed="false">
      <c r="A46" s="104"/>
      <c r="B46" s="104"/>
      <c r="C46" s="206"/>
      <c r="D46" s="207"/>
      <c r="E46" s="122"/>
      <c r="F46" s="122"/>
      <c r="G46" s="122"/>
      <c r="H46" s="122"/>
      <c r="I46" s="122"/>
      <c r="J46" s="122"/>
      <c r="K46" s="122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04"/>
    </row>
    <row r="47" customFormat="false" ht="23.25" hidden="false" customHeight="true" outlineLevel="0" collapsed="false">
      <c r="A47" s="104"/>
      <c r="B47" s="104"/>
      <c r="C47" s="141"/>
      <c r="D47" s="185"/>
      <c r="E47" s="122"/>
      <c r="G47" s="122"/>
      <c r="H47" s="122"/>
      <c r="I47" s="122"/>
      <c r="J47" s="145" t="s">
        <v>33</v>
      </c>
      <c r="K47" s="208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  <c r="AE47" s="104"/>
      <c r="AF47" s="104"/>
    </row>
    <row r="48" customFormat="false" ht="23.25" hidden="false" customHeight="true" outlineLevel="0" collapsed="false">
      <c r="A48" s="104"/>
      <c r="B48" s="104"/>
      <c r="C48" s="203"/>
      <c r="D48" s="207"/>
      <c r="E48" s="122"/>
      <c r="G48" s="122"/>
      <c r="H48" s="122"/>
      <c r="I48" s="122"/>
      <c r="J48" s="150" t="n">
        <f aca="false" t="array" ref="J48:J48">SUM(IF(ISNUMBER(B48:D48), B48:D48, 0))</f>
        <v>0</v>
      </c>
      <c r="L48" s="176" t="s">
        <v>22</v>
      </c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4"/>
    </row>
    <row r="49" customFormat="false" ht="23.25" hidden="false" customHeight="true" outlineLevel="0" collapsed="false">
      <c r="A49" s="104"/>
      <c r="B49" s="104"/>
      <c r="C49" s="147"/>
      <c r="D49" s="207"/>
      <c r="E49" s="122"/>
      <c r="G49" s="122"/>
      <c r="H49" s="122"/>
      <c r="I49" s="122"/>
      <c r="J49" s="150" t="n">
        <f aca="false" t="array" ref="J49:J49">SUM(IF(ISNUMBER(B49:D49), B49:D49, 0))</f>
        <v>0</v>
      </c>
      <c r="L49" s="176" t="s">
        <v>24</v>
      </c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  <c r="AE49" s="104"/>
      <c r="AF49" s="104"/>
    </row>
    <row r="50" customFormat="false" ht="23.25" hidden="false" customHeight="true" outlineLevel="0" collapsed="false">
      <c r="A50" s="104"/>
      <c r="B50" s="104"/>
      <c r="C50" s="147"/>
      <c r="D50" s="207"/>
      <c r="E50" s="122"/>
      <c r="G50" s="122"/>
      <c r="H50" s="122"/>
      <c r="I50" s="122"/>
      <c r="J50" s="153" t="n">
        <f aca="false" t="array" ref="J50:J50">SUM(IF(ISNUMBER(B50:D50), B50:D50, 0))</f>
        <v>0</v>
      </c>
      <c r="L50" s="176" t="s">
        <v>26</v>
      </c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  <c r="AF50" s="104"/>
    </row>
    <row r="51" customFormat="false" ht="23.25" hidden="false" customHeight="true" outlineLevel="0" collapsed="false">
      <c r="A51" s="104"/>
      <c r="B51" s="104"/>
      <c r="C51" s="177"/>
      <c r="D51" s="197"/>
      <c r="G51" s="122"/>
      <c r="H51" s="122"/>
      <c r="I51" s="122"/>
      <c r="J51" s="153"/>
      <c r="L51" s="151" t="s">
        <v>28</v>
      </c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4"/>
      <c r="AC51" s="104"/>
      <c r="AD51" s="104"/>
      <c r="AE51" s="104"/>
      <c r="AF51" s="104"/>
    </row>
    <row r="52" customFormat="false" ht="23.25" hidden="false" customHeight="true" outlineLevel="0" collapsed="false">
      <c r="A52" s="104"/>
      <c r="B52" s="104"/>
      <c r="C52" s="122"/>
      <c r="D52" s="122"/>
      <c r="E52" s="122"/>
      <c r="F52" s="122"/>
      <c r="G52" s="122"/>
      <c r="H52" s="122"/>
      <c r="I52" s="122"/>
      <c r="J52" s="122"/>
      <c r="K52" s="122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  <c r="AA52" s="104"/>
      <c r="AB52" s="104"/>
      <c r="AC52" s="104"/>
      <c r="AD52" s="104"/>
      <c r="AE52" s="104"/>
      <c r="AF52" s="104"/>
    </row>
    <row r="53" customFormat="false" ht="22.5" hidden="false" customHeight="true" outlineLevel="0" collapsed="false">
      <c r="A53" s="104"/>
      <c r="B53" s="104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  <c r="AE53" s="104"/>
      <c r="AF53" s="104"/>
    </row>
    <row r="54" customFormat="false" ht="16.5" hidden="false" customHeight="false" outlineLevel="0" collapsed="false">
      <c r="A54" s="104"/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</row>
    <row r="55" customFormat="false" ht="16.5" hidden="false" customHeight="false" outlineLevel="0" collapsed="false">
      <c r="A55" s="104"/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  <c r="AE55" s="104"/>
      <c r="AF55" s="104"/>
    </row>
    <row r="56" customFormat="false" ht="16.5" hidden="false" customHeight="false" outlineLevel="0" collapsed="false">
      <c r="A56" s="104"/>
      <c r="B56" s="104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  <c r="AE56" s="104"/>
      <c r="AF56" s="104"/>
    </row>
    <row r="57" customFormat="false" ht="16.5" hidden="false" customHeight="false" outlineLevel="0" collapsed="false">
      <c r="A57" s="104"/>
      <c r="B57" s="10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  <c r="AE57" s="104"/>
      <c r="AF57" s="104"/>
    </row>
    <row r="58" customFormat="false" ht="16.5" hidden="false" customHeight="false" outlineLevel="0" collapsed="false">
      <c r="A58" s="104"/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  <c r="AE58" s="104"/>
      <c r="AF58" s="104"/>
    </row>
    <row r="59" customFormat="false" ht="16.5" hidden="false" customHeight="false" outlineLevel="0" collapsed="false">
      <c r="A59" s="104"/>
      <c r="B59" s="104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104"/>
      <c r="AC59" s="104"/>
      <c r="AD59" s="104"/>
      <c r="AE59" s="104"/>
      <c r="AF59" s="104"/>
    </row>
    <row r="60" customFormat="false" ht="16.5" hidden="false" customHeight="false" outlineLevel="0" collapsed="false">
      <c r="A60" s="104"/>
      <c r="B60" s="104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</row>
    <row r="61" customFormat="false" ht="16.5" hidden="false" customHeight="false" outlineLevel="0" collapsed="false">
      <c r="A61" s="104"/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  <c r="AE61" s="104"/>
      <c r="AF61" s="104"/>
    </row>
    <row r="62" customFormat="false" ht="16.5" hidden="false" customHeight="false" outlineLevel="0" collapsed="false">
      <c r="A62" s="104"/>
      <c r="B62" s="104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  <c r="AE62" s="104"/>
      <c r="AF62" s="104"/>
    </row>
    <row r="63" customFormat="false" ht="16.5" hidden="false" customHeight="false" outlineLevel="0" collapsed="false">
      <c r="A63" s="104"/>
      <c r="B63" s="104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  <c r="AE63" s="104"/>
      <c r="AF63" s="104"/>
    </row>
    <row r="64" customFormat="false" ht="16.5" hidden="false" customHeight="false" outlineLevel="0" collapsed="false">
      <c r="A64" s="104"/>
      <c r="B64" s="104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  <c r="AE64" s="104"/>
      <c r="AF64" s="104"/>
    </row>
    <row r="65" customFormat="false" ht="16.5" hidden="false" customHeight="false" outlineLevel="0" collapsed="false">
      <c r="A65" s="104"/>
      <c r="B65" s="104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  <c r="AE65" s="104"/>
      <c r="AF65" s="104"/>
    </row>
    <row r="66" customFormat="false" ht="16.5" hidden="false" customHeight="false" outlineLevel="0" collapsed="false">
      <c r="A66" s="104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  <c r="AE66" s="104"/>
      <c r="AF66" s="104"/>
    </row>
    <row r="67" customFormat="false" ht="16.5" hidden="false" customHeight="false" outlineLevel="0" collapsed="false">
      <c r="A67" s="104"/>
      <c r="B67" s="104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</row>
    <row r="68" customFormat="false" ht="16.5" hidden="false" customHeight="false" outlineLevel="0" collapsed="false">
      <c r="A68" s="104"/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</row>
    <row r="69" customFormat="false" ht="16.5" hidden="false" customHeight="false" outlineLevel="0" collapsed="false">
      <c r="A69" s="104"/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  <c r="AE69" s="104"/>
      <c r="AF69" s="104"/>
    </row>
    <row r="70" customFormat="false" ht="16.5" hidden="false" customHeight="false" outlineLevel="0" collapsed="false">
      <c r="A70" s="104"/>
      <c r="B70" s="104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</row>
    <row r="71" customFormat="false" ht="16.5" hidden="false" customHeight="false" outlineLevel="0" collapsed="false">
      <c r="A71" s="104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  <c r="AE71" s="104"/>
      <c r="AF71" s="104"/>
    </row>
    <row r="72" customFormat="false" ht="16.5" hidden="false" customHeight="false" outlineLevel="0" collapsed="false">
      <c r="A72" s="104"/>
      <c r="B72" s="104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  <c r="AE72" s="104"/>
      <c r="AF72" s="104"/>
    </row>
    <row r="73" customFormat="false" ht="16.5" hidden="false" customHeight="false" outlineLevel="0" collapsed="false">
      <c r="A73" s="104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  <c r="AD73" s="104"/>
      <c r="AE73" s="104"/>
      <c r="AF73" s="104"/>
    </row>
    <row r="74" customFormat="false" ht="16.5" hidden="false" customHeight="false" outlineLevel="0" collapsed="false">
      <c r="A74" s="104"/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  <c r="AD74" s="104"/>
      <c r="AE74" s="104"/>
      <c r="AF74" s="104"/>
    </row>
    <row r="75" customFormat="false" ht="16.5" hidden="false" customHeight="false" outlineLevel="0" collapsed="false">
      <c r="A75" s="104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  <c r="AC75" s="104"/>
      <c r="AD75" s="104"/>
      <c r="AE75" s="104"/>
      <c r="AF75" s="104"/>
    </row>
    <row r="76" customFormat="false" ht="16.5" hidden="false" customHeight="false" outlineLevel="0" collapsed="false">
      <c r="A76" s="104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4"/>
      <c r="AE76" s="104"/>
      <c r="AF76" s="104"/>
    </row>
    <row r="77" customFormat="false" ht="16.5" hidden="false" customHeight="false" outlineLevel="0" collapsed="false">
      <c r="A77" s="104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  <c r="AC77" s="104"/>
      <c r="AD77" s="104"/>
      <c r="AE77" s="104"/>
      <c r="AF77" s="104"/>
    </row>
    <row r="78" customFormat="false" ht="16.5" hidden="false" customHeight="false" outlineLevel="0" collapsed="false">
      <c r="A78" s="104"/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  <c r="AC78" s="104"/>
      <c r="AD78" s="104"/>
      <c r="AE78" s="104"/>
      <c r="AF78" s="104"/>
    </row>
    <row r="79" customFormat="false" ht="16.5" hidden="false" customHeight="false" outlineLevel="0" collapsed="false">
      <c r="A79" s="104"/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  <c r="AA79" s="104"/>
      <c r="AB79" s="104"/>
      <c r="AC79" s="104"/>
      <c r="AD79" s="104"/>
      <c r="AE79" s="104"/>
      <c r="AF79" s="104"/>
    </row>
    <row r="80" customFormat="false" ht="16.5" hidden="false" customHeight="false" outlineLevel="0" collapsed="false">
      <c r="A80" s="104"/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  <c r="AB80" s="104"/>
      <c r="AC80" s="104"/>
      <c r="AD80" s="104"/>
      <c r="AE80" s="104"/>
      <c r="AF80" s="104"/>
    </row>
    <row r="81" customFormat="false" ht="16.5" hidden="false" customHeight="false" outlineLevel="0" collapsed="false">
      <c r="A81" s="104"/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  <c r="AD81" s="104"/>
      <c r="AE81" s="104"/>
      <c r="AF81" s="104"/>
    </row>
    <row r="82" customFormat="false" ht="16.5" hidden="false" customHeight="false" outlineLevel="0" collapsed="false">
      <c r="A82" s="104"/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  <c r="AA82" s="104"/>
      <c r="AB82" s="104"/>
      <c r="AC82" s="104"/>
      <c r="AD82" s="104"/>
      <c r="AE82" s="104"/>
      <c r="AF82" s="104"/>
    </row>
    <row r="83" customFormat="false" ht="16.5" hidden="false" customHeight="false" outlineLevel="0" collapsed="false">
      <c r="A83" s="104"/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104"/>
      <c r="AC83" s="104"/>
      <c r="AD83" s="104"/>
      <c r="AE83" s="104"/>
      <c r="AF83" s="104"/>
    </row>
    <row r="84" customFormat="false" ht="16.5" hidden="false" customHeight="false" outlineLevel="0" collapsed="false">
      <c r="A84" s="104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</row>
    <row r="85" customFormat="false" ht="16.5" hidden="false" customHeight="false" outlineLevel="0" collapsed="false">
      <c r="A85" s="104"/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  <c r="AB85" s="104"/>
      <c r="AC85" s="104"/>
      <c r="AD85" s="104"/>
      <c r="AE85" s="104"/>
      <c r="AF85" s="104"/>
    </row>
    <row r="86" customFormat="false" ht="16.5" hidden="false" customHeight="false" outlineLevel="0" collapsed="false">
      <c r="A86" s="104"/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  <c r="AB86" s="104"/>
      <c r="AC86" s="104"/>
      <c r="AD86" s="104"/>
      <c r="AE86" s="104"/>
      <c r="AF86" s="104"/>
    </row>
    <row r="87" customFormat="false" ht="16.5" hidden="false" customHeight="false" outlineLevel="0" collapsed="false">
      <c r="A87" s="104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104"/>
      <c r="AC87" s="104"/>
      <c r="AD87" s="104"/>
      <c r="AE87" s="104"/>
      <c r="AF87" s="104"/>
    </row>
    <row r="88" customFormat="false" ht="16.5" hidden="false" customHeight="false" outlineLevel="0" collapsed="false">
      <c r="A88" s="104"/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88"/>
  <sheetViews>
    <sheetView showFormulas="false" showGridLines="true" showRowColHeaders="true" showZeros="true" rightToLeft="false" tabSelected="false" showOutlineSymbols="true" defaultGridColor="true" view="normal" topLeftCell="B34" colorId="64" zoomScale="140" zoomScaleNormal="140" zoomScalePageLayoutView="100" workbookViewId="0">
      <selection pane="topLeft" activeCell="E45" activeCellId="0" sqref="E45"/>
    </sheetView>
  </sheetViews>
  <sheetFormatPr defaultColWidth="8.859375" defaultRowHeight="15" zeroHeight="false" outlineLevelRow="0" outlineLevelCol="0"/>
  <cols>
    <col collapsed="false" customWidth="true" hidden="false" outlineLevel="0" max="1" min="1" style="209" width="3"/>
    <col collapsed="false" customWidth="true" hidden="false" outlineLevel="0" max="2" min="2" style="209" width="21"/>
    <col collapsed="false" customWidth="true" hidden="false" outlineLevel="0" max="3" min="3" style="209" width="36.29"/>
    <col collapsed="false" customWidth="true" hidden="false" outlineLevel="0" max="4" min="4" style="209" width="34.29"/>
    <col collapsed="false" customWidth="true" hidden="false" outlineLevel="0" max="9" min="5" style="209" width="23.71"/>
    <col collapsed="false" customWidth="true" hidden="false" outlineLevel="0" max="10" min="10" style="209" width="24.43"/>
    <col collapsed="false" customWidth="true" hidden="false" outlineLevel="0" max="11" min="11" style="209" width="1.86"/>
    <col collapsed="false" customWidth="true" hidden="false" outlineLevel="0" max="12" min="12" style="209" width="33"/>
    <col collapsed="false" customWidth="true" hidden="false" outlineLevel="0" max="14" min="13" style="209" width="23.28"/>
    <col collapsed="false" customWidth="false" hidden="false" outlineLevel="0" max="16384" min="15" style="209" width="8.86"/>
  </cols>
  <sheetData>
    <row r="1" customFormat="false" ht="23.25" hidden="false" customHeight="true" outlineLevel="0" collapsed="false">
      <c r="A1" s="210"/>
      <c r="B1" s="210"/>
      <c r="C1" s="211" t="s">
        <v>0</v>
      </c>
      <c r="D1" s="211" t="n">
        <v>120.08</v>
      </c>
      <c r="E1" s="210"/>
      <c r="F1" s="212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210"/>
      <c r="R1" s="210"/>
      <c r="S1" s="210"/>
      <c r="T1" s="210"/>
      <c r="U1" s="210"/>
      <c r="V1" s="210"/>
      <c r="W1" s="210"/>
      <c r="X1" s="210"/>
      <c r="Y1" s="210"/>
      <c r="Z1" s="210"/>
      <c r="AA1" s="210"/>
      <c r="AB1" s="210"/>
      <c r="AC1" s="210"/>
      <c r="AD1" s="210"/>
      <c r="AE1" s="210"/>
      <c r="AF1" s="210"/>
    </row>
    <row r="2" customFormat="false" ht="23.25" hidden="false" customHeight="true" outlineLevel="0" collapsed="false">
      <c r="A2" s="210"/>
      <c r="B2" s="213" t="s">
        <v>78</v>
      </c>
      <c r="C2" s="214" t="s">
        <v>1</v>
      </c>
      <c r="D2" s="215" t="n">
        <f aca="false">J8+J16+J24+J32+J40+J48</f>
        <v>38</v>
      </c>
      <c r="E2" s="216" t="s">
        <v>2</v>
      </c>
      <c r="F2" s="217" t="n">
        <f aca="false">J9+J17+J25+J33+J41+J49</f>
        <v>0</v>
      </c>
      <c r="G2" s="216" t="s">
        <v>3</v>
      </c>
      <c r="H2" s="217" t="n">
        <f aca="false">J10+J18+J26+J34+J42+J50</f>
        <v>0</v>
      </c>
      <c r="I2" s="218"/>
      <c r="J2" s="219" t="s">
        <v>4</v>
      </c>
      <c r="K2" s="220"/>
      <c r="L2" s="219"/>
      <c r="M2" s="210"/>
      <c r="N2" s="210"/>
      <c r="O2" s="210"/>
      <c r="P2" s="210"/>
      <c r="Q2" s="210"/>
      <c r="R2" s="210"/>
      <c r="S2" s="210"/>
      <c r="T2" s="210"/>
      <c r="U2" s="210"/>
      <c r="V2" s="210"/>
      <c r="W2" s="210"/>
      <c r="X2" s="210"/>
      <c r="Y2" s="210"/>
      <c r="Z2" s="210"/>
      <c r="AA2" s="210"/>
      <c r="AB2" s="210"/>
      <c r="AC2" s="210"/>
      <c r="AD2" s="210"/>
      <c r="AE2" s="210"/>
      <c r="AF2" s="210"/>
    </row>
    <row r="3" customFormat="false" ht="23.25" hidden="false" customHeight="true" outlineLevel="0" collapsed="false">
      <c r="A3" s="210"/>
      <c r="B3" s="221" t="s">
        <v>5</v>
      </c>
      <c r="C3" s="222" t="s">
        <v>6</v>
      </c>
      <c r="D3" s="223" t="s">
        <v>7</v>
      </c>
      <c r="E3" s="224" t="s">
        <v>8</v>
      </c>
      <c r="F3" s="225" t="s">
        <v>9</v>
      </c>
      <c r="G3" s="223" t="s">
        <v>10</v>
      </c>
      <c r="H3" s="223" t="s">
        <v>11</v>
      </c>
      <c r="I3" s="226" t="s">
        <v>12</v>
      </c>
      <c r="J3" s="219" t="s">
        <v>13</v>
      </c>
      <c r="K3" s="227"/>
      <c r="L3" s="219"/>
      <c r="M3" s="210"/>
      <c r="N3" s="210"/>
      <c r="O3" s="210"/>
      <c r="P3" s="210"/>
      <c r="Q3" s="210"/>
      <c r="R3" s="210"/>
      <c r="S3" s="210"/>
      <c r="T3" s="210"/>
      <c r="U3" s="210"/>
      <c r="V3" s="210"/>
      <c r="W3" s="210"/>
      <c r="X3" s="210"/>
      <c r="Y3" s="210"/>
      <c r="Z3" s="210"/>
      <c r="AA3" s="210"/>
      <c r="AB3" s="210"/>
      <c r="AC3" s="210"/>
      <c r="AD3" s="210"/>
      <c r="AE3" s="210"/>
      <c r="AF3" s="210"/>
    </row>
    <row r="4" customFormat="false" ht="23.25" hidden="false" customHeight="true" outlineLevel="0" collapsed="false">
      <c r="A4" s="210"/>
      <c r="B4" s="228" t="s">
        <v>14</v>
      </c>
      <c r="C4" s="229" t="s">
        <v>4</v>
      </c>
      <c r="D4" s="229" t="s">
        <v>4</v>
      </c>
      <c r="E4" s="229" t="n">
        <v>1</v>
      </c>
      <c r="F4" s="229" t="n">
        <v>2</v>
      </c>
      <c r="G4" s="229" t="n">
        <v>3</v>
      </c>
      <c r="H4" s="230" t="n">
        <v>4</v>
      </c>
      <c r="I4" s="231" t="n">
        <v>5</v>
      </c>
      <c r="J4" s="219" t="s">
        <v>15</v>
      </c>
      <c r="K4" s="227"/>
      <c r="L4" s="232"/>
      <c r="M4" s="210"/>
      <c r="N4" s="210"/>
      <c r="O4" s="210"/>
      <c r="P4" s="210"/>
      <c r="Q4" s="210"/>
      <c r="R4" s="210"/>
      <c r="S4" s="210"/>
      <c r="T4" s="210"/>
      <c r="U4" s="210"/>
      <c r="V4" s="210"/>
      <c r="W4" s="210"/>
      <c r="X4" s="210"/>
      <c r="Y4" s="210"/>
      <c r="Z4" s="210"/>
      <c r="AA4" s="210"/>
      <c r="AB4" s="210"/>
      <c r="AC4" s="210"/>
      <c r="AD4" s="210"/>
      <c r="AE4" s="210"/>
      <c r="AF4" s="210"/>
    </row>
    <row r="5" customFormat="false" ht="23.25" hidden="false" customHeight="true" outlineLevel="0" collapsed="false">
      <c r="A5" s="210"/>
      <c r="B5" s="233" t="s">
        <v>16</v>
      </c>
      <c r="C5" s="234"/>
      <c r="D5" s="235"/>
      <c r="E5" s="236" t="s">
        <v>38</v>
      </c>
      <c r="F5" s="235" t="s">
        <v>79</v>
      </c>
      <c r="G5" s="235" t="s">
        <v>44</v>
      </c>
      <c r="H5" s="235"/>
      <c r="I5" s="237" t="s">
        <v>80</v>
      </c>
      <c r="J5" s="219" t="s">
        <v>17</v>
      </c>
      <c r="K5" s="227"/>
      <c r="L5" s="238"/>
      <c r="M5" s="210"/>
      <c r="N5" s="210"/>
      <c r="O5" s="210"/>
      <c r="P5" s="210"/>
      <c r="Q5" s="210"/>
      <c r="R5" s="210"/>
      <c r="S5" s="210"/>
      <c r="T5" s="210"/>
      <c r="U5" s="210"/>
      <c r="V5" s="210"/>
      <c r="W5" s="210"/>
      <c r="X5" s="210"/>
      <c r="Y5" s="210"/>
      <c r="Z5" s="210"/>
      <c r="AA5" s="210"/>
      <c r="AB5" s="210"/>
      <c r="AC5" s="210"/>
      <c r="AD5" s="210"/>
      <c r="AE5" s="210"/>
      <c r="AF5" s="210"/>
    </row>
    <row r="6" customFormat="false" ht="23.25" hidden="false" customHeight="true" outlineLevel="0" collapsed="false">
      <c r="A6" s="210"/>
      <c r="B6" s="239" t="s">
        <v>18</v>
      </c>
      <c r="C6" s="240" t="s">
        <v>4</v>
      </c>
      <c r="D6" s="240" t="s">
        <v>4</v>
      </c>
      <c r="E6" s="241" t="n">
        <v>0.42</v>
      </c>
      <c r="F6" s="241" t="n">
        <v>0.52</v>
      </c>
      <c r="G6" s="242" t="n">
        <v>0.61</v>
      </c>
      <c r="H6" s="243" t="n">
        <v>0.7</v>
      </c>
      <c r="I6" s="244" t="n">
        <v>0.79</v>
      </c>
      <c r="J6" s="245"/>
      <c r="K6" s="227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  <c r="AA6" s="210"/>
      <c r="AB6" s="210"/>
      <c r="AC6" s="210"/>
      <c r="AD6" s="210"/>
      <c r="AE6" s="210"/>
      <c r="AF6" s="210"/>
    </row>
    <row r="7" customFormat="false" ht="23.25" hidden="false" customHeight="true" outlineLevel="0" collapsed="false">
      <c r="A7" s="210"/>
      <c r="B7" s="233" t="s">
        <v>19</v>
      </c>
      <c r="C7" s="246"/>
      <c r="D7" s="247"/>
      <c r="E7" s="248" t="s">
        <v>54</v>
      </c>
      <c r="F7" s="247" t="s">
        <v>81</v>
      </c>
      <c r="G7" s="247" t="s">
        <v>81</v>
      </c>
      <c r="H7" s="247" t="s">
        <v>81</v>
      </c>
      <c r="I7" s="249" t="s">
        <v>40</v>
      </c>
      <c r="J7" s="250" t="s">
        <v>20</v>
      </c>
      <c r="K7" s="227"/>
      <c r="L7" s="251"/>
      <c r="M7" s="210"/>
      <c r="N7" s="210"/>
      <c r="O7" s="210"/>
      <c r="P7" s="210"/>
      <c r="Q7" s="210"/>
      <c r="R7" s="210"/>
      <c r="S7" s="210"/>
      <c r="T7" s="210"/>
      <c r="U7" s="210"/>
      <c r="V7" s="210"/>
      <c r="W7" s="210"/>
      <c r="X7" s="210"/>
      <c r="Y7" s="210"/>
      <c r="Z7" s="210"/>
      <c r="AA7" s="210"/>
      <c r="AB7" s="210"/>
      <c r="AC7" s="210"/>
      <c r="AD7" s="210"/>
      <c r="AE7" s="210"/>
      <c r="AF7" s="210"/>
    </row>
    <row r="8" customFormat="false" ht="23.25" hidden="false" customHeight="true" outlineLevel="0" collapsed="false">
      <c r="A8" s="210"/>
      <c r="B8" s="228" t="s">
        <v>21</v>
      </c>
      <c r="C8" s="252"/>
      <c r="D8" s="253"/>
      <c r="E8" s="254" t="n">
        <v>3.4</v>
      </c>
      <c r="F8" s="253" t="n">
        <v>3.3</v>
      </c>
      <c r="G8" s="253" t="s">
        <v>82</v>
      </c>
      <c r="H8" s="253" t="s">
        <v>83</v>
      </c>
      <c r="I8" s="255" t="s">
        <v>84</v>
      </c>
      <c r="J8" s="256" t="n">
        <f aca="false" t="array" ref="J8:J8">SUM(IF(ISNUMBER(C8:I8), C8:I8, 0))</f>
        <v>6.7</v>
      </c>
      <c r="K8" s="227"/>
      <c r="L8" s="257" t="s">
        <v>22</v>
      </c>
      <c r="M8" s="210"/>
      <c r="N8" s="210"/>
      <c r="O8" s="210"/>
      <c r="P8" s="210"/>
      <c r="Q8" s="210"/>
      <c r="R8" s="210"/>
      <c r="S8" s="210"/>
      <c r="T8" s="210"/>
      <c r="U8" s="210"/>
      <c r="V8" s="210"/>
      <c r="W8" s="210"/>
      <c r="X8" s="210"/>
      <c r="Y8" s="210"/>
      <c r="Z8" s="210"/>
      <c r="AA8" s="210"/>
      <c r="AB8" s="210"/>
      <c r="AC8" s="210"/>
      <c r="AD8" s="210"/>
      <c r="AE8" s="210"/>
      <c r="AF8" s="210"/>
    </row>
    <row r="9" customFormat="false" ht="23.25" hidden="false" customHeight="true" outlineLevel="0" collapsed="false">
      <c r="A9" s="210"/>
      <c r="B9" s="228" t="s">
        <v>23</v>
      </c>
      <c r="C9" s="252"/>
      <c r="D9" s="253"/>
      <c r="E9" s="254" t="n">
        <v>0</v>
      </c>
      <c r="F9" s="253" t="n">
        <v>0</v>
      </c>
      <c r="G9" s="253" t="n">
        <v>0</v>
      </c>
      <c r="H9" s="253" t="n">
        <v>0</v>
      </c>
      <c r="I9" s="253" t="n">
        <v>0</v>
      </c>
      <c r="J9" s="256" t="n">
        <f aca="false" t="array" ref="J9:J9">SUM(IF(ISNUMBER(B9:I9), B9:I9, 0))</f>
        <v>0</v>
      </c>
      <c r="K9" s="227"/>
      <c r="L9" s="257" t="s">
        <v>24</v>
      </c>
      <c r="M9" s="210"/>
      <c r="N9" s="210"/>
      <c r="O9" s="210"/>
      <c r="P9" s="210"/>
      <c r="Q9" s="210"/>
      <c r="R9" s="210"/>
      <c r="S9" s="210"/>
      <c r="T9" s="210"/>
      <c r="U9" s="210"/>
      <c r="V9" s="210"/>
      <c r="W9" s="210"/>
      <c r="X9" s="210"/>
      <c r="Y9" s="210"/>
      <c r="Z9" s="210"/>
      <c r="AA9" s="210"/>
      <c r="AB9" s="210"/>
      <c r="AC9" s="210"/>
      <c r="AD9" s="210"/>
      <c r="AE9" s="210"/>
      <c r="AF9" s="210"/>
    </row>
    <row r="10" customFormat="false" ht="23.25" hidden="false" customHeight="true" outlineLevel="0" collapsed="false">
      <c r="A10" s="210"/>
      <c r="B10" s="228" t="s">
        <v>25</v>
      </c>
      <c r="C10" s="252"/>
      <c r="D10" s="253"/>
      <c r="E10" s="254" t="n">
        <v>0</v>
      </c>
      <c r="F10" s="253" t="n">
        <v>0</v>
      </c>
      <c r="G10" s="253" t="n">
        <v>0</v>
      </c>
      <c r="H10" s="253" t="n">
        <v>0</v>
      </c>
      <c r="I10" s="253" t="n">
        <v>0</v>
      </c>
      <c r="J10" s="258" t="n">
        <f aca="false" t="array" ref="J10:J10">SUM(IF(ISNUMBER(B10:I10), B10:I10, 0))</f>
        <v>0</v>
      </c>
      <c r="K10" s="227"/>
      <c r="L10" s="257" t="s">
        <v>26</v>
      </c>
      <c r="M10" s="210"/>
      <c r="N10" s="210"/>
      <c r="O10" s="210"/>
      <c r="P10" s="210"/>
      <c r="Q10" s="210"/>
      <c r="R10" s="210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</row>
    <row r="11" customFormat="false" ht="23.25" hidden="false" customHeight="true" outlineLevel="0" collapsed="false">
      <c r="A11" s="210"/>
      <c r="B11" s="259" t="s">
        <v>27</v>
      </c>
      <c r="C11" s="260" t="s">
        <v>4</v>
      </c>
      <c r="D11" s="261" t="s">
        <v>4</v>
      </c>
      <c r="E11" s="262" t="s">
        <v>85</v>
      </c>
      <c r="F11" s="263" t="s">
        <v>86</v>
      </c>
      <c r="G11" s="264" t="s">
        <v>87</v>
      </c>
      <c r="H11" s="265" t="s">
        <v>88</v>
      </c>
      <c r="I11" s="266" t="s">
        <v>89</v>
      </c>
      <c r="J11" s="258" t="n">
        <v>11.33</v>
      </c>
      <c r="K11" s="227"/>
      <c r="L11" s="257" t="s">
        <v>28</v>
      </c>
      <c r="M11" s="210"/>
      <c r="N11" s="210"/>
      <c r="O11" s="210"/>
      <c r="P11" s="210"/>
      <c r="Q11" s="210"/>
      <c r="R11" s="210"/>
      <c r="S11" s="210"/>
      <c r="T11" s="210"/>
      <c r="U11" s="210"/>
      <c r="V11" s="210"/>
      <c r="W11" s="210"/>
      <c r="X11" s="210"/>
      <c r="Y11" s="210"/>
      <c r="Z11" s="210"/>
      <c r="AA11" s="210"/>
      <c r="AB11" s="210"/>
      <c r="AC11" s="210"/>
      <c r="AD11" s="210"/>
      <c r="AE11" s="210"/>
      <c r="AF11" s="210"/>
    </row>
    <row r="12" customFormat="false" ht="23.25" hidden="false" customHeight="true" outlineLevel="0" collapsed="false">
      <c r="A12" s="210"/>
      <c r="B12" s="210" t="s">
        <v>4</v>
      </c>
      <c r="C12" s="267" t="n">
        <v>6</v>
      </c>
      <c r="D12" s="267" t="n">
        <v>7</v>
      </c>
      <c r="E12" s="267" t="n">
        <v>8</v>
      </c>
      <c r="F12" s="268" t="n">
        <v>9</v>
      </c>
      <c r="G12" s="269" t="n">
        <v>10</v>
      </c>
      <c r="H12" s="270" t="n">
        <v>11</v>
      </c>
      <c r="I12" s="231" t="n">
        <v>12</v>
      </c>
      <c r="J12" s="271"/>
      <c r="K12" s="227"/>
      <c r="L12" s="272"/>
      <c r="M12" s="210"/>
      <c r="N12" s="210"/>
      <c r="O12" s="210"/>
      <c r="P12" s="210"/>
      <c r="Q12" s="210"/>
      <c r="R12" s="210"/>
      <c r="S12" s="210"/>
      <c r="T12" s="210"/>
      <c r="U12" s="210"/>
      <c r="V12" s="210"/>
      <c r="W12" s="210"/>
      <c r="X12" s="210"/>
      <c r="Y12" s="210"/>
      <c r="Z12" s="210"/>
      <c r="AA12" s="210"/>
      <c r="AB12" s="210"/>
      <c r="AC12" s="210"/>
      <c r="AD12" s="210"/>
      <c r="AE12" s="210"/>
      <c r="AF12" s="210"/>
    </row>
    <row r="13" customFormat="false" ht="23.25" hidden="false" customHeight="true" outlineLevel="0" collapsed="false">
      <c r="A13" s="210"/>
      <c r="B13" s="210"/>
      <c r="C13" s="234" t="s">
        <v>80</v>
      </c>
      <c r="D13" s="273"/>
      <c r="E13" s="274" t="s">
        <v>45</v>
      </c>
      <c r="F13" s="273" t="s">
        <v>45</v>
      </c>
      <c r="G13" s="275"/>
      <c r="H13" s="276" t="s">
        <v>45</v>
      </c>
      <c r="I13" s="277" t="s">
        <v>45</v>
      </c>
      <c r="J13" s="271"/>
      <c r="K13" s="227"/>
      <c r="L13" s="272"/>
      <c r="M13" s="210"/>
      <c r="N13" s="210"/>
      <c r="O13" s="210"/>
      <c r="P13" s="210"/>
      <c r="Q13" s="210"/>
      <c r="R13" s="210"/>
      <c r="S13" s="210"/>
      <c r="T13" s="210"/>
      <c r="U13" s="210"/>
      <c r="V13" s="210"/>
      <c r="W13" s="210"/>
      <c r="X13" s="210"/>
      <c r="Y13" s="210"/>
      <c r="Z13" s="210"/>
      <c r="AA13" s="210"/>
      <c r="AB13" s="210"/>
      <c r="AC13" s="210"/>
      <c r="AD13" s="210"/>
      <c r="AE13" s="210"/>
      <c r="AF13" s="210"/>
    </row>
    <row r="14" customFormat="false" ht="23.25" hidden="false" customHeight="true" outlineLevel="0" collapsed="false">
      <c r="A14" s="210"/>
      <c r="B14" s="210"/>
      <c r="C14" s="278" t="n">
        <v>0.86</v>
      </c>
      <c r="D14" s="243" t="n">
        <v>0.92</v>
      </c>
      <c r="E14" s="240" t="n">
        <v>0.96</v>
      </c>
      <c r="F14" s="241" t="n">
        <v>0.99</v>
      </c>
      <c r="G14" s="241" t="n">
        <v>1</v>
      </c>
      <c r="H14" s="279" t="n">
        <v>0.98</v>
      </c>
      <c r="I14" s="280" t="n">
        <v>0.95</v>
      </c>
      <c r="J14" s="227"/>
      <c r="K14" s="227"/>
      <c r="L14" s="272"/>
      <c r="M14" s="210"/>
      <c r="N14" s="210"/>
      <c r="O14" s="210"/>
      <c r="P14" s="210"/>
      <c r="Q14" s="210"/>
      <c r="R14" s="210"/>
      <c r="S14" s="210"/>
      <c r="T14" s="210"/>
      <c r="U14" s="210"/>
      <c r="V14" s="210"/>
      <c r="W14" s="210"/>
      <c r="X14" s="210"/>
      <c r="Y14" s="210"/>
      <c r="Z14" s="210"/>
      <c r="AA14" s="210"/>
      <c r="AB14" s="210"/>
      <c r="AC14" s="210"/>
      <c r="AD14" s="210"/>
      <c r="AE14" s="210"/>
      <c r="AF14" s="210"/>
    </row>
    <row r="15" customFormat="false" ht="23.25" hidden="false" customHeight="true" outlineLevel="0" collapsed="false">
      <c r="A15" s="210"/>
      <c r="B15" s="210"/>
      <c r="C15" s="246" t="s">
        <v>40</v>
      </c>
      <c r="D15" s="275" t="s">
        <v>54</v>
      </c>
      <c r="E15" s="275" t="s">
        <v>54</v>
      </c>
      <c r="F15" s="275" t="s">
        <v>81</v>
      </c>
      <c r="G15" s="275" t="s">
        <v>54</v>
      </c>
      <c r="H15" s="276" t="s">
        <v>40</v>
      </c>
      <c r="I15" s="281" t="s">
        <v>54</v>
      </c>
      <c r="J15" s="250" t="s">
        <v>29</v>
      </c>
      <c r="K15" s="227"/>
      <c r="L15" s="272"/>
      <c r="M15" s="210"/>
      <c r="N15" s="210"/>
      <c r="O15" s="210"/>
      <c r="P15" s="210"/>
      <c r="Q15" s="210"/>
      <c r="R15" s="210"/>
      <c r="S15" s="210"/>
      <c r="T15" s="210"/>
      <c r="U15" s="210"/>
      <c r="V15" s="210"/>
      <c r="W15" s="210"/>
      <c r="X15" s="210"/>
      <c r="Y15" s="210"/>
      <c r="Z15" s="210"/>
      <c r="AA15" s="210"/>
      <c r="AB15" s="210"/>
      <c r="AC15" s="210"/>
      <c r="AD15" s="210"/>
      <c r="AE15" s="210"/>
      <c r="AF15" s="210"/>
    </row>
    <row r="16" customFormat="false" ht="23.25" hidden="false" customHeight="true" outlineLevel="0" collapsed="false">
      <c r="A16" s="210"/>
      <c r="B16" s="210"/>
      <c r="C16" s="252" t="s">
        <v>83</v>
      </c>
      <c r="D16" s="253" t="s">
        <v>90</v>
      </c>
      <c r="E16" s="253" t="s">
        <v>91</v>
      </c>
      <c r="F16" s="253" t="s">
        <v>92</v>
      </c>
      <c r="G16" s="253" t="s">
        <v>93</v>
      </c>
      <c r="H16" s="253" t="s">
        <v>94</v>
      </c>
      <c r="I16" s="255" t="s">
        <v>95</v>
      </c>
      <c r="J16" s="256" t="n">
        <f aca="false" t="array" ref="J16:J16">SUM(IF(ISNUMBER(B16:I16), B16:I16, 0))</f>
        <v>0</v>
      </c>
      <c r="K16" s="227"/>
      <c r="L16" s="282" t="s">
        <v>22</v>
      </c>
      <c r="M16" s="210"/>
      <c r="N16" s="210"/>
      <c r="O16" s="210"/>
      <c r="P16" s="210"/>
      <c r="Q16" s="210"/>
      <c r="R16" s="210"/>
      <c r="S16" s="210"/>
      <c r="T16" s="210"/>
      <c r="U16" s="210"/>
      <c r="V16" s="210"/>
      <c r="W16" s="210"/>
      <c r="X16" s="210"/>
      <c r="Y16" s="210"/>
      <c r="Z16" s="210"/>
      <c r="AA16" s="210"/>
      <c r="AB16" s="210"/>
      <c r="AC16" s="210"/>
      <c r="AD16" s="210"/>
      <c r="AE16" s="210"/>
      <c r="AF16" s="210"/>
    </row>
    <row r="17" customFormat="false" ht="23.25" hidden="false" customHeight="true" outlineLevel="0" collapsed="false">
      <c r="A17" s="210"/>
      <c r="B17" s="210"/>
      <c r="C17" s="252" t="n">
        <v>0</v>
      </c>
      <c r="D17" s="253" t="n">
        <v>0</v>
      </c>
      <c r="E17" s="253" t="n">
        <v>0</v>
      </c>
      <c r="F17" s="253" t="n">
        <v>0</v>
      </c>
      <c r="G17" s="253" t="n">
        <v>0</v>
      </c>
      <c r="H17" s="253" t="n">
        <v>0</v>
      </c>
      <c r="I17" s="255" t="n">
        <v>0</v>
      </c>
      <c r="J17" s="256" t="n">
        <f aca="false" t="array" ref="J17:J17">SUM(IF(ISNUMBER(B17:I17), B17:I17, 0))</f>
        <v>0</v>
      </c>
      <c r="K17" s="227"/>
      <c r="L17" s="282" t="s">
        <v>24</v>
      </c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210"/>
      <c r="AA17" s="210"/>
      <c r="AB17" s="210"/>
      <c r="AC17" s="210"/>
      <c r="AD17" s="210"/>
      <c r="AE17" s="210"/>
      <c r="AF17" s="210"/>
    </row>
    <row r="18" customFormat="false" ht="23.25" hidden="false" customHeight="true" outlineLevel="0" collapsed="false">
      <c r="A18" s="210"/>
      <c r="B18" s="210"/>
      <c r="C18" s="252" t="n">
        <v>0</v>
      </c>
      <c r="D18" s="253" t="n">
        <v>0</v>
      </c>
      <c r="E18" s="253" t="n">
        <v>0</v>
      </c>
      <c r="F18" s="253" t="n">
        <v>0</v>
      </c>
      <c r="G18" s="253" t="n">
        <v>0</v>
      </c>
      <c r="H18" s="253" t="n">
        <v>0</v>
      </c>
      <c r="I18" s="255" t="n">
        <v>0</v>
      </c>
      <c r="J18" s="258" t="n">
        <f aca="false" t="array" ref="J18:J18">SUM(IF(ISNUMBER(B18:I18), B18:I18, 0))</f>
        <v>0</v>
      </c>
      <c r="K18" s="227"/>
      <c r="L18" s="282" t="s">
        <v>26</v>
      </c>
      <c r="M18" s="210"/>
      <c r="N18" s="210"/>
      <c r="O18" s="210"/>
      <c r="P18" s="210"/>
      <c r="Q18" s="210"/>
      <c r="R18" s="210"/>
      <c r="S18" s="210"/>
      <c r="T18" s="210"/>
      <c r="U18" s="210"/>
      <c r="V18" s="210"/>
      <c r="W18" s="210"/>
      <c r="X18" s="210"/>
      <c r="Y18" s="210"/>
      <c r="Z18" s="210"/>
      <c r="AA18" s="210"/>
      <c r="AB18" s="210"/>
      <c r="AC18" s="210"/>
      <c r="AD18" s="210"/>
      <c r="AE18" s="210"/>
      <c r="AF18" s="210"/>
    </row>
    <row r="19" customFormat="false" ht="23.25" hidden="false" customHeight="true" outlineLevel="0" collapsed="false">
      <c r="A19" s="210"/>
      <c r="B19" s="210"/>
      <c r="C19" s="283" t="s">
        <v>96</v>
      </c>
      <c r="D19" s="284" t="s">
        <v>97</v>
      </c>
      <c r="E19" s="261" t="s">
        <v>98</v>
      </c>
      <c r="F19" s="264" t="s">
        <v>99</v>
      </c>
      <c r="G19" s="285" t="s">
        <v>100</v>
      </c>
      <c r="H19" s="286" t="s">
        <v>101</v>
      </c>
      <c r="I19" s="266" t="s">
        <v>102</v>
      </c>
      <c r="J19" s="258" t="n">
        <v>2.23</v>
      </c>
      <c r="K19" s="227"/>
      <c r="L19" s="257" t="s">
        <v>28</v>
      </c>
      <c r="M19" s="210"/>
      <c r="N19" s="210"/>
      <c r="O19" s="210"/>
      <c r="P19" s="210"/>
      <c r="Q19" s="210"/>
      <c r="R19" s="210"/>
      <c r="S19" s="210"/>
      <c r="T19" s="210"/>
      <c r="U19" s="210"/>
      <c r="V19" s="210"/>
      <c r="W19" s="210"/>
      <c r="X19" s="210"/>
      <c r="Y19" s="210"/>
      <c r="Z19" s="210"/>
      <c r="AA19" s="210"/>
      <c r="AB19" s="210"/>
      <c r="AC19" s="210"/>
      <c r="AD19" s="210"/>
      <c r="AE19" s="210"/>
      <c r="AF19" s="210"/>
    </row>
    <row r="20" customFormat="false" ht="23.25" hidden="false" customHeight="true" outlineLevel="0" collapsed="false">
      <c r="A20" s="210"/>
      <c r="B20" s="210"/>
      <c r="C20" s="287" t="n">
        <v>13</v>
      </c>
      <c r="D20" s="287" t="n">
        <v>14</v>
      </c>
      <c r="E20" s="288" t="n">
        <v>15</v>
      </c>
      <c r="F20" s="231" t="n">
        <v>16</v>
      </c>
      <c r="G20" s="231" t="n">
        <v>17</v>
      </c>
      <c r="H20" s="231" t="n">
        <v>18</v>
      </c>
      <c r="I20" s="231" t="n">
        <v>19</v>
      </c>
      <c r="J20" s="271"/>
      <c r="K20" s="227"/>
      <c r="L20" s="272"/>
      <c r="M20" s="210"/>
      <c r="N20" s="210"/>
      <c r="O20" s="210"/>
      <c r="P20" s="210"/>
      <c r="Q20" s="210"/>
      <c r="R20" s="210"/>
      <c r="S20" s="210"/>
      <c r="T20" s="210"/>
      <c r="U20" s="210"/>
      <c r="V20" s="210"/>
      <c r="W20" s="210"/>
      <c r="X20" s="210"/>
      <c r="Y20" s="210"/>
      <c r="Z20" s="210"/>
      <c r="AA20" s="210"/>
      <c r="AB20" s="210"/>
      <c r="AC20" s="210"/>
      <c r="AD20" s="210"/>
      <c r="AE20" s="210"/>
      <c r="AF20" s="210"/>
    </row>
    <row r="21" customFormat="false" ht="23.25" hidden="false" customHeight="true" outlineLevel="0" collapsed="false">
      <c r="A21" s="210"/>
      <c r="B21" s="210"/>
      <c r="C21" s="246" t="s">
        <v>45</v>
      </c>
      <c r="D21" s="247" t="s">
        <v>103</v>
      </c>
      <c r="E21" s="247" t="s">
        <v>104</v>
      </c>
      <c r="F21" s="247" t="s">
        <v>105</v>
      </c>
      <c r="G21" s="247" t="s">
        <v>106</v>
      </c>
      <c r="H21" s="247" t="s">
        <v>107</v>
      </c>
      <c r="I21" s="289" t="s">
        <v>45</v>
      </c>
      <c r="J21" s="271"/>
      <c r="K21" s="227"/>
      <c r="L21" s="272"/>
      <c r="M21" s="210"/>
      <c r="N21" s="210"/>
      <c r="O21" s="210"/>
      <c r="P21" s="210"/>
      <c r="Q21" s="210"/>
      <c r="R21" s="210"/>
      <c r="S21" s="210"/>
      <c r="T21" s="210"/>
      <c r="U21" s="210"/>
      <c r="V21" s="210"/>
      <c r="W21" s="210"/>
      <c r="X21" s="210"/>
      <c r="Y21" s="210"/>
      <c r="Z21" s="210"/>
      <c r="AA21" s="210"/>
      <c r="AB21" s="210"/>
      <c r="AC21" s="210"/>
      <c r="AD21" s="210"/>
      <c r="AE21" s="210"/>
      <c r="AF21" s="210"/>
    </row>
    <row r="22" customFormat="false" ht="23.25" hidden="false" customHeight="true" outlineLevel="0" collapsed="false">
      <c r="A22" s="210"/>
      <c r="B22" s="210"/>
      <c r="C22" s="290" t="n">
        <v>0.89</v>
      </c>
      <c r="D22" s="241" t="n">
        <v>0.82</v>
      </c>
      <c r="E22" s="241" t="n">
        <v>0.72</v>
      </c>
      <c r="F22" s="241" t="n">
        <v>0.62</v>
      </c>
      <c r="G22" s="242" t="n">
        <v>0.5</v>
      </c>
      <c r="H22" s="243" t="n">
        <v>0.39</v>
      </c>
      <c r="I22" s="244" t="n">
        <v>0.28</v>
      </c>
      <c r="J22" s="227"/>
      <c r="K22" s="227"/>
      <c r="L22" s="272"/>
      <c r="M22" s="210"/>
      <c r="N22" s="210"/>
      <c r="O22" s="210"/>
      <c r="P22" s="210"/>
      <c r="Q22" s="210"/>
      <c r="R22" s="210"/>
      <c r="S22" s="210"/>
      <c r="T22" s="210"/>
      <c r="U22" s="210"/>
      <c r="V22" s="210"/>
      <c r="W22" s="210"/>
      <c r="X22" s="210"/>
      <c r="Y22" s="210"/>
      <c r="Z22" s="210"/>
      <c r="AA22" s="210"/>
      <c r="AB22" s="210"/>
      <c r="AC22" s="210"/>
      <c r="AD22" s="210"/>
      <c r="AE22" s="210"/>
      <c r="AF22" s="210"/>
    </row>
    <row r="23" customFormat="false" ht="23.25" hidden="false" customHeight="true" outlineLevel="0" collapsed="false">
      <c r="A23" s="210"/>
      <c r="B23" s="210"/>
      <c r="C23" s="246" t="s">
        <v>40</v>
      </c>
      <c r="D23" s="247" t="s">
        <v>54</v>
      </c>
      <c r="E23" s="247" t="s">
        <v>54</v>
      </c>
      <c r="F23" s="247" t="s">
        <v>40</v>
      </c>
      <c r="G23" s="247" t="s">
        <v>40</v>
      </c>
      <c r="H23" s="247" t="s">
        <v>40</v>
      </c>
      <c r="I23" s="289" t="s">
        <v>40</v>
      </c>
      <c r="J23" s="291" t="s">
        <v>30</v>
      </c>
      <c r="K23" s="227"/>
      <c r="L23" s="272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210"/>
      <c r="AA23" s="210"/>
      <c r="AB23" s="210"/>
      <c r="AC23" s="210"/>
      <c r="AD23" s="210"/>
      <c r="AE23" s="210"/>
      <c r="AF23" s="210"/>
    </row>
    <row r="24" customFormat="false" ht="23.25" hidden="false" customHeight="true" outlineLevel="0" collapsed="false">
      <c r="A24" s="210"/>
      <c r="B24" s="210"/>
      <c r="C24" s="292" t="n">
        <v>3.7</v>
      </c>
      <c r="D24" s="253" t="n">
        <v>2.2</v>
      </c>
      <c r="E24" s="253" t="n">
        <v>4.5</v>
      </c>
      <c r="F24" s="253" t="n">
        <v>4.2</v>
      </c>
      <c r="G24" s="253" t="n">
        <v>0</v>
      </c>
      <c r="H24" s="253" t="n">
        <v>5.9</v>
      </c>
      <c r="I24" s="293" t="n">
        <v>5.9</v>
      </c>
      <c r="J24" s="294" t="n">
        <f aca="false" t="array" ref="J24:J24">SUM(IF(ISNUMBER(B24:I24), B24:I24, 0))</f>
        <v>26.4</v>
      </c>
      <c r="K24" s="227"/>
      <c r="L24" s="282" t="s">
        <v>22</v>
      </c>
      <c r="M24" s="210"/>
      <c r="N24" s="210"/>
      <c r="O24" s="210"/>
      <c r="P24" s="210"/>
      <c r="Q24" s="210"/>
      <c r="R24" s="210"/>
      <c r="S24" s="210"/>
      <c r="T24" s="210"/>
      <c r="U24" s="210"/>
      <c r="V24" s="210"/>
      <c r="W24" s="210"/>
      <c r="X24" s="210"/>
      <c r="Y24" s="210"/>
      <c r="Z24" s="210"/>
      <c r="AA24" s="210"/>
      <c r="AB24" s="210"/>
      <c r="AC24" s="210"/>
      <c r="AD24" s="210"/>
      <c r="AE24" s="210"/>
      <c r="AF24" s="210"/>
    </row>
    <row r="25" customFormat="false" ht="23.25" hidden="false" customHeight="true" outlineLevel="0" collapsed="false">
      <c r="A25" s="210"/>
      <c r="B25" s="210"/>
      <c r="C25" s="292" t="n">
        <v>0</v>
      </c>
      <c r="D25" s="253" t="n">
        <v>0</v>
      </c>
      <c r="E25" s="253" t="n">
        <v>0</v>
      </c>
      <c r="F25" s="253" t="n">
        <v>0</v>
      </c>
      <c r="G25" s="253" t="n">
        <v>0</v>
      </c>
      <c r="H25" s="253" t="n">
        <v>0</v>
      </c>
      <c r="I25" s="293" t="n">
        <v>0</v>
      </c>
      <c r="J25" s="294" t="n">
        <f aca="false" t="array" ref="J25:J25">SUM(IF(ISNUMBER(B25:I25), B25:I25, 0))</f>
        <v>0</v>
      </c>
      <c r="K25" s="227"/>
      <c r="L25" s="282" t="s">
        <v>24</v>
      </c>
      <c r="M25" s="210"/>
      <c r="N25" s="210"/>
      <c r="O25" s="210"/>
      <c r="P25" s="210"/>
      <c r="Q25" s="210"/>
      <c r="R25" s="210"/>
      <c r="S25" s="210"/>
      <c r="T25" s="210"/>
      <c r="U25" s="210"/>
      <c r="V25" s="210"/>
      <c r="W25" s="210"/>
      <c r="X25" s="210"/>
      <c r="Y25" s="210"/>
      <c r="Z25" s="210"/>
      <c r="AA25" s="210"/>
      <c r="AB25" s="210"/>
      <c r="AC25" s="210"/>
      <c r="AD25" s="210"/>
      <c r="AE25" s="210"/>
      <c r="AF25" s="210"/>
    </row>
    <row r="26" customFormat="false" ht="23.25" hidden="false" customHeight="true" outlineLevel="0" collapsed="false">
      <c r="A26" s="210"/>
      <c r="B26" s="210"/>
      <c r="C26" s="292" t="n">
        <v>0</v>
      </c>
      <c r="D26" s="253" t="n">
        <v>0</v>
      </c>
      <c r="E26" s="253" t="n">
        <v>0</v>
      </c>
      <c r="F26" s="253" t="n">
        <v>0</v>
      </c>
      <c r="G26" s="253" t="n">
        <v>0</v>
      </c>
      <c r="H26" s="253" t="n">
        <v>0</v>
      </c>
      <c r="I26" s="293" t="n">
        <v>0</v>
      </c>
      <c r="J26" s="295" t="n">
        <f aca="false" t="array" ref="J26:J26">SUM(IF(ISNUMBER(B26:I26), B26:I26, 0))</f>
        <v>0</v>
      </c>
      <c r="K26" s="227"/>
      <c r="L26" s="282" t="s">
        <v>26</v>
      </c>
      <c r="M26" s="210"/>
      <c r="N26" s="210"/>
      <c r="O26" s="210"/>
      <c r="P26" s="210"/>
      <c r="Q26" s="210"/>
      <c r="R26" s="210"/>
      <c r="S26" s="210"/>
      <c r="T26" s="210"/>
      <c r="U26" s="210"/>
      <c r="V26" s="210"/>
      <c r="W26" s="210"/>
      <c r="X26" s="210"/>
      <c r="Y26" s="210"/>
      <c r="Z26" s="210"/>
      <c r="AA26" s="210"/>
      <c r="AB26" s="210"/>
      <c r="AC26" s="210"/>
      <c r="AD26" s="210"/>
      <c r="AE26" s="210"/>
      <c r="AF26" s="210"/>
    </row>
    <row r="27" customFormat="false" ht="23.25" hidden="false" customHeight="true" outlineLevel="0" collapsed="false">
      <c r="A27" s="210"/>
      <c r="B27" s="210"/>
      <c r="C27" s="296" t="s">
        <v>108</v>
      </c>
      <c r="D27" s="261" t="s">
        <v>109</v>
      </c>
      <c r="E27" s="261" t="s">
        <v>110</v>
      </c>
      <c r="F27" s="297" t="s">
        <v>111</v>
      </c>
      <c r="G27" s="261" t="s">
        <v>112</v>
      </c>
      <c r="H27" s="261" t="s">
        <v>113</v>
      </c>
      <c r="I27" s="298" t="s">
        <v>114</v>
      </c>
      <c r="J27" s="258" t="n">
        <v>40.15</v>
      </c>
      <c r="K27" s="227"/>
      <c r="L27" s="257" t="s">
        <v>28</v>
      </c>
      <c r="M27" s="210"/>
      <c r="N27" s="210"/>
      <c r="O27" s="210"/>
      <c r="P27" s="210"/>
      <c r="Q27" s="210"/>
      <c r="R27" s="210"/>
      <c r="S27" s="210"/>
      <c r="T27" s="210"/>
      <c r="U27" s="210"/>
      <c r="V27" s="210"/>
      <c r="W27" s="210"/>
      <c r="X27" s="210"/>
      <c r="Y27" s="210"/>
      <c r="Z27" s="210"/>
      <c r="AA27" s="210"/>
      <c r="AB27" s="210"/>
      <c r="AC27" s="210"/>
      <c r="AD27" s="210"/>
      <c r="AE27" s="210"/>
      <c r="AF27" s="210"/>
    </row>
    <row r="28" customFormat="false" ht="23.25" hidden="false" customHeight="true" outlineLevel="0" collapsed="false">
      <c r="A28" s="210"/>
      <c r="B28" s="210"/>
      <c r="C28" s="267" t="n">
        <v>20</v>
      </c>
      <c r="D28" s="267" t="n">
        <v>21</v>
      </c>
      <c r="E28" s="267" t="n">
        <v>22</v>
      </c>
      <c r="F28" s="267" t="n">
        <v>23</v>
      </c>
      <c r="G28" s="267" t="n">
        <v>24</v>
      </c>
      <c r="H28" s="267" t="n">
        <v>25</v>
      </c>
      <c r="I28" s="267" t="n">
        <v>26</v>
      </c>
      <c r="J28" s="299"/>
      <c r="K28" s="227"/>
      <c r="L28" s="272"/>
      <c r="M28" s="210"/>
      <c r="N28" s="210"/>
      <c r="O28" s="210"/>
      <c r="P28" s="210"/>
      <c r="Q28" s="210"/>
      <c r="R28" s="210"/>
      <c r="S28" s="210"/>
      <c r="T28" s="210"/>
      <c r="U28" s="210"/>
      <c r="V28" s="210"/>
      <c r="W28" s="210"/>
      <c r="X28" s="210"/>
      <c r="Y28" s="210"/>
      <c r="Z28" s="210"/>
      <c r="AA28" s="210"/>
      <c r="AB28" s="210"/>
      <c r="AC28" s="210"/>
      <c r="AD28" s="210"/>
      <c r="AE28" s="210"/>
      <c r="AF28" s="210"/>
    </row>
    <row r="29" customFormat="false" ht="23.25" hidden="false" customHeight="true" outlineLevel="0" collapsed="false">
      <c r="A29" s="210"/>
      <c r="B29" s="210"/>
      <c r="C29" s="234" t="s">
        <v>44</v>
      </c>
      <c r="D29" s="235" t="s">
        <v>115</v>
      </c>
      <c r="E29" s="236" t="s">
        <v>116</v>
      </c>
      <c r="F29" s="235" t="s">
        <v>79</v>
      </c>
      <c r="G29" s="235" t="s">
        <v>44</v>
      </c>
      <c r="H29" s="235" t="s">
        <v>38</v>
      </c>
      <c r="I29" s="237" t="s">
        <v>45</v>
      </c>
      <c r="J29" s="271"/>
      <c r="K29" s="227"/>
      <c r="L29" s="272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Z29" s="210"/>
      <c r="AA29" s="210"/>
      <c r="AB29" s="210"/>
      <c r="AC29" s="210"/>
      <c r="AD29" s="210"/>
      <c r="AE29" s="210"/>
      <c r="AF29" s="210"/>
    </row>
    <row r="30" customFormat="false" ht="23.25" hidden="false" customHeight="true" outlineLevel="0" collapsed="false">
      <c r="A30" s="210"/>
      <c r="B30" s="210"/>
      <c r="C30" s="290" t="n">
        <v>0.18</v>
      </c>
      <c r="D30" s="241" t="n">
        <v>0.1</v>
      </c>
      <c r="E30" s="241" t="n">
        <v>0.04</v>
      </c>
      <c r="F30" s="241" t="n">
        <v>0.01</v>
      </c>
      <c r="G30" s="241" t="n">
        <v>0</v>
      </c>
      <c r="H30" s="241" t="n">
        <v>0.02</v>
      </c>
      <c r="I30" s="244" t="n">
        <v>0.06</v>
      </c>
      <c r="J30" s="227"/>
      <c r="K30" s="227"/>
      <c r="L30" s="272"/>
      <c r="M30" s="210"/>
      <c r="N30" s="210"/>
      <c r="O30" s="210"/>
      <c r="P30" s="210"/>
      <c r="Q30" s="210"/>
      <c r="R30" s="210"/>
      <c r="S30" s="210"/>
      <c r="T30" s="210"/>
      <c r="U30" s="210"/>
      <c r="V30" s="210"/>
      <c r="W30" s="210"/>
      <c r="X30" s="210"/>
      <c r="Y30" s="210"/>
      <c r="Z30" s="210"/>
      <c r="AA30" s="210"/>
      <c r="AB30" s="210"/>
      <c r="AC30" s="210"/>
      <c r="AD30" s="210"/>
      <c r="AE30" s="210"/>
      <c r="AF30" s="210"/>
    </row>
    <row r="31" customFormat="false" ht="23.25" hidden="false" customHeight="true" outlineLevel="0" collapsed="false">
      <c r="A31" s="210"/>
      <c r="B31" s="210"/>
      <c r="C31" s="246" t="s">
        <v>40</v>
      </c>
      <c r="D31" s="247" t="s">
        <v>54</v>
      </c>
      <c r="E31" s="247" t="s">
        <v>54</v>
      </c>
      <c r="F31" s="247" t="s">
        <v>81</v>
      </c>
      <c r="G31" s="247" t="s">
        <v>40</v>
      </c>
      <c r="H31" s="247" t="s">
        <v>40</v>
      </c>
      <c r="I31" s="289" t="s">
        <v>40</v>
      </c>
      <c r="J31" s="291" t="s">
        <v>31</v>
      </c>
      <c r="K31" s="227"/>
      <c r="L31" s="272"/>
      <c r="M31" s="210"/>
      <c r="N31" s="210"/>
      <c r="O31" s="210"/>
      <c r="P31" s="210"/>
      <c r="Q31" s="210"/>
      <c r="R31" s="210"/>
      <c r="S31" s="210"/>
      <c r="T31" s="210"/>
      <c r="U31" s="210"/>
      <c r="V31" s="210"/>
      <c r="W31" s="210"/>
      <c r="X31" s="210"/>
      <c r="Y31" s="210"/>
      <c r="Z31" s="210"/>
      <c r="AA31" s="210"/>
      <c r="AB31" s="210"/>
      <c r="AC31" s="210"/>
      <c r="AD31" s="210"/>
      <c r="AE31" s="210"/>
      <c r="AF31" s="210"/>
    </row>
    <row r="32" customFormat="false" ht="23.25" hidden="false" customHeight="true" outlineLevel="0" collapsed="false">
      <c r="A32" s="210"/>
      <c r="B32" s="210"/>
      <c r="C32" s="252" t="n">
        <v>4.9</v>
      </c>
      <c r="D32" s="253"/>
      <c r="E32" s="253"/>
      <c r="F32" s="253"/>
      <c r="G32" s="253"/>
      <c r="H32" s="253"/>
      <c r="I32" s="293"/>
      <c r="J32" s="294" t="n">
        <f aca="false" t="array" ref="J32:J32">SUM(IF(ISNUMBER(B32:I32), B32:I32, 0))</f>
        <v>4.9</v>
      </c>
      <c r="K32" s="227"/>
      <c r="L32" s="282" t="s">
        <v>22</v>
      </c>
      <c r="M32" s="210"/>
      <c r="N32" s="210"/>
      <c r="O32" s="210"/>
      <c r="P32" s="210"/>
      <c r="Q32" s="210"/>
      <c r="R32" s="210"/>
      <c r="S32" s="210"/>
      <c r="T32" s="210"/>
      <c r="U32" s="210"/>
      <c r="V32" s="210"/>
      <c r="W32" s="210"/>
      <c r="X32" s="210"/>
      <c r="Y32" s="210"/>
      <c r="Z32" s="210"/>
      <c r="AA32" s="210"/>
      <c r="AB32" s="210"/>
      <c r="AC32" s="210"/>
      <c r="AD32" s="210"/>
      <c r="AE32" s="210"/>
      <c r="AF32" s="210"/>
    </row>
    <row r="33" customFormat="false" ht="23.25" hidden="false" customHeight="true" outlineLevel="0" collapsed="false">
      <c r="A33" s="210"/>
      <c r="B33" s="210"/>
      <c r="C33" s="252" t="n">
        <v>0</v>
      </c>
      <c r="D33" s="253"/>
      <c r="E33" s="253"/>
      <c r="F33" s="253"/>
      <c r="G33" s="255"/>
      <c r="H33" s="253"/>
      <c r="I33" s="293"/>
      <c r="J33" s="294" t="n">
        <f aca="false" t="array" ref="J33:J33">SUM(IF(ISNUMBER(B33:I33), B33:I33, 0))</f>
        <v>0</v>
      </c>
      <c r="K33" s="227"/>
      <c r="L33" s="282" t="s">
        <v>24</v>
      </c>
      <c r="M33" s="210"/>
      <c r="N33" s="210"/>
      <c r="O33" s="210"/>
      <c r="P33" s="210"/>
      <c r="Q33" s="210"/>
      <c r="R33" s="210"/>
      <c r="S33" s="210"/>
      <c r="T33" s="210"/>
      <c r="U33" s="210"/>
      <c r="V33" s="210"/>
      <c r="W33" s="210"/>
      <c r="X33" s="210"/>
      <c r="Y33" s="210"/>
      <c r="Z33" s="210"/>
      <c r="AA33" s="210"/>
      <c r="AB33" s="210"/>
      <c r="AC33" s="210"/>
      <c r="AD33" s="210"/>
      <c r="AE33" s="210"/>
      <c r="AF33" s="210"/>
    </row>
    <row r="34" customFormat="false" ht="23.25" hidden="false" customHeight="true" outlineLevel="0" collapsed="false">
      <c r="A34" s="210"/>
      <c r="B34" s="210"/>
      <c r="C34" s="252" t="n">
        <v>0</v>
      </c>
      <c r="D34" s="253"/>
      <c r="E34" s="253"/>
      <c r="F34" s="253"/>
      <c r="G34" s="300"/>
      <c r="H34" s="253"/>
      <c r="I34" s="293"/>
      <c r="J34" s="295" t="n">
        <f aca="false" t="array" ref="J34:J34">SUM(IF(ISNUMBER(B34:I34), B34:I34, 0))</f>
        <v>0</v>
      </c>
      <c r="K34" s="227"/>
      <c r="L34" s="282" t="s">
        <v>26</v>
      </c>
      <c r="M34" s="210"/>
      <c r="N34" s="210"/>
      <c r="O34" s="210"/>
      <c r="P34" s="210"/>
      <c r="Q34" s="210"/>
      <c r="R34" s="210"/>
      <c r="S34" s="210"/>
      <c r="T34" s="210"/>
      <c r="U34" s="210"/>
      <c r="V34" s="210"/>
      <c r="W34" s="210"/>
      <c r="X34" s="210"/>
      <c r="Y34" s="210"/>
      <c r="Z34" s="210"/>
      <c r="AA34" s="210"/>
      <c r="AB34" s="210"/>
      <c r="AC34" s="210"/>
      <c r="AD34" s="210"/>
      <c r="AE34" s="210"/>
      <c r="AF34" s="210"/>
    </row>
    <row r="35" customFormat="false" ht="23.25" hidden="false" customHeight="true" outlineLevel="0" collapsed="false">
      <c r="A35" s="210"/>
      <c r="B35" s="210"/>
      <c r="C35" s="283" t="s">
        <v>117</v>
      </c>
      <c r="D35" s="261" t="s">
        <v>118</v>
      </c>
      <c r="E35" s="261" t="s">
        <v>119</v>
      </c>
      <c r="F35" s="261" t="s">
        <v>120</v>
      </c>
      <c r="G35" s="261" t="s">
        <v>121</v>
      </c>
      <c r="H35" s="261" t="s">
        <v>122</v>
      </c>
      <c r="I35" s="301" t="s">
        <v>123</v>
      </c>
      <c r="J35" s="258" t="n">
        <v>42.1</v>
      </c>
      <c r="K35" s="227"/>
      <c r="L35" s="257" t="s">
        <v>28</v>
      </c>
      <c r="M35" s="210"/>
      <c r="N35" s="210"/>
      <c r="O35" s="210"/>
      <c r="P35" s="210"/>
      <c r="Q35" s="210"/>
      <c r="R35" s="210"/>
      <c r="S35" s="210"/>
      <c r="T35" s="210"/>
      <c r="U35" s="210"/>
      <c r="V35" s="210"/>
      <c r="W35" s="210"/>
      <c r="X35" s="210"/>
      <c r="Y35" s="210"/>
      <c r="Z35" s="210"/>
      <c r="AA35" s="210"/>
      <c r="AB35" s="210"/>
      <c r="AC35" s="210"/>
      <c r="AD35" s="210"/>
      <c r="AE35" s="210"/>
      <c r="AF35" s="210"/>
    </row>
    <row r="36" customFormat="false" ht="23.25" hidden="false" customHeight="true" outlineLevel="0" collapsed="false">
      <c r="A36" s="210"/>
      <c r="B36" s="210"/>
      <c r="C36" s="267" t="n">
        <v>27</v>
      </c>
      <c r="D36" s="267" t="n">
        <v>28</v>
      </c>
      <c r="E36" s="267" t="n">
        <v>29</v>
      </c>
      <c r="F36" s="267" t="n">
        <v>30</v>
      </c>
      <c r="G36" s="267" t="n">
        <v>31</v>
      </c>
      <c r="H36" s="267"/>
      <c r="I36" s="267"/>
      <c r="J36" s="299"/>
      <c r="K36" s="227"/>
      <c r="L36" s="272"/>
      <c r="M36" s="210"/>
      <c r="N36" s="210"/>
      <c r="O36" s="210"/>
      <c r="P36" s="210"/>
      <c r="Q36" s="210"/>
      <c r="R36" s="210"/>
      <c r="S36" s="210"/>
      <c r="T36" s="210"/>
      <c r="U36" s="210"/>
      <c r="V36" s="210"/>
      <c r="W36" s="210"/>
      <c r="X36" s="210"/>
      <c r="Y36" s="210"/>
      <c r="Z36" s="210"/>
      <c r="AA36" s="210"/>
      <c r="AB36" s="210"/>
      <c r="AC36" s="210"/>
      <c r="AD36" s="210"/>
      <c r="AE36" s="210"/>
      <c r="AF36" s="210"/>
    </row>
    <row r="37" customFormat="false" ht="23.25" hidden="false" customHeight="true" outlineLevel="0" collapsed="false">
      <c r="A37" s="210"/>
      <c r="B37" s="210"/>
      <c r="C37" s="302" t="s">
        <v>124</v>
      </c>
      <c r="D37" s="303" t="s">
        <v>125</v>
      </c>
      <c r="E37" s="303" t="s">
        <v>126</v>
      </c>
      <c r="F37" s="303" t="s">
        <v>79</v>
      </c>
      <c r="G37" s="303" t="s">
        <v>44</v>
      </c>
      <c r="H37" s="303"/>
      <c r="I37" s="237"/>
      <c r="J37" s="271"/>
      <c r="K37" s="227"/>
      <c r="L37" s="272"/>
      <c r="M37" s="210"/>
      <c r="N37" s="210"/>
      <c r="O37" s="210"/>
      <c r="P37" s="210"/>
      <c r="Q37" s="210"/>
      <c r="R37" s="210"/>
      <c r="S37" s="210"/>
      <c r="T37" s="210"/>
      <c r="U37" s="210"/>
      <c r="V37" s="210"/>
      <c r="W37" s="210"/>
      <c r="X37" s="210"/>
      <c r="Y37" s="210"/>
      <c r="Z37" s="210"/>
      <c r="AA37" s="210"/>
      <c r="AB37" s="210"/>
      <c r="AC37" s="210"/>
      <c r="AD37" s="210"/>
      <c r="AE37" s="210"/>
      <c r="AF37" s="210"/>
    </row>
    <row r="38" customFormat="false" ht="23.25" hidden="false" customHeight="true" outlineLevel="0" collapsed="false">
      <c r="A38" s="210"/>
      <c r="B38" s="210"/>
      <c r="C38" s="290" t="n">
        <v>0.11</v>
      </c>
      <c r="D38" s="241" t="n">
        <v>0.19</v>
      </c>
      <c r="E38" s="241" t="n">
        <v>0.27</v>
      </c>
      <c r="F38" s="241" t="n">
        <v>0.36</v>
      </c>
      <c r="G38" s="241" t="n">
        <v>0.45</v>
      </c>
      <c r="H38" s="241"/>
      <c r="I38" s="244"/>
      <c r="J38" s="227"/>
      <c r="K38" s="227"/>
      <c r="L38" s="272"/>
      <c r="M38" s="210"/>
      <c r="N38" s="210"/>
      <c r="O38" s="210"/>
      <c r="P38" s="210"/>
      <c r="Q38" s="210"/>
      <c r="R38" s="210"/>
      <c r="S38" s="210"/>
      <c r="T38" s="210"/>
      <c r="U38" s="210"/>
      <c r="V38" s="210"/>
      <c r="W38" s="210"/>
      <c r="X38" s="210"/>
      <c r="Y38" s="210"/>
      <c r="Z38" s="210"/>
      <c r="AA38" s="210"/>
      <c r="AB38" s="210"/>
      <c r="AC38" s="210"/>
      <c r="AD38" s="210"/>
      <c r="AE38" s="210"/>
      <c r="AF38" s="210"/>
    </row>
    <row r="39" customFormat="false" ht="23.25" hidden="false" customHeight="true" outlineLevel="0" collapsed="false">
      <c r="A39" s="210"/>
      <c r="B39" s="210"/>
      <c r="C39" s="246" t="s">
        <v>54</v>
      </c>
      <c r="D39" s="247" t="s">
        <v>54</v>
      </c>
      <c r="E39" s="247" t="s">
        <v>62</v>
      </c>
      <c r="F39" s="247" t="s">
        <v>62</v>
      </c>
      <c r="G39" s="247" t="s">
        <v>62</v>
      </c>
      <c r="H39" s="247"/>
      <c r="I39" s="249"/>
      <c r="J39" s="250" t="s">
        <v>32</v>
      </c>
      <c r="K39" s="227"/>
      <c r="L39" s="272"/>
      <c r="M39" s="210"/>
      <c r="N39" s="210"/>
      <c r="O39" s="210"/>
      <c r="P39" s="210"/>
      <c r="Q39" s="210"/>
      <c r="R39" s="210"/>
      <c r="S39" s="210"/>
      <c r="T39" s="210"/>
      <c r="U39" s="210"/>
      <c r="V39" s="210"/>
      <c r="W39" s="210"/>
      <c r="X39" s="210"/>
      <c r="Y39" s="210"/>
      <c r="Z39" s="210"/>
      <c r="AA39" s="210"/>
      <c r="AB39" s="210"/>
      <c r="AC39" s="210"/>
      <c r="AD39" s="210"/>
      <c r="AE39" s="210"/>
      <c r="AF39" s="210"/>
    </row>
    <row r="40" customFormat="false" ht="23.25" hidden="false" customHeight="true" outlineLevel="0" collapsed="false">
      <c r="A40" s="210"/>
      <c r="B40" s="210"/>
      <c r="C40" s="304"/>
      <c r="D40" s="305"/>
      <c r="E40" s="305"/>
      <c r="F40" s="305"/>
      <c r="G40" s="305"/>
      <c r="H40" s="305"/>
      <c r="I40" s="306"/>
      <c r="J40" s="256" t="n">
        <f aca="false" t="array" ref="J40:J40">SUM(IF(ISNUMBER(B40:I40), B40:I40, 0))</f>
        <v>0</v>
      </c>
      <c r="K40" s="227"/>
      <c r="L40" s="282" t="s">
        <v>22</v>
      </c>
      <c r="M40" s="210"/>
      <c r="N40" s="210"/>
      <c r="O40" s="210"/>
      <c r="P40" s="210"/>
      <c r="Q40" s="210"/>
      <c r="R40" s="210"/>
      <c r="S40" s="210"/>
      <c r="T40" s="210"/>
      <c r="U40" s="210"/>
      <c r="V40" s="210"/>
      <c r="W40" s="210"/>
      <c r="X40" s="210"/>
      <c r="Y40" s="210"/>
      <c r="Z40" s="210"/>
      <c r="AA40" s="210"/>
      <c r="AB40" s="210"/>
      <c r="AC40" s="210"/>
      <c r="AD40" s="210"/>
      <c r="AE40" s="210"/>
      <c r="AF40" s="210"/>
    </row>
    <row r="41" customFormat="false" ht="23.25" hidden="false" customHeight="true" outlineLevel="0" collapsed="false">
      <c r="A41" s="210"/>
      <c r="B41" s="210"/>
      <c r="C41" s="252"/>
      <c r="D41" s="253"/>
      <c r="E41" s="253"/>
      <c r="F41" s="253"/>
      <c r="G41" s="253"/>
      <c r="H41" s="253"/>
      <c r="I41" s="255"/>
      <c r="J41" s="256" t="n">
        <f aca="false" t="array" ref="J41:J41">SUM(IF(ISNUMBER(B41:I41), B41:I41, 0))</f>
        <v>0</v>
      </c>
      <c r="K41" s="227"/>
      <c r="L41" s="282" t="s">
        <v>24</v>
      </c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  <c r="Y41" s="210"/>
      <c r="Z41" s="210"/>
      <c r="AA41" s="210"/>
      <c r="AB41" s="210"/>
      <c r="AC41" s="210"/>
      <c r="AD41" s="210"/>
      <c r="AE41" s="210"/>
      <c r="AF41" s="210"/>
    </row>
    <row r="42" customFormat="false" ht="23.25" hidden="false" customHeight="true" outlineLevel="0" collapsed="false">
      <c r="A42" s="210"/>
      <c r="B42" s="210"/>
      <c r="C42" s="252"/>
      <c r="D42" s="253"/>
      <c r="E42" s="253"/>
      <c r="F42" s="253"/>
      <c r="G42" s="253"/>
      <c r="H42" s="253"/>
      <c r="I42" s="255"/>
      <c r="J42" s="258" t="n">
        <f aca="false" t="array" ref="J42:J42">SUM(IF(ISNUMBER(B42:I42), B42:I42, 0))</f>
        <v>0</v>
      </c>
      <c r="K42" s="227"/>
      <c r="L42" s="282" t="s">
        <v>26</v>
      </c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  <c r="Y42" s="210"/>
      <c r="Z42" s="210"/>
      <c r="AA42" s="210"/>
      <c r="AB42" s="210"/>
      <c r="AC42" s="210"/>
      <c r="AD42" s="210"/>
      <c r="AE42" s="210"/>
      <c r="AF42" s="210"/>
    </row>
    <row r="43" customFormat="false" ht="23.25" hidden="false" customHeight="true" outlineLevel="0" collapsed="false">
      <c r="A43" s="210"/>
      <c r="B43" s="210"/>
      <c r="C43" s="307" t="s">
        <v>127</v>
      </c>
      <c r="D43" s="264" t="s">
        <v>128</v>
      </c>
      <c r="E43" s="297" t="s">
        <v>129</v>
      </c>
      <c r="F43" s="261" t="s">
        <v>130</v>
      </c>
      <c r="G43" s="261" t="s">
        <v>131</v>
      </c>
      <c r="H43" s="261" t="s">
        <v>4</v>
      </c>
      <c r="I43" s="298" t="s">
        <v>4</v>
      </c>
      <c r="J43" s="258" t="n">
        <v>25.68</v>
      </c>
      <c r="K43" s="227"/>
      <c r="L43" s="257" t="s">
        <v>28</v>
      </c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  <c r="Y43" s="210"/>
      <c r="Z43" s="210"/>
      <c r="AA43" s="210"/>
      <c r="AB43" s="210"/>
      <c r="AC43" s="210"/>
      <c r="AD43" s="210"/>
      <c r="AE43" s="210"/>
      <c r="AF43" s="210"/>
    </row>
    <row r="44" customFormat="false" ht="23.25" hidden="false" customHeight="true" outlineLevel="0" collapsed="false">
      <c r="A44" s="210"/>
      <c r="B44" s="210"/>
      <c r="C44" s="231"/>
      <c r="D44" s="308"/>
      <c r="E44" s="299"/>
      <c r="F44" s="227"/>
      <c r="G44" s="227"/>
      <c r="H44" s="227"/>
      <c r="I44" s="227"/>
      <c r="J44" s="227"/>
      <c r="K44" s="227"/>
      <c r="L44" s="251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  <c r="Y44" s="210"/>
      <c r="Z44" s="210"/>
      <c r="AA44" s="210"/>
      <c r="AB44" s="210"/>
      <c r="AC44" s="210"/>
      <c r="AD44" s="210"/>
      <c r="AE44" s="210"/>
      <c r="AF44" s="210"/>
    </row>
    <row r="45" customFormat="false" ht="23.25" hidden="false" customHeight="true" outlineLevel="0" collapsed="false">
      <c r="A45" s="210"/>
      <c r="B45" s="210"/>
      <c r="C45" s="246"/>
      <c r="D45" s="289"/>
      <c r="E45" s="271"/>
      <c r="F45" s="227"/>
      <c r="G45" s="227"/>
      <c r="H45" s="227"/>
      <c r="I45" s="227"/>
      <c r="J45" s="227"/>
      <c r="K45" s="227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  <c r="AA45" s="210"/>
      <c r="AB45" s="210"/>
      <c r="AC45" s="210"/>
      <c r="AD45" s="210"/>
      <c r="AE45" s="210"/>
      <c r="AF45" s="210"/>
    </row>
    <row r="46" customFormat="false" ht="23.25" hidden="false" customHeight="true" outlineLevel="0" collapsed="false">
      <c r="A46" s="210"/>
      <c r="B46" s="210"/>
      <c r="C46" s="309"/>
      <c r="D46" s="310"/>
      <c r="E46" s="227"/>
      <c r="F46" s="227"/>
      <c r="G46" s="227"/>
      <c r="H46" s="227"/>
      <c r="I46" s="227"/>
      <c r="J46" s="227"/>
      <c r="K46" s="227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  <c r="AA46" s="210"/>
      <c r="AB46" s="210"/>
      <c r="AC46" s="210"/>
      <c r="AD46" s="210"/>
      <c r="AE46" s="210"/>
      <c r="AF46" s="210"/>
    </row>
    <row r="47" customFormat="false" ht="23.25" hidden="false" customHeight="true" outlineLevel="0" collapsed="false">
      <c r="A47" s="210"/>
      <c r="B47" s="210"/>
      <c r="C47" s="246"/>
      <c r="D47" s="289"/>
      <c r="E47" s="227"/>
      <c r="G47" s="227"/>
      <c r="H47" s="227"/>
      <c r="I47" s="227"/>
      <c r="J47" s="250" t="s">
        <v>33</v>
      </c>
      <c r="K47" s="311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  <c r="AA47" s="210"/>
      <c r="AB47" s="210"/>
      <c r="AC47" s="210"/>
      <c r="AD47" s="210"/>
      <c r="AE47" s="210"/>
      <c r="AF47" s="210"/>
    </row>
    <row r="48" customFormat="false" ht="23.25" hidden="false" customHeight="true" outlineLevel="0" collapsed="false">
      <c r="A48" s="210"/>
      <c r="B48" s="210"/>
      <c r="C48" s="304"/>
      <c r="D48" s="310"/>
      <c r="E48" s="227"/>
      <c r="G48" s="227"/>
      <c r="H48" s="227"/>
      <c r="I48" s="227"/>
      <c r="J48" s="256" t="n">
        <f aca="false" t="array" ref="J48:J48">SUM(IF(ISNUMBER(B48:D48), B48:D48, 0))</f>
        <v>0</v>
      </c>
      <c r="L48" s="282" t="s">
        <v>22</v>
      </c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  <c r="AA48" s="210"/>
      <c r="AB48" s="210"/>
      <c r="AC48" s="210"/>
      <c r="AD48" s="210"/>
      <c r="AE48" s="210"/>
      <c r="AF48" s="210"/>
    </row>
    <row r="49" customFormat="false" ht="23.25" hidden="false" customHeight="true" outlineLevel="0" collapsed="false">
      <c r="A49" s="210"/>
      <c r="B49" s="210"/>
      <c r="C49" s="252"/>
      <c r="D49" s="310"/>
      <c r="E49" s="227"/>
      <c r="G49" s="227"/>
      <c r="H49" s="227"/>
      <c r="I49" s="227"/>
      <c r="J49" s="256" t="n">
        <f aca="false" t="array" ref="J49:J49">SUM(IF(ISNUMBER(B49:D49), B49:D49, 0))</f>
        <v>0</v>
      </c>
      <c r="L49" s="282" t="s">
        <v>24</v>
      </c>
      <c r="M49" s="210"/>
      <c r="N49" s="210"/>
      <c r="O49" s="210"/>
      <c r="P49" s="210"/>
      <c r="Q49" s="210"/>
      <c r="R49" s="210"/>
      <c r="S49" s="210"/>
      <c r="T49" s="210"/>
      <c r="U49" s="210"/>
      <c r="V49" s="210"/>
      <c r="W49" s="210"/>
      <c r="X49" s="210"/>
      <c r="Y49" s="210"/>
      <c r="Z49" s="210"/>
      <c r="AA49" s="210"/>
      <c r="AB49" s="210"/>
      <c r="AC49" s="210"/>
      <c r="AD49" s="210"/>
      <c r="AE49" s="210"/>
      <c r="AF49" s="210"/>
    </row>
    <row r="50" customFormat="false" ht="23.25" hidden="false" customHeight="true" outlineLevel="0" collapsed="false">
      <c r="A50" s="210"/>
      <c r="B50" s="210"/>
      <c r="C50" s="252"/>
      <c r="D50" s="310"/>
      <c r="E50" s="227"/>
      <c r="G50" s="227"/>
      <c r="H50" s="227"/>
      <c r="I50" s="227"/>
      <c r="J50" s="258" t="n">
        <f aca="false" t="array" ref="J50:J50">SUM(IF(ISNUMBER(B50:D50), B50:D50, 0))</f>
        <v>0</v>
      </c>
      <c r="L50" s="282" t="s">
        <v>26</v>
      </c>
      <c r="M50" s="210"/>
      <c r="N50" s="210"/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210"/>
      <c r="Z50" s="210"/>
      <c r="AA50" s="210"/>
      <c r="AB50" s="210"/>
      <c r="AC50" s="210"/>
      <c r="AD50" s="210"/>
      <c r="AE50" s="210"/>
      <c r="AF50" s="210"/>
    </row>
    <row r="51" customFormat="false" ht="23.25" hidden="false" customHeight="true" outlineLevel="0" collapsed="false">
      <c r="A51" s="210"/>
      <c r="B51" s="210"/>
      <c r="C51" s="283"/>
      <c r="D51" s="298"/>
      <c r="G51" s="227"/>
      <c r="H51" s="227"/>
      <c r="I51" s="227"/>
      <c r="J51" s="258"/>
      <c r="L51" s="257" t="s">
        <v>28</v>
      </c>
      <c r="M51" s="210"/>
      <c r="N51" s="210"/>
      <c r="O51" s="210"/>
      <c r="P51" s="210"/>
      <c r="Q51" s="210"/>
      <c r="R51" s="210"/>
      <c r="S51" s="210"/>
      <c r="T51" s="210"/>
      <c r="U51" s="210"/>
      <c r="V51" s="210"/>
      <c r="W51" s="210"/>
      <c r="X51" s="210"/>
      <c r="Y51" s="210"/>
      <c r="Z51" s="210"/>
      <c r="AA51" s="210"/>
      <c r="AB51" s="210"/>
      <c r="AC51" s="210"/>
      <c r="AD51" s="210"/>
      <c r="AE51" s="210"/>
      <c r="AF51" s="210"/>
    </row>
    <row r="52" customFormat="false" ht="23.25" hidden="false" customHeight="true" outlineLevel="0" collapsed="false">
      <c r="A52" s="210"/>
      <c r="B52" s="210"/>
      <c r="C52" s="227"/>
      <c r="D52" s="227"/>
      <c r="E52" s="227"/>
      <c r="F52" s="227"/>
      <c r="G52" s="227"/>
      <c r="H52" s="227"/>
      <c r="I52" s="227"/>
      <c r="J52" s="227"/>
      <c r="K52" s="227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  <c r="AA52" s="210"/>
      <c r="AB52" s="210"/>
      <c r="AC52" s="210"/>
      <c r="AD52" s="210"/>
      <c r="AE52" s="210"/>
      <c r="AF52" s="210"/>
    </row>
    <row r="53" customFormat="false" ht="22.5" hidden="false" customHeight="true" outlineLevel="0" collapsed="false">
      <c r="A53" s="210"/>
      <c r="B53" s="210"/>
      <c r="C53" s="210"/>
      <c r="D53" s="210"/>
      <c r="E53" s="210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  <c r="AA53" s="210"/>
      <c r="AB53" s="210"/>
      <c r="AC53" s="210"/>
      <c r="AD53" s="210"/>
      <c r="AE53" s="210"/>
      <c r="AF53" s="210"/>
    </row>
    <row r="54" customFormat="false" ht="16.5" hidden="false" customHeight="false" outlineLevel="0" collapsed="false">
      <c r="A54" s="210"/>
      <c r="B54" s="210"/>
      <c r="C54" s="210"/>
      <c r="D54" s="210"/>
      <c r="E54" s="210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  <c r="AA54" s="210"/>
      <c r="AB54" s="210"/>
      <c r="AC54" s="210"/>
      <c r="AD54" s="210"/>
      <c r="AE54" s="210"/>
      <c r="AF54" s="210"/>
    </row>
    <row r="55" customFormat="false" ht="16.5" hidden="false" customHeight="false" outlineLevel="0" collapsed="false">
      <c r="A55" s="210"/>
      <c r="B55" s="210"/>
      <c r="C55" s="210"/>
      <c r="D55" s="210"/>
      <c r="E55" s="210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  <c r="AA55" s="210"/>
      <c r="AB55" s="210"/>
      <c r="AC55" s="210"/>
      <c r="AD55" s="210"/>
      <c r="AE55" s="210"/>
      <c r="AF55" s="210"/>
    </row>
    <row r="56" customFormat="false" ht="16.5" hidden="false" customHeight="false" outlineLevel="0" collapsed="false">
      <c r="A56" s="210"/>
      <c r="B56" s="210"/>
      <c r="C56" s="210"/>
      <c r="D56" s="210"/>
      <c r="E56" s="210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  <c r="AA56" s="210"/>
      <c r="AB56" s="210"/>
      <c r="AC56" s="210"/>
      <c r="AD56" s="210"/>
      <c r="AE56" s="210"/>
      <c r="AF56" s="210"/>
    </row>
    <row r="57" customFormat="false" ht="16.5" hidden="false" customHeight="false" outlineLevel="0" collapsed="false">
      <c r="A57" s="210"/>
      <c r="B57" s="210"/>
      <c r="C57" s="210"/>
      <c r="D57" s="210"/>
      <c r="E57" s="210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210"/>
      <c r="W57" s="210"/>
      <c r="X57" s="210"/>
      <c r="Y57" s="210"/>
      <c r="Z57" s="210"/>
      <c r="AA57" s="210"/>
      <c r="AB57" s="210"/>
      <c r="AC57" s="210"/>
      <c r="AD57" s="210"/>
      <c r="AE57" s="210"/>
      <c r="AF57" s="210"/>
    </row>
    <row r="58" customFormat="false" ht="16.5" hidden="false" customHeight="false" outlineLevel="0" collapsed="false">
      <c r="A58" s="210"/>
      <c r="B58" s="210"/>
      <c r="C58" s="210"/>
      <c r="D58" s="210"/>
      <c r="E58" s="210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210"/>
      <c r="W58" s="210"/>
      <c r="X58" s="210"/>
      <c r="Y58" s="210"/>
      <c r="Z58" s="210"/>
      <c r="AA58" s="210"/>
      <c r="AB58" s="210"/>
      <c r="AC58" s="210"/>
      <c r="AD58" s="210"/>
      <c r="AE58" s="210"/>
      <c r="AF58" s="210"/>
    </row>
    <row r="59" customFormat="false" ht="16.5" hidden="false" customHeight="false" outlineLevel="0" collapsed="false">
      <c r="A59" s="210"/>
      <c r="B59" s="210"/>
      <c r="C59" s="210"/>
      <c r="D59" s="210"/>
      <c r="E59" s="210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210"/>
      <c r="W59" s="210"/>
      <c r="X59" s="210"/>
      <c r="Y59" s="210"/>
      <c r="Z59" s="210"/>
      <c r="AA59" s="210"/>
      <c r="AB59" s="210"/>
      <c r="AC59" s="210"/>
      <c r="AD59" s="210"/>
      <c r="AE59" s="210"/>
      <c r="AF59" s="210"/>
    </row>
    <row r="60" customFormat="false" ht="16.5" hidden="false" customHeight="false" outlineLevel="0" collapsed="false">
      <c r="A60" s="210"/>
      <c r="B60" s="210"/>
      <c r="C60" s="210"/>
      <c r="D60" s="210"/>
      <c r="E60" s="210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  <c r="AA60" s="210"/>
      <c r="AB60" s="210"/>
      <c r="AC60" s="210"/>
      <c r="AD60" s="210"/>
      <c r="AE60" s="210"/>
      <c r="AF60" s="210"/>
    </row>
    <row r="61" customFormat="false" ht="16.5" hidden="false" customHeight="false" outlineLevel="0" collapsed="false">
      <c r="A61" s="210"/>
      <c r="B61" s="210"/>
      <c r="C61" s="210"/>
      <c r="D61" s="210"/>
      <c r="E61" s="210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210"/>
      <c r="W61" s="210"/>
      <c r="X61" s="210"/>
      <c r="Y61" s="210"/>
      <c r="Z61" s="210"/>
      <c r="AA61" s="210"/>
      <c r="AB61" s="210"/>
      <c r="AC61" s="210"/>
      <c r="AD61" s="210"/>
      <c r="AE61" s="210"/>
      <c r="AF61" s="210"/>
    </row>
    <row r="62" customFormat="false" ht="16.5" hidden="false" customHeight="false" outlineLevel="0" collapsed="false">
      <c r="A62" s="210"/>
      <c r="B62" s="210"/>
      <c r="C62" s="210"/>
      <c r="D62" s="210"/>
      <c r="E62" s="210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210"/>
      <c r="W62" s="210"/>
      <c r="X62" s="210"/>
      <c r="Y62" s="210"/>
      <c r="Z62" s="210"/>
      <c r="AA62" s="210"/>
      <c r="AB62" s="210"/>
      <c r="AC62" s="210"/>
      <c r="AD62" s="210"/>
      <c r="AE62" s="210"/>
      <c r="AF62" s="210"/>
    </row>
    <row r="63" customFormat="false" ht="16.5" hidden="false" customHeight="false" outlineLevel="0" collapsed="false">
      <c r="A63" s="210"/>
      <c r="B63" s="210"/>
      <c r="C63" s="210"/>
      <c r="D63" s="210"/>
      <c r="E63" s="210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  <c r="AA63" s="210"/>
      <c r="AB63" s="210"/>
      <c r="AC63" s="210"/>
      <c r="AD63" s="210"/>
      <c r="AE63" s="210"/>
      <c r="AF63" s="210"/>
    </row>
    <row r="64" customFormat="false" ht="16.5" hidden="false" customHeight="false" outlineLevel="0" collapsed="false">
      <c r="A64" s="210"/>
      <c r="B64" s="210"/>
      <c r="C64" s="210"/>
      <c r="D64" s="210"/>
      <c r="E64" s="210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210"/>
      <c r="W64" s="210"/>
      <c r="X64" s="210"/>
      <c r="Y64" s="210"/>
      <c r="Z64" s="210"/>
      <c r="AA64" s="210"/>
      <c r="AB64" s="210"/>
      <c r="AC64" s="210"/>
      <c r="AD64" s="210"/>
      <c r="AE64" s="210"/>
      <c r="AF64" s="210"/>
    </row>
    <row r="65" customFormat="false" ht="16.5" hidden="false" customHeight="false" outlineLevel="0" collapsed="false">
      <c r="A65" s="210"/>
      <c r="B65" s="210"/>
      <c r="C65" s="210"/>
      <c r="D65" s="210"/>
      <c r="E65" s="210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210"/>
      <c r="W65" s="210"/>
      <c r="X65" s="210"/>
      <c r="Y65" s="210"/>
      <c r="Z65" s="210"/>
      <c r="AA65" s="210"/>
      <c r="AB65" s="210"/>
      <c r="AC65" s="210"/>
      <c r="AD65" s="210"/>
      <c r="AE65" s="210"/>
      <c r="AF65" s="210"/>
    </row>
    <row r="66" customFormat="false" ht="16.5" hidden="false" customHeight="false" outlineLevel="0" collapsed="false">
      <c r="A66" s="210"/>
      <c r="B66" s="210"/>
      <c r="C66" s="210"/>
      <c r="D66" s="210"/>
      <c r="E66" s="210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210"/>
      <c r="W66" s="210"/>
      <c r="X66" s="210"/>
      <c r="Y66" s="210"/>
      <c r="Z66" s="210"/>
      <c r="AA66" s="210"/>
      <c r="AB66" s="210"/>
      <c r="AC66" s="210"/>
      <c r="AD66" s="210"/>
      <c r="AE66" s="210"/>
      <c r="AF66" s="210"/>
    </row>
    <row r="67" customFormat="false" ht="16.5" hidden="false" customHeight="false" outlineLevel="0" collapsed="false">
      <c r="A67" s="210"/>
      <c r="B67" s="210"/>
      <c r="C67" s="210"/>
      <c r="D67" s="210"/>
      <c r="E67" s="210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  <c r="AA67" s="210"/>
      <c r="AB67" s="210"/>
      <c r="AC67" s="210"/>
      <c r="AD67" s="210"/>
      <c r="AE67" s="210"/>
      <c r="AF67" s="210"/>
    </row>
    <row r="68" customFormat="false" ht="16.5" hidden="false" customHeight="false" outlineLevel="0" collapsed="false">
      <c r="A68" s="210"/>
      <c r="B68" s="210"/>
      <c r="C68" s="210"/>
      <c r="D68" s="210"/>
      <c r="E68" s="210"/>
      <c r="F68" s="210"/>
      <c r="G68" s="210"/>
      <c r="H68" s="210"/>
      <c r="I68" s="210"/>
      <c r="J68" s="210"/>
      <c r="K68" s="210"/>
      <c r="L68" s="210"/>
      <c r="M68" s="210"/>
      <c r="N68" s="210"/>
      <c r="O68" s="210"/>
      <c r="P68" s="210"/>
      <c r="Q68" s="210"/>
      <c r="R68" s="210"/>
      <c r="S68" s="210"/>
      <c r="T68" s="210"/>
      <c r="U68" s="210"/>
      <c r="V68" s="210"/>
      <c r="W68" s="210"/>
      <c r="X68" s="210"/>
      <c r="Y68" s="210"/>
      <c r="Z68" s="210"/>
      <c r="AA68" s="210"/>
      <c r="AB68" s="210"/>
      <c r="AC68" s="210"/>
      <c r="AD68" s="210"/>
      <c r="AE68" s="210"/>
      <c r="AF68" s="210"/>
    </row>
    <row r="69" customFormat="false" ht="16.5" hidden="false" customHeight="false" outlineLevel="0" collapsed="false">
      <c r="A69" s="210"/>
      <c r="B69" s="210"/>
      <c r="C69" s="210"/>
      <c r="D69" s="210"/>
      <c r="E69" s="210"/>
      <c r="F69" s="210"/>
      <c r="G69" s="210"/>
      <c r="H69" s="210"/>
      <c r="I69" s="210"/>
      <c r="J69" s="210"/>
      <c r="K69" s="210"/>
      <c r="L69" s="210"/>
      <c r="M69" s="210"/>
      <c r="N69" s="210"/>
      <c r="O69" s="210"/>
      <c r="P69" s="210"/>
      <c r="Q69" s="210"/>
      <c r="R69" s="210"/>
      <c r="S69" s="210"/>
      <c r="T69" s="210"/>
      <c r="U69" s="210"/>
      <c r="V69" s="210"/>
      <c r="W69" s="210"/>
      <c r="X69" s="210"/>
      <c r="Y69" s="210"/>
      <c r="Z69" s="210"/>
      <c r="AA69" s="210"/>
      <c r="AB69" s="210"/>
      <c r="AC69" s="210"/>
      <c r="AD69" s="210"/>
      <c r="AE69" s="210"/>
      <c r="AF69" s="210"/>
    </row>
    <row r="70" customFormat="false" ht="16.5" hidden="false" customHeight="false" outlineLevel="0" collapsed="false">
      <c r="A70" s="210"/>
      <c r="B70" s="210"/>
      <c r="C70" s="210"/>
      <c r="D70" s="210"/>
      <c r="E70" s="210"/>
      <c r="F70" s="210"/>
      <c r="G70" s="210"/>
      <c r="H70" s="210"/>
      <c r="I70" s="210"/>
      <c r="J70" s="210"/>
      <c r="K70" s="210"/>
      <c r="L70" s="210"/>
      <c r="M70" s="210"/>
      <c r="N70" s="210"/>
      <c r="O70" s="210"/>
      <c r="P70" s="210"/>
      <c r="Q70" s="210"/>
      <c r="R70" s="210"/>
      <c r="S70" s="210"/>
      <c r="T70" s="210"/>
      <c r="U70" s="210"/>
      <c r="V70" s="210"/>
      <c r="W70" s="210"/>
      <c r="X70" s="210"/>
      <c r="Y70" s="210"/>
      <c r="Z70" s="210"/>
      <c r="AA70" s="210"/>
      <c r="AB70" s="210"/>
      <c r="AC70" s="210"/>
      <c r="AD70" s="210"/>
      <c r="AE70" s="210"/>
      <c r="AF70" s="210"/>
    </row>
    <row r="71" customFormat="false" ht="16.5" hidden="false" customHeight="false" outlineLevel="0" collapsed="false">
      <c r="A71" s="210"/>
      <c r="B71" s="210"/>
      <c r="C71" s="210"/>
      <c r="D71" s="210"/>
      <c r="E71" s="210"/>
      <c r="F71" s="210"/>
      <c r="G71" s="210"/>
      <c r="H71" s="210"/>
      <c r="I71" s="210"/>
      <c r="J71" s="210"/>
      <c r="K71" s="210"/>
      <c r="L71" s="210"/>
      <c r="M71" s="210"/>
      <c r="N71" s="210"/>
      <c r="O71" s="210"/>
      <c r="P71" s="210"/>
      <c r="Q71" s="210"/>
      <c r="R71" s="210"/>
      <c r="S71" s="210"/>
      <c r="T71" s="210"/>
      <c r="U71" s="210"/>
      <c r="V71" s="210"/>
      <c r="W71" s="210"/>
      <c r="X71" s="210"/>
      <c r="Y71" s="210"/>
      <c r="Z71" s="210"/>
      <c r="AA71" s="210"/>
      <c r="AB71" s="210"/>
      <c r="AC71" s="210"/>
      <c r="AD71" s="210"/>
      <c r="AE71" s="210"/>
      <c r="AF71" s="210"/>
    </row>
    <row r="72" customFormat="false" ht="16.5" hidden="false" customHeight="false" outlineLevel="0" collapsed="false">
      <c r="A72" s="210"/>
      <c r="B72" s="210"/>
      <c r="C72" s="210"/>
      <c r="D72" s="210"/>
      <c r="E72" s="210"/>
      <c r="F72" s="210"/>
      <c r="G72" s="210"/>
      <c r="H72" s="210"/>
      <c r="I72" s="210"/>
      <c r="J72" s="210"/>
      <c r="K72" s="210"/>
      <c r="L72" s="210"/>
      <c r="M72" s="210"/>
      <c r="N72" s="210"/>
      <c r="O72" s="210"/>
      <c r="P72" s="210"/>
      <c r="Q72" s="210"/>
      <c r="R72" s="210"/>
      <c r="S72" s="210"/>
      <c r="T72" s="210"/>
      <c r="U72" s="210"/>
      <c r="V72" s="210"/>
      <c r="W72" s="210"/>
      <c r="X72" s="210"/>
      <c r="Y72" s="210"/>
      <c r="Z72" s="210"/>
      <c r="AA72" s="210"/>
      <c r="AB72" s="210"/>
      <c r="AC72" s="210"/>
      <c r="AD72" s="210"/>
      <c r="AE72" s="210"/>
      <c r="AF72" s="210"/>
    </row>
    <row r="73" customFormat="false" ht="16.5" hidden="false" customHeight="false" outlineLevel="0" collapsed="false">
      <c r="A73" s="210"/>
      <c r="B73" s="210"/>
      <c r="C73" s="210"/>
      <c r="D73" s="210"/>
      <c r="E73" s="210"/>
      <c r="F73" s="210"/>
      <c r="G73" s="210"/>
      <c r="H73" s="210"/>
      <c r="I73" s="210"/>
      <c r="J73" s="210"/>
      <c r="K73" s="210"/>
      <c r="L73" s="210"/>
      <c r="M73" s="210"/>
      <c r="N73" s="210"/>
      <c r="O73" s="210"/>
      <c r="P73" s="210"/>
      <c r="Q73" s="210"/>
      <c r="R73" s="210"/>
      <c r="S73" s="210"/>
      <c r="T73" s="210"/>
      <c r="U73" s="210"/>
      <c r="V73" s="210"/>
      <c r="W73" s="210"/>
      <c r="X73" s="210"/>
      <c r="Y73" s="210"/>
      <c r="Z73" s="210"/>
      <c r="AA73" s="210"/>
      <c r="AB73" s="210"/>
      <c r="AC73" s="210"/>
      <c r="AD73" s="210"/>
      <c r="AE73" s="210"/>
      <c r="AF73" s="210"/>
    </row>
    <row r="74" customFormat="false" ht="16.5" hidden="false" customHeight="false" outlineLevel="0" collapsed="false">
      <c r="A74" s="210"/>
      <c r="B74" s="210"/>
      <c r="C74" s="210"/>
      <c r="D74" s="210"/>
      <c r="E74" s="210"/>
      <c r="F74" s="210"/>
      <c r="G74" s="210"/>
      <c r="H74" s="210"/>
      <c r="I74" s="210"/>
      <c r="J74" s="210"/>
      <c r="K74" s="210"/>
      <c r="L74" s="210"/>
      <c r="M74" s="210"/>
      <c r="N74" s="210"/>
      <c r="O74" s="210"/>
      <c r="P74" s="210"/>
      <c r="Q74" s="210"/>
      <c r="R74" s="210"/>
      <c r="S74" s="210"/>
      <c r="T74" s="210"/>
      <c r="U74" s="210"/>
      <c r="V74" s="210"/>
      <c r="W74" s="210"/>
      <c r="X74" s="210"/>
      <c r="Y74" s="210"/>
      <c r="Z74" s="210"/>
      <c r="AA74" s="210"/>
      <c r="AB74" s="210"/>
      <c r="AC74" s="210"/>
      <c r="AD74" s="210"/>
      <c r="AE74" s="210"/>
      <c r="AF74" s="210"/>
    </row>
    <row r="75" customFormat="false" ht="16.5" hidden="false" customHeight="false" outlineLevel="0" collapsed="false">
      <c r="A75" s="210"/>
      <c r="B75" s="210"/>
      <c r="C75" s="210"/>
      <c r="D75" s="210"/>
      <c r="E75" s="210"/>
      <c r="F75" s="210"/>
      <c r="G75" s="210"/>
      <c r="H75" s="210"/>
      <c r="I75" s="210"/>
      <c r="J75" s="210"/>
      <c r="K75" s="210"/>
      <c r="L75" s="210"/>
      <c r="M75" s="210"/>
      <c r="N75" s="210"/>
      <c r="O75" s="210"/>
      <c r="P75" s="210"/>
      <c r="Q75" s="210"/>
      <c r="R75" s="210"/>
      <c r="S75" s="210"/>
      <c r="T75" s="210"/>
      <c r="U75" s="210"/>
      <c r="V75" s="210"/>
      <c r="W75" s="210"/>
      <c r="X75" s="210"/>
      <c r="Y75" s="210"/>
      <c r="Z75" s="210"/>
      <c r="AA75" s="210"/>
      <c r="AB75" s="210"/>
      <c r="AC75" s="210"/>
      <c r="AD75" s="210"/>
      <c r="AE75" s="210"/>
      <c r="AF75" s="210"/>
    </row>
    <row r="76" customFormat="false" ht="16.5" hidden="false" customHeight="false" outlineLevel="0" collapsed="false">
      <c r="A76" s="210"/>
      <c r="B76" s="210"/>
      <c r="C76" s="210"/>
      <c r="D76" s="210"/>
      <c r="E76" s="210"/>
      <c r="F76" s="210"/>
      <c r="G76" s="210"/>
      <c r="H76" s="210"/>
      <c r="I76" s="210"/>
      <c r="J76" s="210"/>
      <c r="K76" s="210"/>
      <c r="L76" s="210"/>
      <c r="M76" s="210"/>
      <c r="N76" s="210"/>
      <c r="O76" s="210"/>
      <c r="P76" s="210"/>
      <c r="Q76" s="210"/>
      <c r="R76" s="210"/>
      <c r="S76" s="210"/>
      <c r="T76" s="210"/>
      <c r="U76" s="210"/>
      <c r="V76" s="210"/>
      <c r="W76" s="210"/>
      <c r="X76" s="210"/>
      <c r="Y76" s="210"/>
      <c r="Z76" s="210"/>
      <c r="AA76" s="210"/>
      <c r="AB76" s="210"/>
      <c r="AC76" s="210"/>
      <c r="AD76" s="210"/>
      <c r="AE76" s="210"/>
      <c r="AF76" s="210"/>
    </row>
    <row r="77" customFormat="false" ht="16.5" hidden="false" customHeight="false" outlineLevel="0" collapsed="false">
      <c r="A77" s="210"/>
      <c r="B77" s="210"/>
      <c r="C77" s="210"/>
      <c r="D77" s="210"/>
      <c r="E77" s="210"/>
      <c r="F77" s="210"/>
      <c r="G77" s="210"/>
      <c r="H77" s="210"/>
      <c r="I77" s="210"/>
      <c r="J77" s="210"/>
      <c r="K77" s="210"/>
      <c r="L77" s="210"/>
      <c r="M77" s="210"/>
      <c r="N77" s="210"/>
      <c r="O77" s="210"/>
      <c r="P77" s="210"/>
      <c r="Q77" s="210"/>
      <c r="R77" s="210"/>
      <c r="S77" s="210"/>
      <c r="T77" s="210"/>
      <c r="U77" s="210"/>
      <c r="V77" s="210"/>
      <c r="W77" s="210"/>
      <c r="X77" s="210"/>
      <c r="Y77" s="210"/>
      <c r="Z77" s="210"/>
      <c r="AA77" s="210"/>
      <c r="AB77" s="210"/>
      <c r="AC77" s="210"/>
      <c r="AD77" s="210"/>
      <c r="AE77" s="210"/>
      <c r="AF77" s="210"/>
    </row>
    <row r="78" customFormat="false" ht="16.5" hidden="false" customHeight="false" outlineLevel="0" collapsed="false">
      <c r="A78" s="210"/>
      <c r="B78" s="210"/>
      <c r="C78" s="210"/>
      <c r="D78" s="210"/>
      <c r="E78" s="210"/>
      <c r="F78" s="210"/>
      <c r="G78" s="210"/>
      <c r="H78" s="210"/>
      <c r="I78" s="210"/>
      <c r="J78" s="210"/>
      <c r="K78" s="210"/>
      <c r="L78" s="210"/>
      <c r="M78" s="210"/>
      <c r="N78" s="210"/>
      <c r="O78" s="210"/>
      <c r="P78" s="210"/>
      <c r="Q78" s="210"/>
      <c r="R78" s="210"/>
      <c r="S78" s="210"/>
      <c r="T78" s="210"/>
      <c r="U78" s="210"/>
      <c r="V78" s="210"/>
      <c r="W78" s="210"/>
      <c r="X78" s="210"/>
      <c r="Y78" s="210"/>
      <c r="Z78" s="210"/>
      <c r="AA78" s="210"/>
      <c r="AB78" s="210"/>
      <c r="AC78" s="210"/>
      <c r="AD78" s="210"/>
      <c r="AE78" s="210"/>
      <c r="AF78" s="210"/>
    </row>
    <row r="79" customFormat="false" ht="16.5" hidden="false" customHeight="false" outlineLevel="0" collapsed="false">
      <c r="A79" s="210"/>
      <c r="B79" s="210"/>
      <c r="C79" s="210"/>
      <c r="D79" s="210"/>
      <c r="E79" s="210"/>
      <c r="F79" s="210"/>
      <c r="G79" s="210"/>
      <c r="H79" s="210"/>
      <c r="I79" s="210"/>
      <c r="J79" s="210"/>
      <c r="K79" s="210"/>
      <c r="L79" s="210"/>
      <c r="M79" s="210"/>
      <c r="N79" s="210"/>
      <c r="O79" s="210"/>
      <c r="P79" s="210"/>
      <c r="Q79" s="210"/>
      <c r="R79" s="210"/>
      <c r="S79" s="210"/>
      <c r="T79" s="210"/>
      <c r="U79" s="210"/>
      <c r="V79" s="210"/>
      <c r="W79" s="210"/>
      <c r="X79" s="210"/>
      <c r="Y79" s="210"/>
      <c r="Z79" s="210"/>
      <c r="AA79" s="210"/>
      <c r="AB79" s="210"/>
      <c r="AC79" s="210"/>
      <c r="AD79" s="210"/>
      <c r="AE79" s="210"/>
      <c r="AF79" s="210"/>
    </row>
    <row r="80" customFormat="false" ht="16.5" hidden="false" customHeight="false" outlineLevel="0" collapsed="false">
      <c r="A80" s="210"/>
      <c r="B80" s="210"/>
      <c r="C80" s="210"/>
      <c r="D80" s="210"/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  <c r="AA80" s="210"/>
      <c r="AB80" s="210"/>
      <c r="AC80" s="210"/>
      <c r="AD80" s="210"/>
      <c r="AE80" s="210"/>
      <c r="AF80" s="210"/>
    </row>
    <row r="81" customFormat="false" ht="16.5" hidden="false" customHeight="false" outlineLevel="0" collapsed="false">
      <c r="A81" s="210"/>
      <c r="B81" s="210"/>
      <c r="C81" s="210"/>
      <c r="D81" s="210"/>
      <c r="E81" s="210"/>
      <c r="F81" s="210"/>
      <c r="G81" s="210"/>
      <c r="H81" s="210"/>
      <c r="I81" s="210"/>
      <c r="J81" s="210"/>
      <c r="K81" s="210"/>
      <c r="L81" s="210"/>
      <c r="M81" s="210"/>
      <c r="N81" s="210"/>
      <c r="O81" s="210"/>
      <c r="P81" s="210"/>
      <c r="Q81" s="210"/>
      <c r="R81" s="210"/>
      <c r="S81" s="210"/>
      <c r="T81" s="210"/>
      <c r="U81" s="210"/>
      <c r="V81" s="210"/>
      <c r="W81" s="210"/>
      <c r="X81" s="210"/>
      <c r="Y81" s="210"/>
      <c r="Z81" s="210"/>
      <c r="AA81" s="210"/>
      <c r="AB81" s="210"/>
      <c r="AC81" s="210"/>
      <c r="AD81" s="210"/>
      <c r="AE81" s="210"/>
      <c r="AF81" s="210"/>
    </row>
    <row r="82" customFormat="false" ht="16.5" hidden="false" customHeight="false" outlineLevel="0" collapsed="false">
      <c r="A82" s="210"/>
      <c r="B82" s="210"/>
      <c r="C82" s="210"/>
      <c r="D82" s="210"/>
      <c r="E82" s="210"/>
      <c r="F82" s="210"/>
      <c r="G82" s="210"/>
      <c r="H82" s="210"/>
      <c r="I82" s="210"/>
      <c r="J82" s="210"/>
      <c r="K82" s="210"/>
      <c r="L82" s="210"/>
      <c r="M82" s="210"/>
      <c r="N82" s="210"/>
      <c r="O82" s="210"/>
      <c r="P82" s="210"/>
      <c r="Q82" s="210"/>
      <c r="R82" s="210"/>
      <c r="S82" s="210"/>
      <c r="T82" s="210"/>
      <c r="U82" s="210"/>
      <c r="V82" s="210"/>
      <c r="W82" s="210"/>
      <c r="X82" s="210"/>
      <c r="Y82" s="210"/>
      <c r="Z82" s="210"/>
      <c r="AA82" s="210"/>
      <c r="AB82" s="210"/>
      <c r="AC82" s="210"/>
      <c r="AD82" s="210"/>
      <c r="AE82" s="210"/>
      <c r="AF82" s="210"/>
    </row>
    <row r="83" customFormat="false" ht="16.5" hidden="false" customHeight="false" outlineLevel="0" collapsed="false">
      <c r="A83" s="210"/>
      <c r="B83" s="210"/>
      <c r="C83" s="210"/>
      <c r="D83" s="210"/>
      <c r="E83" s="210"/>
      <c r="F83" s="210"/>
      <c r="G83" s="210"/>
      <c r="H83" s="210"/>
      <c r="I83" s="210"/>
      <c r="J83" s="210"/>
      <c r="K83" s="210"/>
      <c r="L83" s="210"/>
      <c r="M83" s="210"/>
      <c r="N83" s="210"/>
      <c r="O83" s="210"/>
      <c r="P83" s="210"/>
      <c r="Q83" s="210"/>
      <c r="R83" s="210"/>
      <c r="S83" s="210"/>
      <c r="T83" s="210"/>
      <c r="U83" s="210"/>
      <c r="V83" s="210"/>
      <c r="W83" s="210"/>
      <c r="X83" s="210"/>
      <c r="Y83" s="210"/>
      <c r="Z83" s="210"/>
      <c r="AA83" s="210"/>
      <c r="AB83" s="210"/>
      <c r="AC83" s="210"/>
      <c r="AD83" s="210"/>
      <c r="AE83" s="210"/>
      <c r="AF83" s="210"/>
    </row>
    <row r="84" customFormat="false" ht="16.5" hidden="false" customHeight="false" outlineLevel="0" collapsed="false">
      <c r="A84" s="210"/>
      <c r="B84" s="210"/>
      <c r="C84" s="210"/>
      <c r="D84" s="210"/>
      <c r="E84" s="210"/>
      <c r="F84" s="210"/>
      <c r="G84" s="210"/>
      <c r="H84" s="210"/>
      <c r="I84" s="210"/>
      <c r="J84" s="210"/>
      <c r="K84" s="210"/>
      <c r="L84" s="210"/>
      <c r="M84" s="210"/>
      <c r="N84" s="210"/>
      <c r="O84" s="210"/>
      <c r="P84" s="210"/>
      <c r="Q84" s="210"/>
      <c r="R84" s="210"/>
      <c r="S84" s="210"/>
      <c r="T84" s="210"/>
      <c r="U84" s="210"/>
      <c r="V84" s="210"/>
      <c r="W84" s="210"/>
      <c r="X84" s="210"/>
      <c r="Y84" s="210"/>
      <c r="Z84" s="210"/>
      <c r="AA84" s="210"/>
      <c r="AB84" s="210"/>
      <c r="AC84" s="210"/>
      <c r="AD84" s="210"/>
      <c r="AE84" s="210"/>
      <c r="AF84" s="210"/>
    </row>
    <row r="85" customFormat="false" ht="16.5" hidden="false" customHeight="false" outlineLevel="0" collapsed="false">
      <c r="A85" s="210"/>
      <c r="B85" s="210"/>
      <c r="C85" s="210"/>
      <c r="D85" s="210"/>
      <c r="E85" s="210"/>
      <c r="F85" s="210"/>
      <c r="G85" s="210"/>
      <c r="H85" s="210"/>
      <c r="I85" s="210"/>
      <c r="J85" s="210"/>
      <c r="K85" s="210"/>
      <c r="L85" s="210"/>
      <c r="M85" s="210"/>
      <c r="N85" s="210"/>
      <c r="O85" s="210"/>
      <c r="P85" s="210"/>
      <c r="Q85" s="210"/>
      <c r="R85" s="210"/>
      <c r="S85" s="210"/>
      <c r="T85" s="210"/>
      <c r="U85" s="210"/>
      <c r="V85" s="210"/>
      <c r="W85" s="210"/>
      <c r="X85" s="210"/>
      <c r="Y85" s="210"/>
      <c r="Z85" s="210"/>
      <c r="AA85" s="210"/>
      <c r="AB85" s="210"/>
      <c r="AC85" s="210"/>
      <c r="AD85" s="210"/>
      <c r="AE85" s="210"/>
      <c r="AF85" s="210"/>
    </row>
    <row r="86" customFormat="false" ht="16.5" hidden="false" customHeight="false" outlineLevel="0" collapsed="false">
      <c r="A86" s="210"/>
      <c r="B86" s="210"/>
      <c r="C86" s="210"/>
      <c r="D86" s="210"/>
      <c r="E86" s="210"/>
      <c r="F86" s="210"/>
      <c r="G86" s="210"/>
      <c r="H86" s="210"/>
      <c r="I86" s="210"/>
      <c r="J86" s="210"/>
      <c r="K86" s="210"/>
      <c r="L86" s="210"/>
      <c r="M86" s="210"/>
      <c r="N86" s="210"/>
      <c r="O86" s="210"/>
      <c r="P86" s="210"/>
      <c r="Q86" s="210"/>
      <c r="R86" s="210"/>
      <c r="S86" s="210"/>
      <c r="T86" s="210"/>
      <c r="U86" s="210"/>
      <c r="V86" s="210"/>
      <c r="W86" s="210"/>
      <c r="X86" s="210"/>
      <c r="Y86" s="210"/>
      <c r="Z86" s="210"/>
      <c r="AA86" s="210"/>
      <c r="AB86" s="210"/>
      <c r="AC86" s="210"/>
      <c r="AD86" s="210"/>
      <c r="AE86" s="210"/>
      <c r="AF86" s="210"/>
    </row>
    <row r="87" customFormat="false" ht="16.5" hidden="false" customHeight="false" outlineLevel="0" collapsed="false">
      <c r="A87" s="210"/>
      <c r="B87" s="210"/>
      <c r="C87" s="210"/>
      <c r="D87" s="210"/>
      <c r="E87" s="210"/>
      <c r="F87" s="210"/>
      <c r="G87" s="210"/>
      <c r="H87" s="210"/>
      <c r="I87" s="210"/>
      <c r="J87" s="210"/>
      <c r="K87" s="210"/>
      <c r="L87" s="210"/>
      <c r="M87" s="210"/>
      <c r="N87" s="210"/>
      <c r="O87" s="210"/>
      <c r="P87" s="210"/>
      <c r="Q87" s="210"/>
      <c r="R87" s="210"/>
      <c r="S87" s="210"/>
      <c r="T87" s="210"/>
      <c r="U87" s="210"/>
      <c r="V87" s="210"/>
      <c r="W87" s="210"/>
      <c r="X87" s="210"/>
      <c r="Y87" s="210"/>
      <c r="Z87" s="210"/>
      <c r="AA87" s="210"/>
      <c r="AB87" s="210"/>
      <c r="AC87" s="210"/>
      <c r="AD87" s="210"/>
      <c r="AE87" s="210"/>
      <c r="AF87" s="210"/>
    </row>
    <row r="88" customFormat="false" ht="16.5" hidden="false" customHeight="false" outlineLevel="0" collapsed="false">
      <c r="A88" s="210"/>
      <c r="B88" s="210"/>
      <c r="C88" s="210"/>
      <c r="D88" s="210"/>
      <c r="E88" s="210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  <c r="AA88" s="210"/>
      <c r="AB88" s="210"/>
      <c r="AC88" s="210"/>
      <c r="AD88" s="210"/>
      <c r="AE88" s="210"/>
      <c r="AF88" s="21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88"/>
  <sheetViews>
    <sheetView showFormulas="false" showGridLines="true" showRowColHeaders="true" showZeros="true" rightToLeft="false" tabSelected="false" showOutlineSymbols="true" defaultGridColor="true" view="normal" topLeftCell="B25" colorId="64" zoomScale="140" zoomScaleNormal="140" zoomScalePageLayoutView="100" workbookViewId="0">
      <selection pane="topLeft" activeCell="D43" activeCellId="0" sqref="D43"/>
    </sheetView>
  </sheetViews>
  <sheetFormatPr defaultColWidth="8.859375" defaultRowHeight="15" zeroHeight="false" outlineLevelRow="0" outlineLevelCol="0"/>
  <cols>
    <col collapsed="false" customWidth="true" hidden="false" outlineLevel="0" max="1" min="1" style="312" width="3"/>
    <col collapsed="false" customWidth="true" hidden="false" outlineLevel="0" max="2" min="2" style="312" width="19.57"/>
    <col collapsed="false" customWidth="true" hidden="false" outlineLevel="0" max="3" min="3" style="312" width="27"/>
    <col collapsed="false" customWidth="true" hidden="false" outlineLevel="0" max="9" min="4" style="312" width="23.71"/>
    <col collapsed="false" customWidth="true" hidden="false" outlineLevel="0" max="10" min="10" style="312" width="24.43"/>
    <col collapsed="false" customWidth="true" hidden="false" outlineLevel="0" max="11" min="11" style="312" width="1.86"/>
    <col collapsed="false" customWidth="true" hidden="false" outlineLevel="0" max="12" min="12" style="312" width="33"/>
    <col collapsed="false" customWidth="true" hidden="false" outlineLevel="0" max="14" min="13" style="312" width="23.28"/>
    <col collapsed="false" customWidth="false" hidden="false" outlineLevel="0" max="16384" min="15" style="312" width="8.86"/>
  </cols>
  <sheetData>
    <row r="1" customFormat="false" ht="23.25" hidden="false" customHeight="true" outlineLevel="0" collapsed="false">
      <c r="A1" s="313"/>
      <c r="B1" s="313"/>
      <c r="C1" s="314" t="s">
        <v>0</v>
      </c>
      <c r="D1" s="314" t="n">
        <v>89.03</v>
      </c>
      <c r="E1" s="313"/>
      <c r="F1" s="315"/>
      <c r="G1" s="313"/>
      <c r="H1" s="313"/>
      <c r="I1" s="313"/>
      <c r="J1" s="313"/>
      <c r="K1" s="313"/>
      <c r="L1" s="313"/>
      <c r="M1" s="313"/>
      <c r="N1" s="313"/>
      <c r="O1" s="313"/>
      <c r="P1" s="313"/>
      <c r="Q1" s="313"/>
      <c r="R1" s="313"/>
      <c r="S1" s="313"/>
      <c r="T1" s="313"/>
      <c r="U1" s="313"/>
      <c r="V1" s="313"/>
      <c r="W1" s="313"/>
      <c r="X1" s="313"/>
      <c r="Y1" s="313"/>
      <c r="Z1" s="313"/>
      <c r="AA1" s="313"/>
      <c r="AB1" s="313"/>
      <c r="AC1" s="313"/>
      <c r="AD1" s="313"/>
      <c r="AE1" s="313"/>
      <c r="AF1" s="313"/>
    </row>
    <row r="2" customFormat="false" ht="23.25" hidden="false" customHeight="true" outlineLevel="0" collapsed="false">
      <c r="A2" s="313"/>
      <c r="B2" s="316" t="s">
        <v>132</v>
      </c>
      <c r="C2" s="317" t="s">
        <v>1</v>
      </c>
      <c r="D2" s="318" t="n">
        <f aca="false">J8+J16+J24+J32+J40+J48</f>
        <v>66.78</v>
      </c>
      <c r="E2" s="319" t="s">
        <v>2</v>
      </c>
      <c r="F2" s="320" t="n">
        <f aca="false">J9+J17+J25+J33+J41+J49</f>
        <v>0</v>
      </c>
      <c r="G2" s="319" t="s">
        <v>3</v>
      </c>
      <c r="H2" s="320" t="n">
        <f aca="false">J10+J18+J26+J34+J42+J50</f>
        <v>0</v>
      </c>
      <c r="I2" s="321"/>
      <c r="J2" s="322" t="s">
        <v>4</v>
      </c>
      <c r="K2" s="323"/>
      <c r="L2" s="322"/>
      <c r="M2" s="313"/>
      <c r="N2" s="313"/>
      <c r="O2" s="313"/>
      <c r="P2" s="313"/>
      <c r="Q2" s="313"/>
      <c r="R2" s="313"/>
      <c r="S2" s="313"/>
      <c r="T2" s="313"/>
      <c r="U2" s="313"/>
      <c r="V2" s="313"/>
      <c r="W2" s="313"/>
      <c r="X2" s="313"/>
      <c r="Y2" s="313"/>
      <c r="Z2" s="313"/>
      <c r="AA2" s="313"/>
      <c r="AB2" s="313"/>
      <c r="AC2" s="313"/>
      <c r="AD2" s="313"/>
      <c r="AE2" s="313"/>
      <c r="AF2" s="313"/>
    </row>
    <row r="3" customFormat="false" ht="23.25" hidden="false" customHeight="true" outlineLevel="0" collapsed="false">
      <c r="A3" s="313"/>
      <c r="B3" s="324" t="s">
        <v>5</v>
      </c>
      <c r="C3" s="325" t="s">
        <v>6</v>
      </c>
      <c r="D3" s="326" t="s">
        <v>7</v>
      </c>
      <c r="E3" s="327" t="s">
        <v>8</v>
      </c>
      <c r="F3" s="328" t="s">
        <v>9</v>
      </c>
      <c r="G3" s="326" t="s">
        <v>10</v>
      </c>
      <c r="H3" s="326" t="s">
        <v>11</v>
      </c>
      <c r="I3" s="329" t="s">
        <v>12</v>
      </c>
      <c r="J3" s="322" t="s">
        <v>13</v>
      </c>
      <c r="K3" s="330"/>
      <c r="L3" s="322"/>
      <c r="M3" s="313"/>
      <c r="N3" s="313"/>
      <c r="O3" s="313"/>
      <c r="P3" s="313"/>
      <c r="Q3" s="313"/>
      <c r="R3" s="313"/>
      <c r="S3" s="313"/>
      <c r="T3" s="313"/>
      <c r="U3" s="313"/>
      <c r="V3" s="313"/>
      <c r="W3" s="313"/>
      <c r="X3" s="313"/>
      <c r="Y3" s="313"/>
      <c r="Z3" s="313"/>
      <c r="AA3" s="313"/>
      <c r="AB3" s="313"/>
      <c r="AC3" s="313"/>
      <c r="AD3" s="313"/>
      <c r="AE3" s="313"/>
      <c r="AF3" s="313"/>
    </row>
    <row r="4" customFormat="false" ht="23.25" hidden="false" customHeight="true" outlineLevel="0" collapsed="false">
      <c r="A4" s="313"/>
      <c r="B4" s="331" t="s">
        <v>14</v>
      </c>
      <c r="C4" s="332" t="n">
        <v>1</v>
      </c>
      <c r="D4" s="332" t="n">
        <v>2</v>
      </c>
      <c r="E4" s="332" t="n">
        <v>3</v>
      </c>
      <c r="F4" s="332" t="n">
        <v>4</v>
      </c>
      <c r="G4" s="332" t="n">
        <v>5</v>
      </c>
      <c r="H4" s="333" t="n">
        <v>6</v>
      </c>
      <c r="I4" s="334" t="n">
        <v>7</v>
      </c>
      <c r="J4" s="322" t="s">
        <v>15</v>
      </c>
      <c r="K4" s="330"/>
      <c r="L4" s="335"/>
      <c r="M4" s="313"/>
      <c r="N4" s="313"/>
      <c r="O4" s="313"/>
      <c r="P4" s="313"/>
      <c r="Q4" s="313"/>
      <c r="R4" s="313"/>
      <c r="S4" s="313"/>
      <c r="T4" s="313"/>
      <c r="U4" s="313"/>
      <c r="V4" s="313"/>
      <c r="W4" s="313"/>
      <c r="X4" s="313"/>
      <c r="Y4" s="313"/>
      <c r="Z4" s="313"/>
      <c r="AA4" s="313"/>
      <c r="AB4" s="313"/>
      <c r="AC4" s="313"/>
      <c r="AD4" s="313"/>
      <c r="AE4" s="313"/>
      <c r="AF4" s="313"/>
    </row>
    <row r="5" customFormat="false" ht="23.25" hidden="false" customHeight="true" outlineLevel="0" collapsed="false">
      <c r="A5" s="313"/>
      <c r="B5" s="336" t="s">
        <v>16</v>
      </c>
      <c r="C5" s="337" t="s">
        <v>133</v>
      </c>
      <c r="D5" s="338" t="s">
        <v>134</v>
      </c>
      <c r="E5" s="339" t="s">
        <v>54</v>
      </c>
      <c r="F5" s="340" t="s">
        <v>62</v>
      </c>
      <c r="G5" s="340" t="s">
        <v>54</v>
      </c>
      <c r="H5" s="340" t="s">
        <v>54</v>
      </c>
      <c r="I5" s="341" t="s">
        <v>62</v>
      </c>
      <c r="J5" s="322" t="s">
        <v>17</v>
      </c>
      <c r="K5" s="330"/>
      <c r="L5" s="342"/>
      <c r="M5" s="313"/>
      <c r="N5" s="313"/>
      <c r="O5" s="313"/>
      <c r="P5" s="313"/>
      <c r="Q5" s="313"/>
      <c r="R5" s="313"/>
      <c r="S5" s="313"/>
      <c r="T5" s="313"/>
      <c r="U5" s="313"/>
      <c r="V5" s="313"/>
      <c r="W5" s="313"/>
      <c r="X5" s="313"/>
      <c r="Y5" s="313"/>
      <c r="Z5" s="313"/>
      <c r="AA5" s="313"/>
      <c r="AB5" s="313"/>
      <c r="AC5" s="313"/>
      <c r="AD5" s="313"/>
      <c r="AE5" s="313"/>
      <c r="AF5" s="313"/>
    </row>
    <row r="6" customFormat="false" ht="23.25" hidden="false" customHeight="true" outlineLevel="0" collapsed="false">
      <c r="A6" s="313"/>
      <c r="B6" s="343" t="s">
        <v>18</v>
      </c>
      <c r="C6" s="344" t="n">
        <v>0.39</v>
      </c>
      <c r="D6" s="344" t="n">
        <v>0.49</v>
      </c>
      <c r="E6" s="345" t="n">
        <v>0.59</v>
      </c>
      <c r="F6" s="345" t="n">
        <v>0.68</v>
      </c>
      <c r="G6" s="346" t="n">
        <v>0.76</v>
      </c>
      <c r="H6" s="347" t="n">
        <v>0.84</v>
      </c>
      <c r="I6" s="348" t="n">
        <v>0.9</v>
      </c>
      <c r="J6" s="349"/>
      <c r="K6" s="330"/>
      <c r="L6" s="313"/>
      <c r="M6" s="313"/>
      <c r="N6" s="313"/>
      <c r="O6" s="313"/>
      <c r="P6" s="313"/>
      <c r="Q6" s="313"/>
      <c r="R6" s="313"/>
      <c r="S6" s="313"/>
      <c r="T6" s="313"/>
      <c r="U6" s="313"/>
      <c r="V6" s="313"/>
      <c r="W6" s="313"/>
      <c r="X6" s="313"/>
      <c r="Y6" s="313"/>
      <c r="Z6" s="313"/>
      <c r="AA6" s="313"/>
      <c r="AB6" s="313"/>
      <c r="AC6" s="313"/>
      <c r="AD6" s="313"/>
      <c r="AE6" s="313"/>
      <c r="AF6" s="313"/>
    </row>
    <row r="7" customFormat="false" ht="23.25" hidden="false" customHeight="true" outlineLevel="0" collapsed="false">
      <c r="A7" s="313"/>
      <c r="B7" s="336" t="s">
        <v>19</v>
      </c>
      <c r="C7" s="350" t="s">
        <v>54</v>
      </c>
      <c r="D7" s="351" t="s">
        <v>40</v>
      </c>
      <c r="E7" s="352" t="s">
        <v>135</v>
      </c>
      <c r="F7" s="352"/>
      <c r="G7" s="352"/>
      <c r="H7" s="352"/>
      <c r="I7" s="352"/>
      <c r="J7" s="353" t="s">
        <v>20</v>
      </c>
      <c r="K7" s="330"/>
      <c r="L7" s="354"/>
      <c r="M7" s="313"/>
      <c r="N7" s="313"/>
      <c r="O7" s="313"/>
      <c r="P7" s="313"/>
      <c r="Q7" s="313"/>
      <c r="R7" s="313"/>
      <c r="S7" s="313"/>
      <c r="T7" s="313"/>
      <c r="U7" s="313"/>
      <c r="V7" s="313"/>
      <c r="W7" s="313"/>
      <c r="X7" s="313"/>
      <c r="Y7" s="313"/>
      <c r="Z7" s="313"/>
      <c r="AA7" s="313"/>
      <c r="AB7" s="313"/>
      <c r="AC7" s="313"/>
      <c r="AD7" s="313"/>
      <c r="AE7" s="313"/>
      <c r="AF7" s="313"/>
    </row>
    <row r="8" customFormat="false" ht="23.25" hidden="false" customHeight="true" outlineLevel="0" collapsed="false">
      <c r="A8" s="313"/>
      <c r="B8" s="331" t="s">
        <v>21</v>
      </c>
      <c r="C8" s="355" t="n">
        <v>2.4</v>
      </c>
      <c r="D8" s="356" t="n">
        <v>2.2</v>
      </c>
      <c r="E8" s="357" t="n">
        <v>0.93</v>
      </c>
      <c r="F8" s="356"/>
      <c r="G8" s="356"/>
      <c r="H8" s="356"/>
      <c r="I8" s="358"/>
      <c r="J8" s="359" t="n">
        <f aca="false" t="array" ref="J8:J8">SUM(IF(ISNUMBER(C8:I8), C8:I8, 0))</f>
        <v>5.53</v>
      </c>
      <c r="K8" s="330"/>
      <c r="L8" s="360" t="s">
        <v>22</v>
      </c>
      <c r="M8" s="313"/>
      <c r="N8" s="313"/>
      <c r="O8" s="313"/>
      <c r="P8" s="313"/>
      <c r="Q8" s="313"/>
      <c r="R8" s="313"/>
      <c r="S8" s="313"/>
      <c r="T8" s="313"/>
      <c r="U8" s="313"/>
      <c r="V8" s="313"/>
      <c r="W8" s="313"/>
      <c r="X8" s="313"/>
      <c r="Y8" s="313"/>
      <c r="Z8" s="313"/>
      <c r="AA8" s="313"/>
      <c r="AB8" s="313"/>
      <c r="AC8" s="313"/>
      <c r="AD8" s="313"/>
      <c r="AE8" s="313"/>
      <c r="AF8" s="313"/>
    </row>
    <row r="9" customFormat="false" ht="23.25" hidden="false" customHeight="true" outlineLevel="0" collapsed="false">
      <c r="A9" s="313"/>
      <c r="B9" s="331" t="s">
        <v>23</v>
      </c>
      <c r="C9" s="361" t="n">
        <v>0</v>
      </c>
      <c r="D9" s="362" t="n">
        <v>0</v>
      </c>
      <c r="E9" s="363" t="n">
        <v>0</v>
      </c>
      <c r="F9" s="362"/>
      <c r="G9" s="362"/>
      <c r="H9" s="362"/>
      <c r="I9" s="321"/>
      <c r="J9" s="359" t="n">
        <f aca="false" t="array" ref="J9:J9">SUM(IF(ISNUMBER(B9:I9), B9:I9, 0))</f>
        <v>0</v>
      </c>
      <c r="K9" s="330"/>
      <c r="L9" s="360" t="s">
        <v>24</v>
      </c>
      <c r="M9" s="313"/>
      <c r="N9" s="313"/>
      <c r="O9" s="313"/>
      <c r="P9" s="313"/>
      <c r="Q9" s="313"/>
      <c r="R9" s="313"/>
      <c r="S9" s="313"/>
      <c r="T9" s="313"/>
      <c r="U9" s="313"/>
      <c r="V9" s="313"/>
      <c r="W9" s="313"/>
      <c r="X9" s="313"/>
      <c r="Y9" s="313"/>
      <c r="Z9" s="313"/>
      <c r="AA9" s="313"/>
      <c r="AB9" s="313"/>
      <c r="AC9" s="313"/>
      <c r="AD9" s="313"/>
      <c r="AE9" s="313"/>
      <c r="AF9" s="313"/>
    </row>
    <row r="10" customFormat="false" ht="23.25" hidden="false" customHeight="true" outlineLevel="0" collapsed="false">
      <c r="A10" s="313"/>
      <c r="B10" s="331" t="s">
        <v>25</v>
      </c>
      <c r="C10" s="361" t="n">
        <v>0</v>
      </c>
      <c r="D10" s="362" t="n">
        <v>0</v>
      </c>
      <c r="E10" s="363" t="n">
        <v>0</v>
      </c>
      <c r="F10" s="362"/>
      <c r="G10" s="362"/>
      <c r="H10" s="362"/>
      <c r="I10" s="364"/>
      <c r="J10" s="365" t="n">
        <f aca="false" t="array" ref="J10:J10">SUM(IF(ISNUMBER(B10:I10), B10:I10, 0))</f>
        <v>0</v>
      </c>
      <c r="K10" s="330"/>
      <c r="L10" s="360" t="s">
        <v>26</v>
      </c>
      <c r="M10" s="313"/>
      <c r="N10" s="313"/>
      <c r="O10" s="313"/>
      <c r="P10" s="313"/>
      <c r="Q10" s="313"/>
      <c r="R10" s="313"/>
      <c r="S10" s="313"/>
      <c r="T10" s="313"/>
      <c r="U10" s="313"/>
      <c r="V10" s="313"/>
      <c r="W10" s="313"/>
      <c r="X10" s="313"/>
      <c r="Y10" s="313"/>
      <c r="Z10" s="313"/>
      <c r="AA10" s="313"/>
      <c r="AB10" s="313"/>
      <c r="AC10" s="313"/>
      <c r="AD10" s="313"/>
      <c r="AE10" s="313"/>
      <c r="AF10" s="313"/>
    </row>
    <row r="11" customFormat="false" ht="23.25" hidden="false" customHeight="true" outlineLevel="0" collapsed="false">
      <c r="A11" s="313"/>
      <c r="B11" s="366" t="s">
        <v>27</v>
      </c>
      <c r="C11" s="367" t="s">
        <v>136</v>
      </c>
      <c r="D11" s="368" t="s">
        <v>137</v>
      </c>
      <c r="E11" s="369" t="s">
        <v>138</v>
      </c>
      <c r="F11" s="370" t="s">
        <v>139</v>
      </c>
      <c r="G11" s="371" t="s">
        <v>140</v>
      </c>
      <c r="H11" s="372" t="s">
        <v>141</v>
      </c>
      <c r="I11" s="373" t="s">
        <v>142</v>
      </c>
      <c r="J11" s="365" t="n">
        <v>7.35</v>
      </c>
      <c r="K11" s="330"/>
      <c r="L11" s="360" t="s">
        <v>28</v>
      </c>
      <c r="M11" s="313"/>
      <c r="N11" s="313"/>
      <c r="O11" s="313"/>
      <c r="P11" s="313"/>
      <c r="Q11" s="313"/>
      <c r="R11" s="313"/>
      <c r="S11" s="313"/>
      <c r="T11" s="313"/>
      <c r="U11" s="313"/>
      <c r="V11" s="313"/>
      <c r="W11" s="313"/>
      <c r="X11" s="313"/>
      <c r="Y11" s="313"/>
      <c r="Z11" s="313"/>
      <c r="AA11" s="313"/>
      <c r="AB11" s="313"/>
      <c r="AC11" s="313"/>
      <c r="AD11" s="313"/>
      <c r="AE11" s="313"/>
      <c r="AF11" s="313"/>
    </row>
    <row r="12" customFormat="false" ht="23.25" hidden="false" customHeight="true" outlineLevel="0" collapsed="false">
      <c r="A12" s="313"/>
      <c r="B12" s="313" t="s">
        <v>4</v>
      </c>
      <c r="C12" s="374" t="n">
        <v>8</v>
      </c>
      <c r="D12" s="374" t="n">
        <v>9</v>
      </c>
      <c r="E12" s="374" t="n">
        <v>10</v>
      </c>
      <c r="F12" s="375" t="n">
        <v>11</v>
      </c>
      <c r="G12" s="376" t="n">
        <v>12</v>
      </c>
      <c r="H12" s="377" t="n">
        <v>13</v>
      </c>
      <c r="I12" s="334" t="n">
        <v>14</v>
      </c>
      <c r="J12" s="358"/>
      <c r="K12" s="330"/>
      <c r="L12" s="378"/>
      <c r="M12" s="313"/>
      <c r="N12" s="313"/>
      <c r="O12" s="313"/>
      <c r="P12" s="313"/>
      <c r="Q12" s="313"/>
      <c r="R12" s="313"/>
      <c r="S12" s="313"/>
      <c r="T12" s="313"/>
      <c r="U12" s="313"/>
      <c r="V12" s="313"/>
      <c r="W12" s="313"/>
      <c r="X12" s="313"/>
      <c r="Y12" s="313"/>
      <c r="Z12" s="313"/>
      <c r="AA12" s="313"/>
      <c r="AB12" s="313"/>
      <c r="AC12" s="313"/>
      <c r="AD12" s="313"/>
      <c r="AE12" s="313"/>
      <c r="AF12" s="313"/>
    </row>
    <row r="13" customFormat="false" ht="23.25" hidden="false" customHeight="true" outlineLevel="0" collapsed="false">
      <c r="A13" s="313"/>
      <c r="B13" s="313"/>
      <c r="C13" s="379" t="s">
        <v>62</v>
      </c>
      <c r="D13" s="380" t="s">
        <v>62</v>
      </c>
      <c r="E13" s="381" t="s">
        <v>62</v>
      </c>
      <c r="F13" s="380" t="s">
        <v>62</v>
      </c>
      <c r="G13" s="382"/>
      <c r="H13" s="383" t="s">
        <v>45</v>
      </c>
      <c r="I13" s="384" t="s">
        <v>45</v>
      </c>
      <c r="J13" s="358"/>
      <c r="K13" s="330"/>
      <c r="L13" s="378"/>
      <c r="M13" s="313"/>
      <c r="N13" s="313"/>
      <c r="O13" s="313"/>
      <c r="P13" s="313"/>
      <c r="Q13" s="313"/>
      <c r="R13" s="313"/>
      <c r="S13" s="313"/>
      <c r="T13" s="313"/>
      <c r="U13" s="313"/>
      <c r="V13" s="313"/>
      <c r="W13" s="313"/>
      <c r="X13" s="313"/>
      <c r="Y13" s="313"/>
      <c r="Z13" s="313"/>
      <c r="AA13" s="313"/>
      <c r="AB13" s="313"/>
      <c r="AC13" s="313"/>
      <c r="AD13" s="313"/>
      <c r="AE13" s="313"/>
      <c r="AF13" s="313"/>
    </row>
    <row r="14" customFormat="false" ht="23.25" hidden="false" customHeight="true" outlineLevel="0" collapsed="false">
      <c r="A14" s="313"/>
      <c r="B14" s="313"/>
      <c r="C14" s="385" t="n">
        <v>0.95</v>
      </c>
      <c r="D14" s="347" t="n">
        <v>0.98</v>
      </c>
      <c r="E14" s="344" t="n">
        <v>1</v>
      </c>
      <c r="F14" s="345" t="n">
        <v>0.99</v>
      </c>
      <c r="G14" s="345" t="n">
        <v>0.97</v>
      </c>
      <c r="H14" s="386" t="n">
        <v>0.93</v>
      </c>
      <c r="I14" s="387" t="n">
        <v>0.87</v>
      </c>
      <c r="J14" s="330"/>
      <c r="K14" s="330"/>
      <c r="L14" s="378"/>
      <c r="M14" s="313"/>
      <c r="N14" s="313"/>
      <c r="O14" s="313"/>
      <c r="P14" s="313"/>
      <c r="Q14" s="313"/>
      <c r="R14" s="313"/>
      <c r="S14" s="313"/>
      <c r="T14" s="313"/>
      <c r="U14" s="313"/>
      <c r="V14" s="313"/>
      <c r="W14" s="313"/>
      <c r="X14" s="313"/>
      <c r="Y14" s="313"/>
      <c r="Z14" s="313"/>
      <c r="AA14" s="313"/>
      <c r="AB14" s="313"/>
      <c r="AC14" s="313"/>
      <c r="AD14" s="313"/>
      <c r="AE14" s="313"/>
      <c r="AF14" s="313"/>
    </row>
    <row r="15" customFormat="false" ht="23.25" hidden="false" customHeight="true" outlineLevel="0" collapsed="false">
      <c r="A15" s="313"/>
      <c r="B15" s="313"/>
      <c r="C15" s="388" t="s">
        <v>135</v>
      </c>
      <c r="D15" s="388"/>
      <c r="E15" s="388"/>
      <c r="F15" s="388"/>
      <c r="G15" s="382"/>
      <c r="H15" s="351" t="s">
        <v>40</v>
      </c>
      <c r="I15" s="389" t="s">
        <v>40</v>
      </c>
      <c r="J15" s="353" t="s">
        <v>29</v>
      </c>
      <c r="K15" s="330"/>
      <c r="L15" s="378"/>
      <c r="M15" s="313"/>
      <c r="N15" s="313"/>
      <c r="O15" s="313"/>
      <c r="P15" s="313"/>
      <c r="Q15" s="313"/>
      <c r="R15" s="313"/>
      <c r="S15" s="313"/>
      <c r="T15" s="313"/>
      <c r="U15" s="313"/>
      <c r="V15" s="313"/>
      <c r="W15" s="313"/>
      <c r="X15" s="313"/>
      <c r="Y15" s="313"/>
      <c r="Z15" s="313"/>
      <c r="AA15" s="313"/>
      <c r="AB15" s="313"/>
      <c r="AC15" s="313"/>
      <c r="AD15" s="313"/>
      <c r="AE15" s="313"/>
      <c r="AF15" s="313"/>
    </row>
    <row r="16" customFormat="false" ht="23.25" hidden="false" customHeight="true" outlineLevel="0" collapsed="false">
      <c r="A16" s="313"/>
      <c r="B16" s="313"/>
      <c r="C16" s="361"/>
      <c r="D16" s="362" t="n">
        <v>0</v>
      </c>
      <c r="E16" s="362" t="n">
        <v>0</v>
      </c>
      <c r="F16" s="362"/>
      <c r="G16" s="362"/>
      <c r="H16" s="362" t="s">
        <v>143</v>
      </c>
      <c r="I16" s="321" t="s">
        <v>144</v>
      </c>
      <c r="J16" s="359" t="n">
        <f aca="false" t="array" ref="J16:J16">SUM(IF(ISNUMBER(B16:I16), B16:I16, 0))</f>
        <v>0</v>
      </c>
      <c r="K16" s="330"/>
      <c r="L16" s="390" t="s">
        <v>22</v>
      </c>
      <c r="M16" s="313"/>
      <c r="N16" s="313"/>
      <c r="O16" s="313"/>
      <c r="P16" s="313"/>
      <c r="Q16" s="313"/>
      <c r="R16" s="313"/>
      <c r="S16" s="313"/>
      <c r="T16" s="313"/>
      <c r="U16" s="313"/>
      <c r="V16" s="313"/>
      <c r="W16" s="313"/>
      <c r="X16" s="313"/>
      <c r="Y16" s="313"/>
      <c r="Z16" s="313"/>
      <c r="AA16" s="313"/>
      <c r="AB16" s="313"/>
      <c r="AC16" s="313"/>
      <c r="AD16" s="313"/>
      <c r="AE16" s="313"/>
      <c r="AF16" s="313"/>
    </row>
    <row r="17" customFormat="false" ht="23.25" hidden="false" customHeight="true" outlineLevel="0" collapsed="false">
      <c r="A17" s="313"/>
      <c r="B17" s="313"/>
      <c r="C17" s="361"/>
      <c r="D17" s="362"/>
      <c r="E17" s="362"/>
      <c r="F17" s="362"/>
      <c r="G17" s="362"/>
      <c r="H17" s="362"/>
      <c r="I17" s="321"/>
      <c r="J17" s="359" t="n">
        <f aca="false" t="array" ref="J17:J17">SUM(IF(ISNUMBER(B17:I17), B17:I17, 0))</f>
        <v>0</v>
      </c>
      <c r="K17" s="330"/>
      <c r="L17" s="390" t="s">
        <v>24</v>
      </c>
      <c r="M17" s="313"/>
      <c r="N17" s="313"/>
      <c r="O17" s="313"/>
      <c r="P17" s="313"/>
      <c r="Q17" s="313"/>
      <c r="R17" s="313"/>
      <c r="S17" s="313"/>
      <c r="T17" s="313"/>
      <c r="U17" s="313"/>
      <c r="V17" s="313"/>
      <c r="W17" s="313"/>
      <c r="X17" s="313"/>
      <c r="Y17" s="313"/>
      <c r="Z17" s="313"/>
      <c r="AA17" s="313"/>
      <c r="AB17" s="313"/>
      <c r="AC17" s="313"/>
      <c r="AD17" s="313"/>
      <c r="AE17" s="313"/>
      <c r="AF17" s="313"/>
    </row>
    <row r="18" customFormat="false" ht="23.25" hidden="false" customHeight="true" outlineLevel="0" collapsed="false">
      <c r="A18" s="313"/>
      <c r="B18" s="313"/>
      <c r="C18" s="361"/>
      <c r="D18" s="362"/>
      <c r="E18" s="362"/>
      <c r="F18" s="362"/>
      <c r="G18" s="362"/>
      <c r="H18" s="362"/>
      <c r="I18" s="321"/>
      <c r="J18" s="365" t="n">
        <f aca="false" t="array" ref="J18:J18">SUM(IF(ISNUMBER(B18:I18), B18:I18, 0))</f>
        <v>0</v>
      </c>
      <c r="K18" s="330"/>
      <c r="L18" s="390" t="s">
        <v>26</v>
      </c>
      <c r="M18" s="313"/>
      <c r="N18" s="313"/>
      <c r="O18" s="313"/>
      <c r="P18" s="313"/>
      <c r="Q18" s="313"/>
      <c r="R18" s="313"/>
      <c r="S18" s="313"/>
      <c r="T18" s="313"/>
      <c r="U18" s="313"/>
      <c r="V18" s="313"/>
      <c r="W18" s="313"/>
      <c r="X18" s="313"/>
      <c r="Y18" s="313"/>
      <c r="Z18" s="313"/>
      <c r="AA18" s="313"/>
      <c r="AB18" s="313"/>
      <c r="AC18" s="313"/>
      <c r="AD18" s="313"/>
      <c r="AE18" s="313"/>
      <c r="AF18" s="313"/>
    </row>
    <row r="19" customFormat="false" ht="23.25" hidden="false" customHeight="true" outlineLevel="0" collapsed="false">
      <c r="A19" s="313"/>
      <c r="B19" s="313"/>
      <c r="C19" s="391" t="s">
        <v>145</v>
      </c>
      <c r="D19" s="392" t="s">
        <v>146</v>
      </c>
      <c r="E19" s="368" t="s">
        <v>147</v>
      </c>
      <c r="F19" s="371" t="s">
        <v>148</v>
      </c>
      <c r="G19" s="393" t="s">
        <v>149</v>
      </c>
      <c r="H19" s="394" t="s">
        <v>150</v>
      </c>
      <c r="I19" s="373" t="s">
        <v>151</v>
      </c>
      <c r="J19" s="365" t="n">
        <v>5.25</v>
      </c>
      <c r="K19" s="330"/>
      <c r="L19" s="360" t="s">
        <v>28</v>
      </c>
      <c r="M19" s="313"/>
      <c r="N19" s="313"/>
      <c r="O19" s="313"/>
      <c r="P19" s="313"/>
      <c r="Q19" s="313"/>
      <c r="R19" s="313"/>
      <c r="S19" s="313"/>
      <c r="T19" s="313"/>
      <c r="U19" s="313"/>
      <c r="V19" s="313"/>
      <c r="W19" s="313"/>
      <c r="X19" s="313"/>
      <c r="Y19" s="313"/>
      <c r="Z19" s="313"/>
      <c r="AA19" s="313"/>
      <c r="AB19" s="313"/>
      <c r="AC19" s="313"/>
      <c r="AD19" s="313"/>
      <c r="AE19" s="313"/>
      <c r="AF19" s="313"/>
    </row>
    <row r="20" customFormat="false" ht="23.25" hidden="false" customHeight="true" outlineLevel="0" collapsed="false">
      <c r="A20" s="313"/>
      <c r="B20" s="313"/>
      <c r="C20" s="395" t="n">
        <v>15</v>
      </c>
      <c r="D20" s="395" t="n">
        <v>16</v>
      </c>
      <c r="E20" s="396" t="n">
        <v>17</v>
      </c>
      <c r="F20" s="334" t="n">
        <v>18</v>
      </c>
      <c r="G20" s="334" t="n">
        <v>19</v>
      </c>
      <c r="H20" s="334" t="n">
        <v>20</v>
      </c>
      <c r="I20" s="334" t="n">
        <v>21</v>
      </c>
      <c r="J20" s="358"/>
      <c r="K20" s="330"/>
      <c r="L20" s="378"/>
      <c r="M20" s="313"/>
      <c r="N20" s="313"/>
      <c r="O20" s="313"/>
      <c r="P20" s="313"/>
      <c r="Q20" s="313"/>
      <c r="R20" s="313"/>
      <c r="S20" s="313"/>
      <c r="T20" s="313"/>
      <c r="U20" s="313"/>
      <c r="V20" s="313"/>
      <c r="W20" s="313"/>
      <c r="X20" s="313"/>
      <c r="Y20" s="313"/>
      <c r="Z20" s="313"/>
      <c r="AA20" s="313"/>
      <c r="AB20" s="313"/>
      <c r="AC20" s="313"/>
      <c r="AD20" s="313"/>
      <c r="AE20" s="313"/>
      <c r="AF20" s="313"/>
    </row>
    <row r="21" customFormat="false" ht="23.25" hidden="false" customHeight="true" outlineLevel="0" collapsed="false">
      <c r="A21" s="313"/>
      <c r="B21" s="313"/>
      <c r="C21" s="350" t="s">
        <v>133</v>
      </c>
      <c r="D21" s="351" t="s">
        <v>43</v>
      </c>
      <c r="E21" s="351" t="s">
        <v>43</v>
      </c>
      <c r="F21" s="351" t="s">
        <v>43</v>
      </c>
      <c r="G21" s="351" t="s">
        <v>43</v>
      </c>
      <c r="H21" s="351" t="s">
        <v>45</v>
      </c>
      <c r="I21" s="397" t="s">
        <v>152</v>
      </c>
      <c r="J21" s="358"/>
      <c r="K21" s="330"/>
      <c r="L21" s="378"/>
      <c r="M21" s="313"/>
      <c r="N21" s="313"/>
      <c r="O21" s="313"/>
      <c r="P21" s="313"/>
      <c r="Q21" s="313"/>
      <c r="R21" s="313"/>
      <c r="S21" s="313"/>
      <c r="T21" s="313"/>
      <c r="U21" s="313"/>
      <c r="V21" s="313"/>
      <c r="W21" s="313"/>
      <c r="X21" s="313"/>
      <c r="Y21" s="313"/>
      <c r="Z21" s="313"/>
      <c r="AA21" s="313"/>
      <c r="AB21" s="313"/>
      <c r="AC21" s="313"/>
      <c r="AD21" s="313"/>
      <c r="AE21" s="313"/>
      <c r="AF21" s="313"/>
    </row>
    <row r="22" customFormat="false" ht="23.25" hidden="false" customHeight="true" outlineLevel="0" collapsed="false">
      <c r="A22" s="313"/>
      <c r="B22" s="313"/>
      <c r="C22" s="398" t="n">
        <v>0.79</v>
      </c>
      <c r="D22" s="345" t="n">
        <v>0.7</v>
      </c>
      <c r="E22" s="345" t="n">
        <v>0.59</v>
      </c>
      <c r="F22" s="345" t="n">
        <v>0.48</v>
      </c>
      <c r="G22" s="346" t="n">
        <v>0.37</v>
      </c>
      <c r="H22" s="347" t="n">
        <v>0.26</v>
      </c>
      <c r="I22" s="348" t="n">
        <v>0.16</v>
      </c>
      <c r="J22" s="330"/>
      <c r="K22" s="330"/>
      <c r="L22" s="378"/>
      <c r="M22" s="313"/>
      <c r="N22" s="313"/>
      <c r="O22" s="313"/>
      <c r="P22" s="313"/>
      <c r="Q22" s="313"/>
      <c r="R22" s="313"/>
      <c r="S22" s="313"/>
      <c r="T22" s="313"/>
      <c r="U22" s="313"/>
      <c r="V22" s="313"/>
      <c r="W22" s="313"/>
      <c r="X22" s="313"/>
      <c r="Y22" s="313"/>
      <c r="Z22" s="313"/>
      <c r="AA22" s="313"/>
      <c r="AB22" s="313"/>
      <c r="AC22" s="313"/>
      <c r="AD22" s="313"/>
      <c r="AE22" s="313"/>
      <c r="AF22" s="313"/>
    </row>
    <row r="23" customFormat="false" ht="23.25" hidden="false" customHeight="true" outlineLevel="0" collapsed="false">
      <c r="A23" s="313"/>
      <c r="B23" s="313"/>
      <c r="C23" s="350" t="s">
        <v>62</v>
      </c>
      <c r="D23" s="351" t="s">
        <v>62</v>
      </c>
      <c r="E23" s="351" t="s">
        <v>62</v>
      </c>
      <c r="F23" s="351" t="s">
        <v>62</v>
      </c>
      <c r="G23" s="351" t="s">
        <v>54</v>
      </c>
      <c r="H23" s="351" t="s">
        <v>54</v>
      </c>
      <c r="I23" s="397" t="s">
        <v>62</v>
      </c>
      <c r="J23" s="399" t="s">
        <v>30</v>
      </c>
      <c r="K23" s="330"/>
      <c r="L23" s="378"/>
      <c r="M23" s="313"/>
      <c r="N23" s="313"/>
      <c r="O23" s="313"/>
      <c r="P23" s="313"/>
      <c r="Q23" s="313"/>
      <c r="R23" s="313"/>
      <c r="S23" s="313"/>
      <c r="T23" s="313"/>
      <c r="U23" s="313"/>
      <c r="V23" s="313"/>
      <c r="W23" s="313"/>
      <c r="X23" s="313"/>
      <c r="Y23" s="313"/>
      <c r="Z23" s="313"/>
      <c r="AA23" s="313"/>
      <c r="AB23" s="313"/>
      <c r="AC23" s="313"/>
      <c r="AD23" s="313"/>
      <c r="AE23" s="313"/>
      <c r="AF23" s="313"/>
    </row>
    <row r="24" customFormat="false" ht="23.25" hidden="false" customHeight="true" outlineLevel="0" collapsed="false">
      <c r="A24" s="313"/>
      <c r="B24" s="313"/>
      <c r="C24" s="361" t="s">
        <v>153</v>
      </c>
      <c r="D24" s="362" t="n">
        <v>2.67</v>
      </c>
      <c r="E24" s="362" t="s">
        <v>154</v>
      </c>
      <c r="F24" s="362" t="n">
        <v>3.75</v>
      </c>
      <c r="G24" s="362" t="n">
        <v>5.12</v>
      </c>
      <c r="H24" s="356" t="n">
        <v>4.75</v>
      </c>
      <c r="I24" s="400" t="s">
        <v>155</v>
      </c>
      <c r="J24" s="401" t="n">
        <f aca="false" t="array" ref="J24:J24">SUM(IF(ISNUMBER(B24:I24), B24:I24, 0))</f>
        <v>16.29</v>
      </c>
      <c r="K24" s="330"/>
      <c r="L24" s="390" t="s">
        <v>22</v>
      </c>
      <c r="M24" s="313"/>
      <c r="N24" s="313"/>
      <c r="O24" s="313"/>
      <c r="P24" s="313"/>
      <c r="Q24" s="313"/>
      <c r="R24" s="313"/>
      <c r="S24" s="313"/>
      <c r="T24" s="313"/>
      <c r="U24" s="313"/>
      <c r="V24" s="313"/>
      <c r="W24" s="313"/>
      <c r="X24" s="313"/>
      <c r="Y24" s="313"/>
      <c r="Z24" s="313"/>
      <c r="AA24" s="313"/>
      <c r="AB24" s="313"/>
      <c r="AC24" s="313"/>
      <c r="AD24" s="313"/>
      <c r="AE24" s="313"/>
      <c r="AF24" s="313"/>
    </row>
    <row r="25" customFormat="false" ht="23.25" hidden="false" customHeight="true" outlineLevel="0" collapsed="false">
      <c r="A25" s="313"/>
      <c r="B25" s="313"/>
      <c r="C25" s="361" t="n">
        <v>0</v>
      </c>
      <c r="D25" s="362" t="n">
        <v>0</v>
      </c>
      <c r="E25" s="362" t="n">
        <v>0</v>
      </c>
      <c r="F25" s="362" t="n">
        <v>0</v>
      </c>
      <c r="G25" s="362" t="n">
        <v>0</v>
      </c>
      <c r="H25" s="356" t="n">
        <v>0</v>
      </c>
      <c r="I25" s="400"/>
      <c r="J25" s="401" t="n">
        <f aca="false" t="array" ref="J25:J25">SUM(IF(ISNUMBER(B25:I25), B25:I25, 0))</f>
        <v>0</v>
      </c>
      <c r="K25" s="330"/>
      <c r="L25" s="390" t="s">
        <v>24</v>
      </c>
      <c r="M25" s="313"/>
      <c r="N25" s="313"/>
      <c r="O25" s="313"/>
      <c r="P25" s="313"/>
      <c r="Q25" s="313"/>
      <c r="R25" s="313"/>
      <c r="S25" s="313"/>
      <c r="T25" s="313"/>
      <c r="U25" s="313"/>
      <c r="V25" s="313"/>
      <c r="W25" s="313"/>
      <c r="X25" s="313"/>
      <c r="Y25" s="313"/>
      <c r="Z25" s="313"/>
      <c r="AA25" s="313"/>
      <c r="AB25" s="313"/>
      <c r="AC25" s="313"/>
      <c r="AD25" s="313"/>
      <c r="AE25" s="313"/>
      <c r="AF25" s="313"/>
    </row>
    <row r="26" customFormat="false" ht="23.25" hidden="false" customHeight="true" outlineLevel="0" collapsed="false">
      <c r="A26" s="313"/>
      <c r="B26" s="313"/>
      <c r="C26" s="361" t="n">
        <v>0</v>
      </c>
      <c r="D26" s="362" t="n">
        <v>0</v>
      </c>
      <c r="E26" s="362" t="n">
        <v>0</v>
      </c>
      <c r="F26" s="362" t="n">
        <v>0</v>
      </c>
      <c r="G26" s="362" t="n">
        <v>0</v>
      </c>
      <c r="H26" s="356" t="n">
        <v>0</v>
      </c>
      <c r="I26" s="400"/>
      <c r="J26" s="402" t="n">
        <f aca="false" t="array" ref="J26:J26">SUM(IF(ISNUMBER(B26:I26), B26:I26, 0))</f>
        <v>0</v>
      </c>
      <c r="K26" s="330"/>
      <c r="L26" s="390" t="s">
        <v>26</v>
      </c>
      <c r="M26" s="313"/>
      <c r="N26" s="313"/>
      <c r="O26" s="313"/>
      <c r="P26" s="313"/>
      <c r="Q26" s="313"/>
      <c r="R26" s="313"/>
      <c r="S26" s="313"/>
      <c r="T26" s="313"/>
      <c r="U26" s="313"/>
      <c r="V26" s="313"/>
      <c r="W26" s="313"/>
      <c r="X26" s="313"/>
      <c r="Y26" s="313"/>
      <c r="Z26" s="313"/>
      <c r="AA26" s="313"/>
      <c r="AB26" s="313"/>
      <c r="AC26" s="313"/>
      <c r="AD26" s="313"/>
      <c r="AE26" s="313"/>
      <c r="AF26" s="313"/>
    </row>
    <row r="27" customFormat="false" ht="23.25" hidden="false" customHeight="true" outlineLevel="0" collapsed="false">
      <c r="A27" s="313"/>
      <c r="B27" s="313"/>
      <c r="C27" s="403" t="s">
        <v>151</v>
      </c>
      <c r="D27" s="368" t="s">
        <v>156</v>
      </c>
      <c r="E27" s="368" t="s">
        <v>156</v>
      </c>
      <c r="F27" s="404" t="s">
        <v>156</v>
      </c>
      <c r="G27" s="368" t="s">
        <v>157</v>
      </c>
      <c r="H27" s="368" t="s">
        <v>157</v>
      </c>
      <c r="I27" s="405" t="s">
        <v>157</v>
      </c>
      <c r="J27" s="365" t="n">
        <v>36.6</v>
      </c>
      <c r="K27" s="330"/>
      <c r="L27" s="360" t="s">
        <v>28</v>
      </c>
      <c r="M27" s="313"/>
      <c r="N27" s="313"/>
      <c r="O27" s="313"/>
      <c r="P27" s="313"/>
      <c r="Q27" s="313"/>
      <c r="R27" s="313"/>
      <c r="S27" s="313"/>
      <c r="T27" s="313"/>
      <c r="U27" s="313"/>
      <c r="V27" s="313"/>
      <c r="W27" s="313"/>
      <c r="X27" s="313"/>
      <c r="Y27" s="313"/>
      <c r="Z27" s="313"/>
      <c r="AA27" s="313"/>
      <c r="AB27" s="313"/>
      <c r="AC27" s="313"/>
      <c r="AD27" s="313"/>
      <c r="AE27" s="313"/>
      <c r="AF27" s="313"/>
    </row>
    <row r="28" customFormat="false" ht="23.25" hidden="false" customHeight="true" outlineLevel="0" collapsed="false">
      <c r="A28" s="313"/>
      <c r="B28" s="313"/>
      <c r="C28" s="374" t="n">
        <v>22</v>
      </c>
      <c r="D28" s="374" t="n">
        <v>23</v>
      </c>
      <c r="E28" s="374" t="n">
        <v>24</v>
      </c>
      <c r="F28" s="374" t="n">
        <v>25</v>
      </c>
      <c r="G28" s="374" t="n">
        <v>26</v>
      </c>
      <c r="H28" s="374" t="n">
        <v>27</v>
      </c>
      <c r="I28" s="374" t="n">
        <v>28</v>
      </c>
      <c r="J28" s="406"/>
      <c r="K28" s="330"/>
      <c r="L28" s="378"/>
      <c r="M28" s="313"/>
      <c r="N28" s="313"/>
      <c r="O28" s="313"/>
      <c r="P28" s="313"/>
      <c r="Q28" s="313"/>
      <c r="R28" s="313"/>
      <c r="S28" s="313"/>
      <c r="T28" s="313"/>
      <c r="U28" s="313"/>
      <c r="V28" s="313"/>
      <c r="W28" s="313"/>
      <c r="X28" s="313"/>
      <c r="Y28" s="313"/>
      <c r="Z28" s="313"/>
      <c r="AA28" s="313"/>
      <c r="AB28" s="313"/>
      <c r="AC28" s="313"/>
      <c r="AD28" s="313"/>
      <c r="AE28" s="313"/>
      <c r="AF28" s="313"/>
    </row>
    <row r="29" customFormat="false" ht="23.25" hidden="false" customHeight="true" outlineLevel="0" collapsed="false">
      <c r="A29" s="313"/>
      <c r="B29" s="313"/>
      <c r="C29" s="337" t="s">
        <v>43</v>
      </c>
      <c r="D29" s="338" t="s">
        <v>43</v>
      </c>
      <c r="E29" s="407" t="s">
        <v>43</v>
      </c>
      <c r="F29" s="338" t="s">
        <v>43</v>
      </c>
      <c r="G29" s="338" t="s">
        <v>158</v>
      </c>
      <c r="H29" s="338" t="s">
        <v>159</v>
      </c>
      <c r="I29" s="408" t="s">
        <v>158</v>
      </c>
      <c r="J29" s="358"/>
      <c r="K29" s="330"/>
      <c r="L29" s="378"/>
      <c r="M29" s="313"/>
      <c r="N29" s="313"/>
      <c r="O29" s="313"/>
      <c r="P29" s="313"/>
      <c r="Q29" s="313"/>
      <c r="R29" s="313"/>
      <c r="S29" s="313"/>
      <c r="T29" s="313"/>
      <c r="U29" s="313"/>
      <c r="V29" s="313"/>
      <c r="W29" s="313"/>
      <c r="X29" s="313"/>
      <c r="Y29" s="313"/>
      <c r="Z29" s="313"/>
      <c r="AA29" s="313"/>
      <c r="AB29" s="313"/>
      <c r="AC29" s="313"/>
      <c r="AD29" s="313"/>
      <c r="AE29" s="313"/>
      <c r="AF29" s="313"/>
    </row>
    <row r="30" customFormat="false" ht="23.25" hidden="false" customHeight="true" outlineLevel="0" collapsed="false">
      <c r="A30" s="313"/>
      <c r="B30" s="313"/>
      <c r="C30" s="398" t="n">
        <v>0.08</v>
      </c>
      <c r="D30" s="345" t="n">
        <v>0.03</v>
      </c>
      <c r="E30" s="345" t="n">
        <v>0</v>
      </c>
      <c r="F30" s="345" t="n">
        <v>0.01</v>
      </c>
      <c r="G30" s="345" t="n">
        <v>0.03</v>
      </c>
      <c r="H30" s="345" t="n">
        <v>0.09</v>
      </c>
      <c r="I30" s="348" t="n">
        <v>0.16</v>
      </c>
      <c r="J30" s="330"/>
      <c r="K30" s="330"/>
      <c r="L30" s="378"/>
      <c r="M30" s="313"/>
      <c r="N30" s="313"/>
      <c r="O30" s="313"/>
      <c r="P30" s="313"/>
      <c r="Q30" s="313"/>
      <c r="R30" s="313"/>
      <c r="S30" s="313"/>
      <c r="T30" s="313"/>
      <c r="U30" s="313"/>
      <c r="V30" s="313"/>
      <c r="W30" s="313"/>
      <c r="X30" s="313"/>
      <c r="Y30" s="313"/>
      <c r="Z30" s="313"/>
      <c r="AA30" s="313"/>
      <c r="AB30" s="313"/>
      <c r="AC30" s="313"/>
      <c r="AD30" s="313"/>
      <c r="AE30" s="313"/>
      <c r="AF30" s="313"/>
    </row>
    <row r="31" customFormat="false" ht="23.25" hidden="false" customHeight="true" outlineLevel="0" collapsed="false">
      <c r="A31" s="313"/>
      <c r="B31" s="313"/>
      <c r="C31" s="350" t="s">
        <v>40</v>
      </c>
      <c r="D31" s="351" t="s">
        <v>40</v>
      </c>
      <c r="E31" s="351" t="s">
        <v>40</v>
      </c>
      <c r="F31" s="351" t="s">
        <v>40</v>
      </c>
      <c r="G31" s="351" t="s">
        <v>54</v>
      </c>
      <c r="H31" s="351" t="s">
        <v>54</v>
      </c>
      <c r="I31" s="397" t="s">
        <v>54</v>
      </c>
      <c r="J31" s="399" t="s">
        <v>31</v>
      </c>
      <c r="K31" s="330"/>
      <c r="L31" s="378"/>
      <c r="M31" s="313"/>
      <c r="N31" s="313"/>
      <c r="O31" s="313"/>
      <c r="P31" s="313"/>
      <c r="Q31" s="313"/>
      <c r="R31" s="313"/>
      <c r="S31" s="313"/>
      <c r="T31" s="313"/>
      <c r="U31" s="313"/>
      <c r="V31" s="313"/>
      <c r="W31" s="313"/>
      <c r="X31" s="313"/>
      <c r="Y31" s="313"/>
      <c r="Z31" s="313"/>
      <c r="AA31" s="313"/>
      <c r="AB31" s="313"/>
      <c r="AC31" s="313"/>
      <c r="AD31" s="313"/>
      <c r="AE31" s="313"/>
      <c r="AF31" s="313"/>
    </row>
    <row r="32" customFormat="false" ht="23.25" hidden="false" customHeight="true" outlineLevel="0" collapsed="false">
      <c r="A32" s="313"/>
      <c r="B32" s="313"/>
      <c r="C32" s="361" t="n">
        <v>5.23</v>
      </c>
      <c r="D32" s="362" t="n">
        <v>3.63</v>
      </c>
      <c r="E32" s="362" t="n">
        <v>6</v>
      </c>
      <c r="F32" s="362" t="n">
        <v>6.1</v>
      </c>
      <c r="G32" s="362" t="n">
        <v>5.2</v>
      </c>
      <c r="H32" s="362" t="n">
        <v>5.4</v>
      </c>
      <c r="I32" s="409" t="n">
        <v>4.9</v>
      </c>
      <c r="J32" s="401" t="n">
        <f aca="false" t="array" ref="J32:J32">SUM(IF(ISNUMBER(B32:I32), B32:I32, 0))</f>
        <v>36.46</v>
      </c>
      <c r="K32" s="330"/>
      <c r="L32" s="390" t="s">
        <v>22</v>
      </c>
      <c r="M32" s="313"/>
      <c r="N32" s="313"/>
      <c r="O32" s="313"/>
      <c r="P32" s="313"/>
      <c r="Q32" s="313"/>
      <c r="R32" s="313"/>
      <c r="S32" s="313"/>
      <c r="T32" s="313"/>
      <c r="U32" s="313"/>
      <c r="V32" s="313"/>
      <c r="W32" s="313"/>
      <c r="X32" s="313"/>
      <c r="Y32" s="313"/>
      <c r="Z32" s="313"/>
      <c r="AA32" s="313"/>
      <c r="AB32" s="313"/>
      <c r="AC32" s="313"/>
      <c r="AD32" s="313"/>
      <c r="AE32" s="313"/>
      <c r="AF32" s="313"/>
    </row>
    <row r="33" customFormat="false" ht="23.25" hidden="false" customHeight="true" outlineLevel="0" collapsed="false">
      <c r="A33" s="313"/>
      <c r="B33" s="313"/>
      <c r="C33" s="361" t="n">
        <v>0</v>
      </c>
      <c r="D33" s="362" t="n">
        <v>0</v>
      </c>
      <c r="E33" s="362" t="n">
        <v>0</v>
      </c>
      <c r="F33" s="362" t="n">
        <v>0</v>
      </c>
      <c r="G33" s="321" t="n">
        <v>0</v>
      </c>
      <c r="H33" s="362" t="n">
        <v>0</v>
      </c>
      <c r="I33" s="409" t="n">
        <v>0</v>
      </c>
      <c r="J33" s="401" t="n">
        <f aca="false" t="array" ref="J33:J33">SUM(IF(ISNUMBER(B33:I33), B33:I33, 0))</f>
        <v>0</v>
      </c>
      <c r="K33" s="330"/>
      <c r="L33" s="390" t="s">
        <v>24</v>
      </c>
      <c r="M33" s="313"/>
      <c r="N33" s="313"/>
      <c r="O33" s="313"/>
      <c r="P33" s="313"/>
      <c r="Q33" s="313"/>
      <c r="R33" s="313"/>
      <c r="S33" s="313"/>
      <c r="T33" s="313"/>
      <c r="U33" s="313"/>
      <c r="V33" s="313"/>
      <c r="W33" s="313"/>
      <c r="X33" s="313"/>
      <c r="Y33" s="313"/>
      <c r="Z33" s="313"/>
      <c r="AA33" s="313"/>
      <c r="AB33" s="313"/>
      <c r="AC33" s="313"/>
      <c r="AD33" s="313"/>
      <c r="AE33" s="313"/>
      <c r="AF33" s="313"/>
    </row>
    <row r="34" customFormat="false" ht="23.25" hidden="false" customHeight="true" outlineLevel="0" collapsed="false">
      <c r="A34" s="313"/>
      <c r="B34" s="313"/>
      <c r="C34" s="361" t="n">
        <v>0</v>
      </c>
      <c r="D34" s="362" t="n">
        <v>0</v>
      </c>
      <c r="E34" s="362" t="n">
        <v>0</v>
      </c>
      <c r="F34" s="362" t="n">
        <v>0</v>
      </c>
      <c r="G34" s="362" t="n">
        <v>0</v>
      </c>
      <c r="H34" s="362" t="n">
        <v>0</v>
      </c>
      <c r="I34" s="409" t="n">
        <v>0</v>
      </c>
      <c r="J34" s="402" t="n">
        <f aca="false" t="array" ref="J34:J34">SUM(IF(ISNUMBER(B34:I34), B34:I34, 0))</f>
        <v>0</v>
      </c>
      <c r="K34" s="330"/>
      <c r="L34" s="390" t="s">
        <v>26</v>
      </c>
      <c r="M34" s="313"/>
      <c r="N34" s="313"/>
      <c r="O34" s="313"/>
      <c r="P34" s="313"/>
      <c r="Q34" s="313"/>
      <c r="R34" s="313"/>
      <c r="S34" s="313"/>
      <c r="T34" s="313"/>
      <c r="U34" s="313"/>
      <c r="V34" s="313"/>
      <c r="W34" s="313"/>
      <c r="X34" s="313"/>
      <c r="Y34" s="313"/>
      <c r="Z34" s="313"/>
      <c r="AA34" s="313"/>
      <c r="AB34" s="313"/>
      <c r="AC34" s="313"/>
      <c r="AD34" s="313"/>
      <c r="AE34" s="313"/>
      <c r="AF34" s="313"/>
    </row>
    <row r="35" customFormat="false" ht="23.25" hidden="false" customHeight="true" outlineLevel="0" collapsed="false">
      <c r="A35" s="313"/>
      <c r="B35" s="313"/>
      <c r="C35" s="391" t="s">
        <v>160</v>
      </c>
      <c r="D35" s="368" t="s">
        <v>160</v>
      </c>
      <c r="E35" s="368" t="s">
        <v>160</v>
      </c>
      <c r="F35" s="368" t="s">
        <v>161</v>
      </c>
      <c r="G35" s="368" t="s">
        <v>162</v>
      </c>
      <c r="H35" s="368" t="s">
        <v>163</v>
      </c>
      <c r="I35" s="410" t="s">
        <v>164</v>
      </c>
      <c r="J35" s="365" t="n">
        <v>34.75</v>
      </c>
      <c r="K35" s="330"/>
      <c r="L35" s="360" t="s">
        <v>28</v>
      </c>
      <c r="M35" s="313"/>
      <c r="N35" s="313"/>
      <c r="O35" s="313"/>
      <c r="P35" s="313"/>
      <c r="Q35" s="313"/>
      <c r="R35" s="313"/>
      <c r="S35" s="313"/>
      <c r="T35" s="313"/>
      <c r="U35" s="313"/>
      <c r="V35" s="313"/>
      <c r="W35" s="313"/>
      <c r="X35" s="313"/>
      <c r="Y35" s="313"/>
      <c r="Z35" s="313"/>
      <c r="AA35" s="313"/>
      <c r="AB35" s="313"/>
      <c r="AC35" s="313"/>
      <c r="AD35" s="313"/>
      <c r="AE35" s="313"/>
      <c r="AF35" s="313"/>
    </row>
    <row r="36" customFormat="false" ht="23.25" hidden="false" customHeight="true" outlineLevel="0" collapsed="false">
      <c r="A36" s="313"/>
      <c r="B36" s="313"/>
      <c r="C36" s="374" t="n">
        <v>29</v>
      </c>
      <c r="D36" s="374" t="n">
        <v>30</v>
      </c>
      <c r="E36" s="374"/>
      <c r="F36" s="374"/>
      <c r="G36" s="374"/>
      <c r="H36" s="374"/>
      <c r="I36" s="374"/>
      <c r="J36" s="406"/>
      <c r="K36" s="330"/>
      <c r="L36" s="378"/>
      <c r="M36" s="313"/>
      <c r="N36" s="313"/>
      <c r="O36" s="313"/>
      <c r="P36" s="313"/>
      <c r="Q36" s="313"/>
      <c r="R36" s="313"/>
      <c r="S36" s="313"/>
      <c r="T36" s="313"/>
      <c r="U36" s="313"/>
      <c r="V36" s="313"/>
      <c r="W36" s="313"/>
      <c r="X36" s="313"/>
      <c r="Y36" s="313"/>
      <c r="Z36" s="313"/>
      <c r="AA36" s="313"/>
      <c r="AB36" s="313"/>
      <c r="AC36" s="313"/>
      <c r="AD36" s="313"/>
      <c r="AE36" s="313"/>
      <c r="AF36" s="313"/>
    </row>
    <row r="37" customFormat="false" ht="23.25" hidden="false" customHeight="true" outlineLevel="0" collapsed="false">
      <c r="A37" s="313"/>
      <c r="B37" s="313"/>
      <c r="C37" s="411" t="s">
        <v>165</v>
      </c>
      <c r="D37" s="412" t="s">
        <v>165</v>
      </c>
      <c r="E37" s="412"/>
      <c r="F37" s="412"/>
      <c r="G37" s="412"/>
      <c r="H37" s="412"/>
      <c r="I37" s="408"/>
      <c r="J37" s="358"/>
      <c r="K37" s="330"/>
      <c r="L37" s="378"/>
      <c r="M37" s="313"/>
      <c r="N37" s="313"/>
      <c r="O37" s="313"/>
      <c r="P37" s="313"/>
      <c r="Q37" s="313"/>
      <c r="R37" s="313"/>
      <c r="S37" s="313"/>
      <c r="T37" s="313"/>
      <c r="U37" s="313"/>
      <c r="V37" s="313"/>
      <c r="W37" s="313"/>
      <c r="X37" s="313"/>
      <c r="Y37" s="313"/>
      <c r="Z37" s="313"/>
      <c r="AA37" s="313"/>
      <c r="AB37" s="313"/>
      <c r="AC37" s="313"/>
      <c r="AD37" s="313"/>
      <c r="AE37" s="313"/>
      <c r="AF37" s="313"/>
    </row>
    <row r="38" customFormat="false" ht="23.25" hidden="false" customHeight="true" outlineLevel="0" collapsed="false">
      <c r="A38" s="313"/>
      <c r="B38" s="313"/>
      <c r="C38" s="398" t="n">
        <v>0.24</v>
      </c>
      <c r="D38" s="345" t="n">
        <v>0.33</v>
      </c>
      <c r="E38" s="345"/>
      <c r="F38" s="345"/>
      <c r="G38" s="345"/>
      <c r="H38" s="345"/>
      <c r="I38" s="348"/>
      <c r="J38" s="330"/>
      <c r="K38" s="330"/>
      <c r="L38" s="378"/>
      <c r="M38" s="313"/>
      <c r="N38" s="313"/>
      <c r="O38" s="313"/>
      <c r="P38" s="313"/>
      <c r="Q38" s="313"/>
      <c r="R38" s="313"/>
      <c r="S38" s="313"/>
      <c r="T38" s="313"/>
      <c r="U38" s="313"/>
      <c r="V38" s="313"/>
      <c r="W38" s="313"/>
      <c r="X38" s="313"/>
      <c r="Y38" s="313"/>
      <c r="Z38" s="313"/>
      <c r="AA38" s="313"/>
      <c r="AB38" s="313"/>
      <c r="AC38" s="313"/>
      <c r="AD38" s="313"/>
      <c r="AE38" s="313"/>
      <c r="AF38" s="313"/>
    </row>
    <row r="39" customFormat="false" ht="23.25" hidden="false" customHeight="true" outlineLevel="0" collapsed="false">
      <c r="A39" s="313"/>
      <c r="B39" s="313"/>
      <c r="C39" s="350" t="s">
        <v>54</v>
      </c>
      <c r="D39" s="351" t="s">
        <v>54</v>
      </c>
      <c r="E39" s="351"/>
      <c r="F39" s="351"/>
      <c r="G39" s="351"/>
      <c r="H39" s="351"/>
      <c r="I39" s="413"/>
      <c r="J39" s="353" t="s">
        <v>32</v>
      </c>
      <c r="K39" s="330"/>
      <c r="L39" s="378"/>
      <c r="M39" s="313"/>
      <c r="N39" s="313"/>
      <c r="O39" s="313"/>
      <c r="P39" s="313"/>
      <c r="Q39" s="313"/>
      <c r="R39" s="313"/>
      <c r="S39" s="313"/>
      <c r="T39" s="313"/>
      <c r="U39" s="313"/>
      <c r="V39" s="313"/>
      <c r="W39" s="313"/>
      <c r="X39" s="313"/>
      <c r="Y39" s="313"/>
      <c r="Z39" s="313"/>
      <c r="AA39" s="313"/>
      <c r="AB39" s="313"/>
      <c r="AC39" s="313"/>
      <c r="AD39" s="313"/>
      <c r="AE39" s="313"/>
      <c r="AF39" s="313"/>
    </row>
    <row r="40" customFormat="false" ht="23.25" hidden="false" customHeight="true" outlineLevel="0" collapsed="false">
      <c r="A40" s="313"/>
      <c r="B40" s="313"/>
      <c r="C40" s="355" t="n">
        <v>4.3</v>
      </c>
      <c r="D40" s="356" t="n">
        <v>4.2</v>
      </c>
      <c r="E40" s="356"/>
      <c r="F40" s="356"/>
      <c r="G40" s="356"/>
      <c r="H40" s="356"/>
      <c r="I40" s="358"/>
      <c r="J40" s="359" t="n">
        <f aca="false" t="array" ref="J40:J40">SUM(IF(ISNUMBER(B40:I40), B40:I40, 0))</f>
        <v>8.5</v>
      </c>
      <c r="K40" s="330"/>
      <c r="L40" s="390" t="s">
        <v>22</v>
      </c>
      <c r="M40" s="313"/>
      <c r="N40" s="313"/>
      <c r="O40" s="313"/>
      <c r="P40" s="313"/>
      <c r="Q40" s="313"/>
      <c r="R40" s="313"/>
      <c r="S40" s="313"/>
      <c r="T40" s="313"/>
      <c r="U40" s="313"/>
      <c r="V40" s="313"/>
      <c r="W40" s="313"/>
      <c r="X40" s="313"/>
      <c r="Y40" s="313"/>
      <c r="Z40" s="313"/>
      <c r="AA40" s="313"/>
      <c r="AB40" s="313"/>
      <c r="AC40" s="313"/>
      <c r="AD40" s="313"/>
      <c r="AE40" s="313"/>
      <c r="AF40" s="313"/>
    </row>
    <row r="41" customFormat="false" ht="23.25" hidden="false" customHeight="true" outlineLevel="0" collapsed="false">
      <c r="A41" s="313"/>
      <c r="B41" s="313"/>
      <c r="C41" s="361" t="n">
        <v>0</v>
      </c>
      <c r="D41" s="362" t="n">
        <v>0</v>
      </c>
      <c r="E41" s="362"/>
      <c r="F41" s="362"/>
      <c r="G41" s="362"/>
      <c r="H41" s="362"/>
      <c r="I41" s="321"/>
      <c r="J41" s="359" t="n">
        <f aca="false" t="array" ref="J41:J41">SUM(IF(ISNUMBER(B41:I41), B41:I41, 0))</f>
        <v>0</v>
      </c>
      <c r="K41" s="330"/>
      <c r="L41" s="390" t="s">
        <v>24</v>
      </c>
      <c r="M41" s="313"/>
      <c r="N41" s="313"/>
      <c r="O41" s="313"/>
      <c r="P41" s="313"/>
      <c r="Q41" s="313"/>
      <c r="R41" s="313"/>
      <c r="S41" s="313"/>
      <c r="T41" s="313"/>
      <c r="U41" s="313"/>
      <c r="V41" s="313"/>
      <c r="W41" s="313"/>
      <c r="X41" s="313"/>
      <c r="Y41" s="313"/>
      <c r="Z41" s="313"/>
      <c r="AA41" s="313"/>
      <c r="AB41" s="313"/>
      <c r="AC41" s="313"/>
      <c r="AD41" s="313"/>
      <c r="AE41" s="313"/>
      <c r="AF41" s="313"/>
    </row>
    <row r="42" customFormat="false" ht="23.25" hidden="false" customHeight="true" outlineLevel="0" collapsed="false">
      <c r="A42" s="313"/>
      <c r="B42" s="313"/>
      <c r="C42" s="361" t="n">
        <v>0</v>
      </c>
      <c r="D42" s="362" t="n">
        <v>0</v>
      </c>
      <c r="E42" s="362"/>
      <c r="F42" s="362"/>
      <c r="G42" s="362"/>
      <c r="H42" s="362"/>
      <c r="I42" s="321"/>
      <c r="J42" s="365" t="n">
        <f aca="false" t="array" ref="J42:J42">SUM(IF(ISNUMBER(B42:I42), B42:I42, 0))</f>
        <v>0</v>
      </c>
      <c r="K42" s="330"/>
      <c r="L42" s="390" t="s">
        <v>26</v>
      </c>
      <c r="M42" s="313"/>
      <c r="N42" s="313"/>
      <c r="O42" s="313"/>
      <c r="P42" s="313"/>
      <c r="Q42" s="313"/>
      <c r="R42" s="313"/>
      <c r="S42" s="313"/>
      <c r="T42" s="313"/>
      <c r="U42" s="313"/>
      <c r="V42" s="313"/>
      <c r="W42" s="313"/>
      <c r="X42" s="313"/>
      <c r="Y42" s="313"/>
      <c r="Z42" s="313"/>
      <c r="AA42" s="313"/>
      <c r="AB42" s="313"/>
      <c r="AC42" s="313"/>
      <c r="AD42" s="313"/>
      <c r="AE42" s="313"/>
      <c r="AF42" s="313"/>
    </row>
    <row r="43" customFormat="false" ht="23.25" hidden="false" customHeight="true" outlineLevel="0" collapsed="false">
      <c r="A43" s="313"/>
      <c r="B43" s="313"/>
      <c r="C43" s="414" t="s">
        <v>166</v>
      </c>
      <c r="D43" s="371" t="s">
        <v>167</v>
      </c>
      <c r="E43" s="404" t="s">
        <v>4</v>
      </c>
      <c r="F43" s="368" t="s">
        <v>4</v>
      </c>
      <c r="G43" s="368" t="s">
        <v>4</v>
      </c>
      <c r="H43" s="368" t="s">
        <v>4</v>
      </c>
      <c r="I43" s="405" t="s">
        <v>4</v>
      </c>
      <c r="J43" s="365" t="n">
        <v>5.08</v>
      </c>
      <c r="K43" s="330"/>
      <c r="L43" s="360" t="s">
        <v>28</v>
      </c>
      <c r="M43" s="313"/>
      <c r="N43" s="313"/>
      <c r="O43" s="313"/>
      <c r="P43" s="313"/>
      <c r="Q43" s="313"/>
      <c r="R43" s="313"/>
      <c r="S43" s="313"/>
      <c r="T43" s="313"/>
      <c r="U43" s="313"/>
      <c r="V43" s="313"/>
      <c r="W43" s="313"/>
      <c r="X43" s="313"/>
      <c r="Y43" s="313"/>
      <c r="Z43" s="313"/>
      <c r="AA43" s="313"/>
      <c r="AB43" s="313"/>
      <c r="AC43" s="313"/>
      <c r="AD43" s="313"/>
      <c r="AE43" s="313"/>
      <c r="AF43" s="313"/>
    </row>
    <row r="44" customFormat="false" ht="23.25" hidden="false" customHeight="true" outlineLevel="0" collapsed="false">
      <c r="A44" s="313"/>
      <c r="B44" s="313"/>
      <c r="C44" s="334"/>
      <c r="D44" s="415"/>
      <c r="E44" s="406"/>
      <c r="F44" s="330"/>
      <c r="G44" s="330"/>
      <c r="H44" s="330"/>
      <c r="I44" s="330"/>
      <c r="J44" s="330"/>
      <c r="K44" s="330"/>
      <c r="L44" s="354"/>
      <c r="M44" s="313"/>
      <c r="N44" s="313"/>
      <c r="O44" s="313"/>
      <c r="P44" s="313"/>
      <c r="Q44" s="313"/>
      <c r="R44" s="313"/>
      <c r="S44" s="313"/>
      <c r="T44" s="313"/>
      <c r="U44" s="313"/>
      <c r="V44" s="313"/>
      <c r="W44" s="313"/>
      <c r="X44" s="313"/>
      <c r="Y44" s="313"/>
      <c r="Z44" s="313"/>
      <c r="AA44" s="313"/>
      <c r="AB44" s="313"/>
      <c r="AC44" s="313"/>
      <c r="AD44" s="313"/>
      <c r="AE44" s="313"/>
      <c r="AF44" s="313"/>
    </row>
    <row r="45" customFormat="false" ht="23.25" hidden="false" customHeight="true" outlineLevel="0" collapsed="false">
      <c r="A45" s="313"/>
      <c r="B45" s="313"/>
      <c r="C45" s="350"/>
      <c r="D45" s="397"/>
      <c r="E45" s="358"/>
      <c r="F45" s="330"/>
      <c r="G45" s="330"/>
      <c r="H45" s="330"/>
      <c r="I45" s="330"/>
      <c r="J45" s="330"/>
      <c r="K45" s="330"/>
      <c r="L45" s="313"/>
      <c r="M45" s="313"/>
      <c r="N45" s="313"/>
      <c r="O45" s="313"/>
      <c r="P45" s="313"/>
      <c r="Q45" s="313"/>
      <c r="R45" s="313"/>
      <c r="S45" s="313"/>
      <c r="T45" s="313"/>
      <c r="U45" s="313"/>
      <c r="V45" s="313"/>
      <c r="W45" s="313"/>
      <c r="X45" s="313"/>
      <c r="Y45" s="313"/>
      <c r="Z45" s="313"/>
      <c r="AA45" s="313"/>
      <c r="AB45" s="313"/>
      <c r="AC45" s="313"/>
      <c r="AD45" s="313"/>
      <c r="AE45" s="313"/>
      <c r="AF45" s="313"/>
    </row>
    <row r="46" customFormat="false" ht="23.25" hidden="false" customHeight="true" outlineLevel="0" collapsed="false">
      <c r="A46" s="313"/>
      <c r="B46" s="313"/>
      <c r="C46" s="416"/>
      <c r="D46" s="417"/>
      <c r="E46" s="330"/>
      <c r="F46" s="330"/>
      <c r="G46" s="330"/>
      <c r="H46" s="330"/>
      <c r="I46" s="330"/>
      <c r="J46" s="330"/>
      <c r="K46" s="330"/>
      <c r="L46" s="313"/>
      <c r="M46" s="313"/>
      <c r="N46" s="313"/>
      <c r="O46" s="313"/>
      <c r="P46" s="313"/>
      <c r="Q46" s="313"/>
      <c r="R46" s="313"/>
      <c r="S46" s="313"/>
      <c r="T46" s="313"/>
      <c r="U46" s="313"/>
      <c r="V46" s="313"/>
      <c r="W46" s="313"/>
      <c r="X46" s="313"/>
      <c r="Y46" s="313"/>
      <c r="Z46" s="313"/>
      <c r="AA46" s="313"/>
      <c r="AB46" s="313"/>
      <c r="AC46" s="313"/>
      <c r="AD46" s="313"/>
      <c r="AE46" s="313"/>
      <c r="AF46" s="313"/>
    </row>
    <row r="47" customFormat="false" ht="23.25" hidden="false" customHeight="true" outlineLevel="0" collapsed="false">
      <c r="A47" s="313"/>
      <c r="B47" s="313"/>
      <c r="C47" s="350"/>
      <c r="D47" s="397"/>
      <c r="E47" s="330"/>
      <c r="G47" s="330"/>
      <c r="H47" s="330"/>
      <c r="I47" s="330"/>
      <c r="J47" s="353" t="s">
        <v>33</v>
      </c>
      <c r="K47" s="418"/>
      <c r="L47" s="313"/>
      <c r="M47" s="313"/>
      <c r="N47" s="313"/>
      <c r="O47" s="313"/>
      <c r="P47" s="313"/>
      <c r="Q47" s="313"/>
      <c r="R47" s="313"/>
      <c r="S47" s="313"/>
      <c r="T47" s="313"/>
      <c r="U47" s="313"/>
      <c r="V47" s="313"/>
      <c r="W47" s="313"/>
      <c r="X47" s="313"/>
      <c r="Y47" s="313"/>
      <c r="Z47" s="313"/>
      <c r="AA47" s="313"/>
      <c r="AB47" s="313"/>
      <c r="AC47" s="313"/>
      <c r="AD47" s="313"/>
      <c r="AE47" s="313"/>
      <c r="AF47" s="313"/>
    </row>
    <row r="48" customFormat="false" ht="23.25" hidden="false" customHeight="true" outlineLevel="0" collapsed="false">
      <c r="A48" s="313"/>
      <c r="B48" s="313"/>
      <c r="C48" s="355"/>
      <c r="D48" s="417"/>
      <c r="E48" s="330"/>
      <c r="G48" s="330"/>
      <c r="H48" s="330"/>
      <c r="I48" s="330"/>
      <c r="J48" s="359" t="n">
        <f aca="false" t="array" ref="J48:J48">SUM(IF(ISNUMBER(B48:D48), B48:D48, 0))</f>
        <v>0</v>
      </c>
      <c r="L48" s="390" t="s">
        <v>22</v>
      </c>
      <c r="M48" s="313"/>
      <c r="N48" s="313"/>
      <c r="O48" s="313"/>
      <c r="P48" s="313"/>
      <c r="Q48" s="313"/>
      <c r="R48" s="313"/>
      <c r="S48" s="313"/>
      <c r="T48" s="313"/>
      <c r="U48" s="313"/>
      <c r="V48" s="313"/>
      <c r="W48" s="313"/>
      <c r="X48" s="313"/>
      <c r="Y48" s="313"/>
      <c r="Z48" s="313"/>
      <c r="AA48" s="313"/>
      <c r="AB48" s="313"/>
      <c r="AC48" s="313"/>
      <c r="AD48" s="313"/>
      <c r="AE48" s="313"/>
      <c r="AF48" s="313"/>
    </row>
    <row r="49" customFormat="false" ht="23.25" hidden="false" customHeight="true" outlineLevel="0" collapsed="false">
      <c r="A49" s="313"/>
      <c r="B49" s="313"/>
      <c r="C49" s="361"/>
      <c r="D49" s="417"/>
      <c r="E49" s="330"/>
      <c r="G49" s="330"/>
      <c r="H49" s="330"/>
      <c r="I49" s="330"/>
      <c r="J49" s="359" t="n">
        <f aca="false" t="array" ref="J49:J49">SUM(IF(ISNUMBER(B49:D49), B49:D49, 0))</f>
        <v>0</v>
      </c>
      <c r="L49" s="390" t="s">
        <v>24</v>
      </c>
      <c r="M49" s="313"/>
      <c r="N49" s="313"/>
      <c r="O49" s="313"/>
      <c r="P49" s="313"/>
      <c r="Q49" s="313"/>
      <c r="R49" s="313"/>
      <c r="S49" s="313"/>
      <c r="T49" s="313"/>
      <c r="U49" s="313"/>
      <c r="V49" s="313"/>
      <c r="W49" s="313"/>
      <c r="X49" s="313"/>
      <c r="Y49" s="313"/>
      <c r="Z49" s="313"/>
      <c r="AA49" s="313"/>
      <c r="AB49" s="313"/>
      <c r="AC49" s="313"/>
      <c r="AD49" s="313"/>
      <c r="AE49" s="313"/>
      <c r="AF49" s="313"/>
    </row>
    <row r="50" customFormat="false" ht="23.25" hidden="false" customHeight="true" outlineLevel="0" collapsed="false">
      <c r="A50" s="313"/>
      <c r="B50" s="313"/>
      <c r="C50" s="361"/>
      <c r="D50" s="417"/>
      <c r="E50" s="330"/>
      <c r="G50" s="330"/>
      <c r="H50" s="330"/>
      <c r="I50" s="330"/>
      <c r="J50" s="365" t="n">
        <f aca="false" t="array" ref="J50:J50">SUM(IF(ISNUMBER(B50:D50), B50:D50, 0))</f>
        <v>0</v>
      </c>
      <c r="L50" s="390" t="s">
        <v>26</v>
      </c>
      <c r="M50" s="313"/>
      <c r="N50" s="313"/>
      <c r="O50" s="313"/>
      <c r="P50" s="313"/>
      <c r="Q50" s="313"/>
      <c r="R50" s="313"/>
      <c r="S50" s="313"/>
      <c r="T50" s="313"/>
      <c r="U50" s="313"/>
      <c r="V50" s="313"/>
      <c r="W50" s="313"/>
      <c r="X50" s="313"/>
      <c r="Y50" s="313"/>
      <c r="Z50" s="313"/>
      <c r="AA50" s="313"/>
      <c r="AB50" s="313"/>
      <c r="AC50" s="313"/>
      <c r="AD50" s="313"/>
      <c r="AE50" s="313"/>
      <c r="AF50" s="313"/>
    </row>
    <row r="51" customFormat="false" ht="23.25" hidden="false" customHeight="true" outlineLevel="0" collapsed="false">
      <c r="A51" s="313"/>
      <c r="B51" s="313"/>
      <c r="C51" s="391"/>
      <c r="D51" s="405"/>
      <c r="G51" s="330"/>
      <c r="H51" s="330"/>
      <c r="I51" s="330"/>
      <c r="J51" s="365"/>
      <c r="L51" s="360" t="s">
        <v>28</v>
      </c>
      <c r="M51" s="313"/>
      <c r="N51" s="313"/>
      <c r="O51" s="313"/>
      <c r="P51" s="313"/>
      <c r="Q51" s="313"/>
      <c r="R51" s="313"/>
      <c r="S51" s="313"/>
      <c r="T51" s="313"/>
      <c r="U51" s="313"/>
      <c r="V51" s="313"/>
      <c r="W51" s="313"/>
      <c r="X51" s="313"/>
      <c r="Y51" s="313"/>
      <c r="Z51" s="313"/>
      <c r="AA51" s="313"/>
      <c r="AB51" s="313"/>
      <c r="AC51" s="313"/>
      <c r="AD51" s="313"/>
      <c r="AE51" s="313"/>
      <c r="AF51" s="313"/>
    </row>
    <row r="52" customFormat="false" ht="23.25" hidden="false" customHeight="true" outlineLevel="0" collapsed="false">
      <c r="A52" s="313"/>
      <c r="B52" s="313"/>
      <c r="C52" s="330"/>
      <c r="D52" s="330"/>
      <c r="E52" s="330"/>
      <c r="F52" s="330"/>
      <c r="G52" s="330"/>
      <c r="H52" s="330"/>
      <c r="I52" s="330"/>
      <c r="J52" s="330"/>
      <c r="K52" s="330"/>
      <c r="L52" s="313"/>
      <c r="M52" s="313"/>
      <c r="N52" s="313"/>
      <c r="O52" s="313"/>
      <c r="P52" s="313"/>
      <c r="Q52" s="313"/>
      <c r="R52" s="313"/>
      <c r="S52" s="313"/>
      <c r="T52" s="313"/>
      <c r="U52" s="313"/>
      <c r="V52" s="313"/>
      <c r="W52" s="313"/>
      <c r="X52" s="313"/>
      <c r="Y52" s="313"/>
      <c r="Z52" s="313"/>
      <c r="AA52" s="313"/>
      <c r="AB52" s="313"/>
      <c r="AC52" s="313"/>
      <c r="AD52" s="313"/>
      <c r="AE52" s="313"/>
      <c r="AF52" s="313"/>
    </row>
    <row r="53" customFormat="false" ht="22.5" hidden="false" customHeight="true" outlineLevel="0" collapsed="false">
      <c r="A53" s="313"/>
      <c r="B53" s="313"/>
      <c r="C53" s="313"/>
      <c r="D53" s="313"/>
      <c r="E53" s="313"/>
      <c r="F53" s="313"/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  <c r="T53" s="313"/>
      <c r="U53" s="313"/>
      <c r="V53" s="313"/>
      <c r="W53" s="313"/>
      <c r="X53" s="313"/>
      <c r="Y53" s="313"/>
      <c r="Z53" s="313"/>
      <c r="AA53" s="313"/>
      <c r="AB53" s="313"/>
      <c r="AC53" s="313"/>
      <c r="AD53" s="313"/>
      <c r="AE53" s="313"/>
      <c r="AF53" s="313"/>
    </row>
    <row r="54" customFormat="false" ht="16.5" hidden="false" customHeight="false" outlineLevel="0" collapsed="false">
      <c r="A54" s="313"/>
      <c r="B54" s="313"/>
      <c r="C54" s="313"/>
      <c r="D54" s="313"/>
      <c r="E54" s="313"/>
      <c r="F54" s="313"/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  <c r="T54" s="313"/>
      <c r="U54" s="313"/>
      <c r="V54" s="313"/>
      <c r="W54" s="313"/>
      <c r="X54" s="313"/>
      <c r="Y54" s="313"/>
      <c r="Z54" s="313"/>
      <c r="AA54" s="313"/>
      <c r="AB54" s="313"/>
      <c r="AC54" s="313"/>
      <c r="AD54" s="313"/>
      <c r="AE54" s="313"/>
      <c r="AF54" s="313"/>
    </row>
    <row r="55" customFormat="false" ht="16.5" hidden="false" customHeight="false" outlineLevel="0" collapsed="false">
      <c r="A55" s="313"/>
      <c r="B55" s="313"/>
      <c r="C55" s="313"/>
      <c r="D55" s="313"/>
      <c r="E55" s="313"/>
      <c r="F55" s="313"/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  <c r="T55" s="313"/>
      <c r="U55" s="313"/>
      <c r="V55" s="313"/>
      <c r="W55" s="313"/>
      <c r="X55" s="313"/>
      <c r="Y55" s="313"/>
      <c r="Z55" s="313"/>
      <c r="AA55" s="313"/>
      <c r="AB55" s="313"/>
      <c r="AC55" s="313"/>
      <c r="AD55" s="313"/>
      <c r="AE55" s="313"/>
      <c r="AF55" s="313"/>
    </row>
    <row r="56" customFormat="false" ht="16.5" hidden="false" customHeight="false" outlineLevel="0" collapsed="false">
      <c r="A56" s="313"/>
      <c r="B56" s="313"/>
      <c r="C56" s="313"/>
      <c r="D56" s="313"/>
      <c r="E56" s="313"/>
      <c r="F56" s="313"/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  <c r="T56" s="313"/>
      <c r="U56" s="313"/>
      <c r="V56" s="313"/>
      <c r="W56" s="313"/>
      <c r="X56" s="313"/>
      <c r="Y56" s="313"/>
      <c r="Z56" s="313"/>
      <c r="AA56" s="313"/>
      <c r="AB56" s="313"/>
      <c r="AC56" s="313"/>
      <c r="AD56" s="313"/>
      <c r="AE56" s="313"/>
      <c r="AF56" s="313"/>
    </row>
    <row r="57" customFormat="false" ht="16.5" hidden="false" customHeight="false" outlineLevel="0" collapsed="false">
      <c r="A57" s="313"/>
      <c r="B57" s="313"/>
      <c r="C57" s="313"/>
      <c r="D57" s="313"/>
      <c r="E57" s="313"/>
      <c r="F57" s="313"/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  <c r="T57" s="313"/>
      <c r="U57" s="313"/>
      <c r="V57" s="313"/>
      <c r="W57" s="313"/>
      <c r="X57" s="313"/>
      <c r="Y57" s="313"/>
      <c r="Z57" s="313"/>
      <c r="AA57" s="313"/>
      <c r="AB57" s="313"/>
      <c r="AC57" s="313"/>
      <c r="AD57" s="313"/>
      <c r="AE57" s="313"/>
      <c r="AF57" s="313"/>
    </row>
    <row r="58" customFormat="false" ht="16.5" hidden="false" customHeight="false" outlineLevel="0" collapsed="false">
      <c r="A58" s="313"/>
      <c r="B58" s="313"/>
      <c r="C58" s="313"/>
      <c r="D58" s="313"/>
      <c r="E58" s="313"/>
      <c r="F58" s="313"/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  <c r="T58" s="313"/>
      <c r="U58" s="313"/>
      <c r="V58" s="313"/>
      <c r="W58" s="313"/>
      <c r="X58" s="313"/>
      <c r="Y58" s="313"/>
      <c r="Z58" s="313"/>
      <c r="AA58" s="313"/>
      <c r="AB58" s="313"/>
      <c r="AC58" s="313"/>
      <c r="AD58" s="313"/>
      <c r="AE58" s="313"/>
      <c r="AF58" s="313"/>
    </row>
    <row r="59" customFormat="false" ht="16.5" hidden="false" customHeight="false" outlineLevel="0" collapsed="false">
      <c r="A59" s="313"/>
      <c r="B59" s="313"/>
      <c r="C59" s="313"/>
      <c r="D59" s="313"/>
      <c r="E59" s="313"/>
      <c r="F59" s="313"/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  <c r="T59" s="313"/>
      <c r="U59" s="313"/>
      <c r="V59" s="313"/>
      <c r="W59" s="313"/>
      <c r="X59" s="313"/>
      <c r="Y59" s="313"/>
      <c r="Z59" s="313"/>
      <c r="AA59" s="313"/>
      <c r="AB59" s="313"/>
      <c r="AC59" s="313"/>
      <c r="AD59" s="313"/>
      <c r="AE59" s="313"/>
      <c r="AF59" s="313"/>
    </row>
    <row r="60" customFormat="false" ht="16.5" hidden="false" customHeight="false" outlineLevel="0" collapsed="false">
      <c r="A60" s="313"/>
      <c r="B60" s="313"/>
      <c r="C60" s="313"/>
      <c r="D60" s="313"/>
      <c r="E60" s="313"/>
      <c r="F60" s="313"/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  <c r="T60" s="313"/>
      <c r="U60" s="313"/>
      <c r="V60" s="313"/>
      <c r="W60" s="313"/>
      <c r="X60" s="313"/>
      <c r="Y60" s="313"/>
      <c r="Z60" s="313"/>
      <c r="AA60" s="313"/>
      <c r="AB60" s="313"/>
      <c r="AC60" s="313"/>
      <c r="AD60" s="313"/>
      <c r="AE60" s="313"/>
      <c r="AF60" s="313"/>
    </row>
    <row r="61" customFormat="false" ht="16.5" hidden="false" customHeight="false" outlineLevel="0" collapsed="false">
      <c r="A61" s="313"/>
      <c r="B61" s="313"/>
      <c r="C61" s="313"/>
      <c r="D61" s="313"/>
      <c r="E61" s="313"/>
      <c r="F61" s="313"/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  <c r="T61" s="313"/>
      <c r="U61" s="313"/>
      <c r="V61" s="313"/>
      <c r="W61" s="313"/>
      <c r="X61" s="313"/>
      <c r="Y61" s="313"/>
      <c r="Z61" s="313"/>
      <c r="AA61" s="313"/>
      <c r="AB61" s="313"/>
      <c r="AC61" s="313"/>
      <c r="AD61" s="313"/>
      <c r="AE61" s="313"/>
      <c r="AF61" s="313"/>
    </row>
    <row r="62" customFormat="false" ht="16.5" hidden="false" customHeight="false" outlineLevel="0" collapsed="false">
      <c r="A62" s="313"/>
      <c r="B62" s="313"/>
      <c r="C62" s="313"/>
      <c r="D62" s="313"/>
      <c r="E62" s="313"/>
      <c r="F62" s="313"/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  <c r="T62" s="313"/>
      <c r="U62" s="313"/>
      <c r="V62" s="313"/>
      <c r="W62" s="313"/>
      <c r="X62" s="313"/>
      <c r="Y62" s="313"/>
      <c r="Z62" s="313"/>
      <c r="AA62" s="313"/>
      <c r="AB62" s="313"/>
      <c r="AC62" s="313"/>
      <c r="AD62" s="313"/>
      <c r="AE62" s="313"/>
      <c r="AF62" s="313"/>
    </row>
    <row r="63" customFormat="false" ht="16.5" hidden="false" customHeight="false" outlineLevel="0" collapsed="false">
      <c r="A63" s="313"/>
      <c r="B63" s="313"/>
      <c r="C63" s="313"/>
      <c r="D63" s="313"/>
      <c r="E63" s="313"/>
      <c r="F63" s="313"/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  <c r="T63" s="313"/>
      <c r="U63" s="313"/>
      <c r="V63" s="313"/>
      <c r="W63" s="313"/>
      <c r="X63" s="313"/>
      <c r="Y63" s="313"/>
      <c r="Z63" s="313"/>
      <c r="AA63" s="313"/>
      <c r="AB63" s="313"/>
      <c r="AC63" s="313"/>
      <c r="AD63" s="313"/>
      <c r="AE63" s="313"/>
      <c r="AF63" s="313"/>
    </row>
    <row r="64" customFormat="false" ht="16.5" hidden="false" customHeight="false" outlineLevel="0" collapsed="false">
      <c r="A64" s="313"/>
      <c r="B64" s="313"/>
      <c r="C64" s="313"/>
      <c r="D64" s="313"/>
      <c r="E64" s="313"/>
      <c r="F64" s="313"/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  <c r="T64" s="313"/>
      <c r="U64" s="313"/>
      <c r="V64" s="313"/>
      <c r="W64" s="313"/>
      <c r="X64" s="313"/>
      <c r="Y64" s="313"/>
      <c r="Z64" s="313"/>
      <c r="AA64" s="313"/>
      <c r="AB64" s="313"/>
      <c r="AC64" s="313"/>
      <c r="AD64" s="313"/>
      <c r="AE64" s="313"/>
      <c r="AF64" s="313"/>
    </row>
    <row r="65" customFormat="false" ht="16.5" hidden="false" customHeight="false" outlineLevel="0" collapsed="false">
      <c r="A65" s="313"/>
      <c r="B65" s="313"/>
      <c r="C65" s="313"/>
      <c r="D65" s="313"/>
      <c r="E65" s="313"/>
      <c r="F65" s="313"/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  <c r="T65" s="313"/>
      <c r="U65" s="313"/>
      <c r="V65" s="313"/>
      <c r="W65" s="313"/>
      <c r="X65" s="313"/>
      <c r="Y65" s="313"/>
      <c r="Z65" s="313"/>
      <c r="AA65" s="313"/>
      <c r="AB65" s="313"/>
      <c r="AC65" s="313"/>
      <c r="AD65" s="313"/>
      <c r="AE65" s="313"/>
      <c r="AF65" s="313"/>
    </row>
    <row r="66" customFormat="false" ht="16.5" hidden="false" customHeight="false" outlineLevel="0" collapsed="false">
      <c r="A66" s="313"/>
      <c r="B66" s="313"/>
      <c r="C66" s="313"/>
      <c r="D66" s="313"/>
      <c r="E66" s="313"/>
      <c r="F66" s="313"/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  <c r="T66" s="313"/>
      <c r="U66" s="313"/>
      <c r="V66" s="313"/>
      <c r="W66" s="313"/>
      <c r="X66" s="313"/>
      <c r="Y66" s="313"/>
      <c r="Z66" s="313"/>
      <c r="AA66" s="313"/>
      <c r="AB66" s="313"/>
      <c r="AC66" s="313"/>
      <c r="AD66" s="313"/>
      <c r="AE66" s="313"/>
      <c r="AF66" s="313"/>
    </row>
    <row r="67" customFormat="false" ht="16.5" hidden="false" customHeight="false" outlineLevel="0" collapsed="false">
      <c r="A67" s="313"/>
      <c r="B67" s="313"/>
      <c r="C67" s="313"/>
      <c r="D67" s="313"/>
      <c r="E67" s="313"/>
      <c r="F67" s="313"/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  <c r="T67" s="313"/>
      <c r="U67" s="313"/>
      <c r="V67" s="313"/>
      <c r="W67" s="313"/>
      <c r="X67" s="313"/>
      <c r="Y67" s="313"/>
      <c r="Z67" s="313"/>
      <c r="AA67" s="313"/>
      <c r="AB67" s="313"/>
      <c r="AC67" s="313"/>
      <c r="AD67" s="313"/>
      <c r="AE67" s="313"/>
      <c r="AF67" s="313"/>
    </row>
    <row r="68" customFormat="false" ht="16.5" hidden="false" customHeight="false" outlineLevel="0" collapsed="false">
      <c r="A68" s="313"/>
      <c r="B68" s="313"/>
      <c r="C68" s="313"/>
      <c r="D68" s="313"/>
      <c r="E68" s="313"/>
      <c r="F68" s="313"/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  <c r="T68" s="313"/>
      <c r="U68" s="313"/>
      <c r="V68" s="313"/>
      <c r="W68" s="313"/>
      <c r="X68" s="313"/>
      <c r="Y68" s="313"/>
      <c r="Z68" s="313"/>
      <c r="AA68" s="313"/>
      <c r="AB68" s="313"/>
      <c r="AC68" s="313"/>
      <c r="AD68" s="313"/>
      <c r="AE68" s="313"/>
      <c r="AF68" s="313"/>
    </row>
    <row r="69" customFormat="false" ht="16.5" hidden="false" customHeight="false" outlineLevel="0" collapsed="false">
      <c r="A69" s="313"/>
      <c r="B69" s="313"/>
      <c r="C69" s="313"/>
      <c r="D69" s="313"/>
      <c r="E69" s="313"/>
      <c r="F69" s="313"/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  <c r="T69" s="313"/>
      <c r="U69" s="313"/>
      <c r="V69" s="313"/>
      <c r="W69" s="313"/>
      <c r="X69" s="313"/>
      <c r="Y69" s="313"/>
      <c r="Z69" s="313"/>
      <c r="AA69" s="313"/>
      <c r="AB69" s="313"/>
      <c r="AC69" s="313"/>
      <c r="AD69" s="313"/>
      <c r="AE69" s="313"/>
      <c r="AF69" s="313"/>
    </row>
    <row r="70" customFormat="false" ht="16.5" hidden="false" customHeight="false" outlineLevel="0" collapsed="false">
      <c r="A70" s="313"/>
      <c r="B70" s="313"/>
      <c r="C70" s="313"/>
      <c r="D70" s="313"/>
      <c r="E70" s="313"/>
      <c r="F70" s="313"/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  <c r="T70" s="313"/>
      <c r="U70" s="313"/>
      <c r="V70" s="313"/>
      <c r="W70" s="313"/>
      <c r="X70" s="313"/>
      <c r="Y70" s="313"/>
      <c r="Z70" s="313"/>
      <c r="AA70" s="313"/>
      <c r="AB70" s="313"/>
      <c r="AC70" s="313"/>
      <c r="AD70" s="313"/>
      <c r="AE70" s="313"/>
      <c r="AF70" s="313"/>
    </row>
    <row r="71" customFormat="false" ht="16.5" hidden="false" customHeight="false" outlineLevel="0" collapsed="false">
      <c r="A71" s="313"/>
      <c r="B71" s="313"/>
      <c r="C71" s="313"/>
      <c r="D71" s="313"/>
      <c r="E71" s="313"/>
      <c r="F71" s="313"/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  <c r="T71" s="313"/>
      <c r="U71" s="313"/>
      <c r="V71" s="313"/>
      <c r="W71" s="313"/>
      <c r="X71" s="313"/>
      <c r="Y71" s="313"/>
      <c r="Z71" s="313"/>
      <c r="AA71" s="313"/>
      <c r="AB71" s="313"/>
      <c r="AC71" s="313"/>
      <c r="AD71" s="313"/>
      <c r="AE71" s="313"/>
      <c r="AF71" s="313"/>
    </row>
    <row r="72" customFormat="false" ht="16.5" hidden="false" customHeight="false" outlineLevel="0" collapsed="false">
      <c r="A72" s="313"/>
      <c r="B72" s="313"/>
      <c r="C72" s="313"/>
      <c r="D72" s="313"/>
      <c r="E72" s="313"/>
      <c r="F72" s="313"/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  <c r="T72" s="313"/>
      <c r="U72" s="313"/>
      <c r="V72" s="313"/>
      <c r="W72" s="313"/>
      <c r="X72" s="313"/>
      <c r="Y72" s="313"/>
      <c r="Z72" s="313"/>
      <c r="AA72" s="313"/>
      <c r="AB72" s="313"/>
      <c r="AC72" s="313"/>
      <c r="AD72" s="313"/>
      <c r="AE72" s="313"/>
      <c r="AF72" s="313"/>
    </row>
    <row r="73" customFormat="false" ht="16.5" hidden="false" customHeight="false" outlineLevel="0" collapsed="false">
      <c r="A73" s="313"/>
      <c r="B73" s="313"/>
      <c r="C73" s="313"/>
      <c r="D73" s="313"/>
      <c r="E73" s="313"/>
      <c r="F73" s="313"/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  <c r="T73" s="313"/>
      <c r="U73" s="313"/>
      <c r="V73" s="313"/>
      <c r="W73" s="313"/>
      <c r="X73" s="313"/>
      <c r="Y73" s="313"/>
      <c r="Z73" s="313"/>
      <c r="AA73" s="313"/>
      <c r="AB73" s="313"/>
      <c r="AC73" s="313"/>
      <c r="AD73" s="313"/>
      <c r="AE73" s="313"/>
      <c r="AF73" s="313"/>
    </row>
    <row r="74" customFormat="false" ht="16.5" hidden="false" customHeight="false" outlineLevel="0" collapsed="false">
      <c r="A74" s="313"/>
      <c r="B74" s="313"/>
      <c r="C74" s="313"/>
      <c r="D74" s="313"/>
      <c r="E74" s="313"/>
      <c r="F74" s="313"/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  <c r="T74" s="313"/>
      <c r="U74" s="313"/>
      <c r="V74" s="313"/>
      <c r="W74" s="313"/>
      <c r="X74" s="313"/>
      <c r="Y74" s="313"/>
      <c r="Z74" s="313"/>
      <c r="AA74" s="313"/>
      <c r="AB74" s="313"/>
      <c r="AC74" s="313"/>
      <c r="AD74" s="313"/>
      <c r="AE74" s="313"/>
      <c r="AF74" s="313"/>
    </row>
    <row r="75" customFormat="false" ht="16.5" hidden="false" customHeight="false" outlineLevel="0" collapsed="false">
      <c r="A75" s="313"/>
      <c r="B75" s="313"/>
      <c r="C75" s="313"/>
      <c r="D75" s="313"/>
      <c r="E75" s="313"/>
      <c r="F75" s="313"/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  <c r="T75" s="313"/>
      <c r="U75" s="313"/>
      <c r="V75" s="313"/>
      <c r="W75" s="313"/>
      <c r="X75" s="313"/>
      <c r="Y75" s="313"/>
      <c r="Z75" s="313"/>
      <c r="AA75" s="313"/>
      <c r="AB75" s="313"/>
      <c r="AC75" s="313"/>
      <c r="AD75" s="313"/>
      <c r="AE75" s="313"/>
      <c r="AF75" s="313"/>
    </row>
    <row r="76" customFormat="false" ht="16.5" hidden="false" customHeight="false" outlineLevel="0" collapsed="false">
      <c r="A76" s="313"/>
      <c r="B76" s="313"/>
      <c r="C76" s="313"/>
      <c r="D76" s="313"/>
      <c r="E76" s="313"/>
      <c r="F76" s="313"/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  <c r="T76" s="313"/>
      <c r="U76" s="313"/>
      <c r="V76" s="313"/>
      <c r="W76" s="313"/>
      <c r="X76" s="313"/>
      <c r="Y76" s="313"/>
      <c r="Z76" s="313"/>
      <c r="AA76" s="313"/>
      <c r="AB76" s="313"/>
      <c r="AC76" s="313"/>
      <c r="AD76" s="313"/>
      <c r="AE76" s="313"/>
      <c r="AF76" s="313"/>
    </row>
    <row r="77" customFormat="false" ht="16.5" hidden="false" customHeight="false" outlineLevel="0" collapsed="false">
      <c r="A77" s="313"/>
      <c r="B77" s="313"/>
      <c r="C77" s="313"/>
      <c r="D77" s="313"/>
      <c r="E77" s="313"/>
      <c r="F77" s="313"/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  <c r="T77" s="313"/>
      <c r="U77" s="313"/>
      <c r="V77" s="313"/>
      <c r="W77" s="313"/>
      <c r="X77" s="313"/>
      <c r="Y77" s="313"/>
      <c r="Z77" s="313"/>
      <c r="AA77" s="313"/>
      <c r="AB77" s="313"/>
      <c r="AC77" s="313"/>
      <c r="AD77" s="313"/>
      <c r="AE77" s="313"/>
      <c r="AF77" s="313"/>
    </row>
    <row r="78" customFormat="false" ht="16.5" hidden="false" customHeight="false" outlineLevel="0" collapsed="false">
      <c r="A78" s="313"/>
      <c r="B78" s="313"/>
      <c r="C78" s="313"/>
      <c r="D78" s="313"/>
      <c r="E78" s="313"/>
      <c r="F78" s="313"/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  <c r="T78" s="313"/>
      <c r="U78" s="313"/>
      <c r="V78" s="313"/>
      <c r="W78" s="313"/>
      <c r="X78" s="313"/>
      <c r="Y78" s="313"/>
      <c r="Z78" s="313"/>
      <c r="AA78" s="313"/>
      <c r="AB78" s="313"/>
      <c r="AC78" s="313"/>
      <c r="AD78" s="313"/>
      <c r="AE78" s="313"/>
      <c r="AF78" s="313"/>
    </row>
    <row r="79" customFormat="false" ht="16.5" hidden="false" customHeight="false" outlineLevel="0" collapsed="false">
      <c r="A79" s="313"/>
      <c r="B79" s="313"/>
      <c r="C79" s="313"/>
      <c r="D79" s="313"/>
      <c r="E79" s="313"/>
      <c r="F79" s="313"/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  <c r="T79" s="313"/>
      <c r="U79" s="313"/>
      <c r="V79" s="313"/>
      <c r="W79" s="313"/>
      <c r="X79" s="313"/>
      <c r="Y79" s="313"/>
      <c r="Z79" s="313"/>
      <c r="AA79" s="313"/>
      <c r="AB79" s="313"/>
      <c r="AC79" s="313"/>
      <c r="AD79" s="313"/>
      <c r="AE79" s="313"/>
      <c r="AF79" s="313"/>
    </row>
    <row r="80" customFormat="false" ht="16.5" hidden="false" customHeight="false" outlineLevel="0" collapsed="false">
      <c r="A80" s="313"/>
      <c r="B80" s="313"/>
      <c r="C80" s="313"/>
      <c r="D80" s="313"/>
      <c r="E80" s="313"/>
      <c r="F80" s="313"/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  <c r="T80" s="313"/>
      <c r="U80" s="313"/>
      <c r="V80" s="313"/>
      <c r="W80" s="313"/>
      <c r="X80" s="313"/>
      <c r="Y80" s="313"/>
      <c r="Z80" s="313"/>
      <c r="AA80" s="313"/>
      <c r="AB80" s="313"/>
      <c r="AC80" s="313"/>
      <c r="AD80" s="313"/>
      <c r="AE80" s="313"/>
      <c r="AF80" s="313"/>
    </row>
    <row r="81" customFormat="false" ht="16.5" hidden="false" customHeight="false" outlineLevel="0" collapsed="false">
      <c r="A81" s="313"/>
      <c r="B81" s="313"/>
      <c r="C81" s="313"/>
      <c r="D81" s="313"/>
      <c r="E81" s="313"/>
      <c r="F81" s="313"/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  <c r="T81" s="313"/>
      <c r="U81" s="313"/>
      <c r="V81" s="313"/>
      <c r="W81" s="313"/>
      <c r="X81" s="313"/>
      <c r="Y81" s="313"/>
      <c r="Z81" s="313"/>
      <c r="AA81" s="313"/>
      <c r="AB81" s="313"/>
      <c r="AC81" s="313"/>
      <c r="AD81" s="313"/>
      <c r="AE81" s="313"/>
      <c r="AF81" s="313"/>
    </row>
    <row r="82" customFormat="false" ht="16.5" hidden="false" customHeight="false" outlineLevel="0" collapsed="false">
      <c r="A82" s="313"/>
      <c r="B82" s="313"/>
      <c r="C82" s="313"/>
      <c r="D82" s="313"/>
      <c r="E82" s="313"/>
      <c r="F82" s="313"/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  <c r="T82" s="313"/>
      <c r="U82" s="313"/>
      <c r="V82" s="313"/>
      <c r="W82" s="313"/>
      <c r="X82" s="313"/>
      <c r="Y82" s="313"/>
      <c r="Z82" s="313"/>
      <c r="AA82" s="313"/>
      <c r="AB82" s="313"/>
      <c r="AC82" s="313"/>
      <c r="AD82" s="313"/>
      <c r="AE82" s="313"/>
      <c r="AF82" s="313"/>
    </row>
    <row r="83" customFormat="false" ht="16.5" hidden="false" customHeight="false" outlineLevel="0" collapsed="false">
      <c r="A83" s="313"/>
      <c r="B83" s="313"/>
      <c r="C83" s="313"/>
      <c r="D83" s="313"/>
      <c r="E83" s="313"/>
      <c r="F83" s="313"/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  <c r="T83" s="313"/>
      <c r="U83" s="313"/>
      <c r="V83" s="313"/>
      <c r="W83" s="313"/>
      <c r="X83" s="313"/>
      <c r="Y83" s="313"/>
      <c r="Z83" s="313"/>
      <c r="AA83" s="313"/>
      <c r="AB83" s="313"/>
      <c r="AC83" s="313"/>
      <c r="AD83" s="313"/>
      <c r="AE83" s="313"/>
      <c r="AF83" s="313"/>
    </row>
    <row r="84" customFormat="false" ht="16.5" hidden="false" customHeight="false" outlineLevel="0" collapsed="false">
      <c r="A84" s="313"/>
      <c r="B84" s="313"/>
      <c r="C84" s="313"/>
      <c r="D84" s="313"/>
      <c r="E84" s="313"/>
      <c r="F84" s="313"/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  <c r="T84" s="313"/>
      <c r="U84" s="313"/>
      <c r="V84" s="313"/>
      <c r="W84" s="313"/>
      <c r="X84" s="313"/>
      <c r="Y84" s="313"/>
      <c r="Z84" s="313"/>
      <c r="AA84" s="313"/>
      <c r="AB84" s="313"/>
      <c r="AC84" s="313"/>
      <c r="AD84" s="313"/>
      <c r="AE84" s="313"/>
      <c r="AF84" s="313"/>
    </row>
    <row r="85" customFormat="false" ht="16.5" hidden="false" customHeight="false" outlineLevel="0" collapsed="false">
      <c r="A85" s="313"/>
      <c r="B85" s="313"/>
      <c r="C85" s="313"/>
      <c r="D85" s="313"/>
      <c r="E85" s="313"/>
      <c r="F85" s="313"/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  <c r="T85" s="313"/>
      <c r="U85" s="313"/>
      <c r="V85" s="313"/>
      <c r="W85" s="313"/>
      <c r="X85" s="313"/>
      <c r="Y85" s="313"/>
      <c r="Z85" s="313"/>
      <c r="AA85" s="313"/>
      <c r="AB85" s="313"/>
      <c r="AC85" s="313"/>
      <c r="AD85" s="313"/>
      <c r="AE85" s="313"/>
      <c r="AF85" s="313"/>
    </row>
    <row r="86" customFormat="false" ht="16.5" hidden="false" customHeight="false" outlineLevel="0" collapsed="false">
      <c r="A86" s="313"/>
      <c r="B86" s="313"/>
      <c r="C86" s="313"/>
      <c r="D86" s="313"/>
      <c r="E86" s="313"/>
      <c r="F86" s="313"/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  <c r="T86" s="313"/>
      <c r="U86" s="313"/>
      <c r="V86" s="313"/>
      <c r="W86" s="313"/>
      <c r="X86" s="313"/>
      <c r="Y86" s="313"/>
      <c r="Z86" s="313"/>
      <c r="AA86" s="313"/>
      <c r="AB86" s="313"/>
      <c r="AC86" s="313"/>
      <c r="AD86" s="313"/>
      <c r="AE86" s="313"/>
      <c r="AF86" s="313"/>
    </row>
    <row r="87" customFormat="false" ht="16.5" hidden="false" customHeight="false" outlineLevel="0" collapsed="false">
      <c r="A87" s="313"/>
      <c r="B87" s="313"/>
      <c r="C87" s="313"/>
      <c r="D87" s="313"/>
      <c r="E87" s="313"/>
      <c r="F87" s="313"/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  <c r="T87" s="313"/>
      <c r="U87" s="313"/>
      <c r="V87" s="313"/>
      <c r="W87" s="313"/>
      <c r="X87" s="313"/>
      <c r="Y87" s="313"/>
      <c r="Z87" s="313"/>
      <c r="AA87" s="313"/>
      <c r="AB87" s="313"/>
      <c r="AC87" s="313"/>
      <c r="AD87" s="313"/>
      <c r="AE87" s="313"/>
      <c r="AF87" s="313"/>
    </row>
    <row r="88" customFormat="false" ht="16.5" hidden="false" customHeight="false" outlineLevel="0" collapsed="false">
      <c r="A88" s="313"/>
      <c r="B88" s="313"/>
      <c r="C88" s="313"/>
      <c r="D88" s="313"/>
      <c r="E88" s="313"/>
      <c r="F88" s="313"/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  <c r="T88" s="313"/>
      <c r="U88" s="313"/>
      <c r="V88" s="313"/>
      <c r="W88" s="313"/>
      <c r="X88" s="313"/>
      <c r="Y88" s="313"/>
      <c r="Z88" s="313"/>
      <c r="AA88" s="313"/>
      <c r="AB88" s="313"/>
      <c r="AC88" s="313"/>
      <c r="AD88" s="313"/>
      <c r="AE88" s="313"/>
      <c r="AF88" s="313"/>
    </row>
  </sheetData>
  <mergeCells count="2">
    <mergeCell ref="E7:I7"/>
    <mergeCell ref="C15:F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88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I42" activeCellId="0" sqref="I42"/>
    </sheetView>
  </sheetViews>
  <sheetFormatPr defaultColWidth="8.859375" defaultRowHeight="15" zeroHeight="false" outlineLevelRow="0" outlineLevelCol="0"/>
  <cols>
    <col collapsed="false" customWidth="true" hidden="false" outlineLevel="0" max="1" min="1" style="419" width="3"/>
    <col collapsed="false" customWidth="true" hidden="false" outlineLevel="0" max="2" min="2" style="419" width="21"/>
    <col collapsed="false" customWidth="true" hidden="false" outlineLevel="0" max="9" min="3" style="419" width="23.71"/>
    <col collapsed="false" customWidth="true" hidden="false" outlineLevel="0" max="10" min="10" style="419" width="24.43"/>
    <col collapsed="false" customWidth="true" hidden="false" outlineLevel="0" max="11" min="11" style="419" width="1.86"/>
    <col collapsed="false" customWidth="true" hidden="false" outlineLevel="0" max="12" min="12" style="419" width="33"/>
    <col collapsed="false" customWidth="true" hidden="false" outlineLevel="0" max="14" min="13" style="419" width="23.28"/>
    <col collapsed="false" customWidth="false" hidden="false" outlineLevel="0" max="16384" min="15" style="419" width="8.86"/>
  </cols>
  <sheetData>
    <row r="1" customFormat="false" ht="23.25" hidden="false" customHeight="true" outlineLevel="0" collapsed="false">
      <c r="A1" s="420"/>
      <c r="B1" s="420"/>
      <c r="C1" s="421" t="s">
        <v>0</v>
      </c>
      <c r="D1" s="421" t="n">
        <v>93.95</v>
      </c>
      <c r="E1" s="420"/>
      <c r="F1" s="422"/>
      <c r="G1" s="420"/>
      <c r="H1" s="420"/>
      <c r="I1" s="420"/>
      <c r="J1" s="420"/>
      <c r="K1" s="420"/>
      <c r="L1" s="420"/>
      <c r="M1" s="420"/>
      <c r="N1" s="420"/>
      <c r="O1" s="420"/>
      <c r="P1" s="420"/>
      <c r="Q1" s="420"/>
      <c r="R1" s="420"/>
      <c r="S1" s="420"/>
      <c r="T1" s="420"/>
      <c r="U1" s="420"/>
      <c r="V1" s="420"/>
      <c r="W1" s="420"/>
      <c r="X1" s="420"/>
      <c r="Y1" s="420"/>
      <c r="Z1" s="420"/>
      <c r="AA1" s="420"/>
      <c r="AB1" s="420"/>
      <c r="AC1" s="420"/>
      <c r="AD1" s="420"/>
      <c r="AE1" s="420"/>
      <c r="AF1" s="420"/>
    </row>
    <row r="2" customFormat="false" ht="23.25" hidden="false" customHeight="true" outlineLevel="0" collapsed="false">
      <c r="A2" s="420"/>
      <c r="B2" s="423" t="s">
        <v>168</v>
      </c>
      <c r="C2" s="424" t="s">
        <v>1</v>
      </c>
      <c r="D2" s="425" t="n">
        <f aca="false">J8+J16+J24+J32+J40+J48</f>
        <v>70.6</v>
      </c>
      <c r="E2" s="426" t="s">
        <v>2</v>
      </c>
      <c r="F2" s="427" t="n">
        <f aca="false">J9+J17+J25+J33+J41+J49</f>
        <v>1.7</v>
      </c>
      <c r="G2" s="426" t="s">
        <v>3</v>
      </c>
      <c r="H2" s="427" t="n">
        <f aca="false">J10+J18+J26+J34+J42+J50</f>
        <v>0.2</v>
      </c>
      <c r="I2" s="428"/>
      <c r="J2" s="429" t="s">
        <v>4</v>
      </c>
      <c r="K2" s="430"/>
      <c r="L2" s="429"/>
      <c r="M2" s="420"/>
      <c r="N2" s="420"/>
      <c r="O2" s="420"/>
      <c r="P2" s="420"/>
      <c r="Q2" s="420"/>
      <c r="R2" s="420"/>
      <c r="S2" s="420"/>
      <c r="T2" s="420"/>
      <c r="U2" s="420"/>
      <c r="V2" s="420"/>
      <c r="W2" s="420"/>
      <c r="X2" s="420"/>
      <c r="Y2" s="420"/>
      <c r="Z2" s="420"/>
      <c r="AA2" s="420"/>
      <c r="AB2" s="420"/>
      <c r="AC2" s="420"/>
      <c r="AD2" s="420"/>
      <c r="AE2" s="420"/>
      <c r="AF2" s="420"/>
    </row>
    <row r="3" customFormat="false" ht="23.25" hidden="false" customHeight="true" outlineLevel="0" collapsed="false">
      <c r="A3" s="420"/>
      <c r="B3" s="431" t="s">
        <v>5</v>
      </c>
      <c r="C3" s="432" t="s">
        <v>6</v>
      </c>
      <c r="D3" s="433" t="s">
        <v>7</v>
      </c>
      <c r="E3" s="434" t="s">
        <v>8</v>
      </c>
      <c r="F3" s="435" t="s">
        <v>9</v>
      </c>
      <c r="G3" s="433" t="s">
        <v>10</v>
      </c>
      <c r="H3" s="433" t="s">
        <v>11</v>
      </c>
      <c r="I3" s="436" t="s">
        <v>12</v>
      </c>
      <c r="J3" s="429" t="s">
        <v>13</v>
      </c>
      <c r="K3" s="437"/>
      <c r="L3" s="429"/>
      <c r="M3" s="420"/>
      <c r="N3" s="420"/>
      <c r="O3" s="420"/>
      <c r="P3" s="420"/>
      <c r="Q3" s="420"/>
      <c r="R3" s="420"/>
      <c r="S3" s="420"/>
      <c r="T3" s="420"/>
      <c r="U3" s="420"/>
      <c r="V3" s="420"/>
      <c r="W3" s="420"/>
      <c r="X3" s="420"/>
      <c r="Y3" s="420"/>
      <c r="Z3" s="420"/>
      <c r="AA3" s="420"/>
      <c r="AB3" s="420"/>
      <c r="AC3" s="420"/>
      <c r="AD3" s="420"/>
      <c r="AE3" s="420"/>
      <c r="AF3" s="420"/>
    </row>
    <row r="4" customFormat="false" ht="23.25" hidden="false" customHeight="true" outlineLevel="0" collapsed="false">
      <c r="A4" s="420"/>
      <c r="B4" s="438" t="s">
        <v>14</v>
      </c>
      <c r="C4" s="439" t="s">
        <v>4</v>
      </c>
      <c r="D4" s="439" t="s">
        <v>4</v>
      </c>
      <c r="E4" s="439" t="s">
        <v>4</v>
      </c>
      <c r="F4" s="439" t="s">
        <v>4</v>
      </c>
      <c r="G4" s="439" t="n">
        <v>1</v>
      </c>
      <c r="H4" s="440" t="n">
        <v>2</v>
      </c>
      <c r="I4" s="441" t="n">
        <v>3</v>
      </c>
      <c r="J4" s="429" t="s">
        <v>15</v>
      </c>
      <c r="K4" s="437"/>
      <c r="L4" s="442"/>
      <c r="M4" s="420"/>
      <c r="N4" s="420"/>
      <c r="O4" s="420"/>
      <c r="P4" s="420"/>
      <c r="Q4" s="420"/>
      <c r="R4" s="420"/>
      <c r="S4" s="420"/>
      <c r="T4" s="420"/>
      <c r="U4" s="420"/>
      <c r="V4" s="420"/>
      <c r="W4" s="420"/>
      <c r="X4" s="420"/>
      <c r="Y4" s="420"/>
      <c r="Z4" s="420"/>
      <c r="AA4" s="420"/>
      <c r="AB4" s="420"/>
      <c r="AC4" s="420"/>
      <c r="AD4" s="420"/>
      <c r="AE4" s="420"/>
      <c r="AF4" s="420"/>
    </row>
    <row r="5" customFormat="false" ht="23.25" hidden="false" customHeight="true" outlineLevel="0" collapsed="false">
      <c r="A5" s="420"/>
      <c r="B5" s="443" t="s">
        <v>16</v>
      </c>
      <c r="C5" s="444"/>
      <c r="D5" s="445"/>
      <c r="E5" s="446"/>
      <c r="F5" s="445"/>
      <c r="G5" s="445" t="s">
        <v>43</v>
      </c>
      <c r="H5" s="445" t="s">
        <v>152</v>
      </c>
      <c r="I5" s="447" t="s">
        <v>152</v>
      </c>
      <c r="J5" s="429" t="s">
        <v>17</v>
      </c>
      <c r="K5" s="437"/>
      <c r="L5" s="448"/>
      <c r="M5" s="420"/>
      <c r="N5" s="420"/>
      <c r="O5" s="420"/>
      <c r="P5" s="420"/>
      <c r="Q5" s="420"/>
      <c r="R5" s="420"/>
      <c r="S5" s="420"/>
      <c r="T5" s="420"/>
      <c r="U5" s="420"/>
      <c r="V5" s="420"/>
      <c r="W5" s="420"/>
      <c r="X5" s="420"/>
      <c r="Y5" s="420"/>
      <c r="Z5" s="420"/>
      <c r="AA5" s="420"/>
      <c r="AB5" s="420"/>
      <c r="AC5" s="420"/>
      <c r="AD5" s="420"/>
      <c r="AE5" s="420"/>
      <c r="AF5" s="420"/>
    </row>
    <row r="6" customFormat="false" ht="23.25" hidden="false" customHeight="true" outlineLevel="0" collapsed="false">
      <c r="A6" s="420"/>
      <c r="B6" s="449" t="s">
        <v>18</v>
      </c>
      <c r="C6" s="450" t="s">
        <v>4</v>
      </c>
      <c r="D6" s="450" t="s">
        <v>4</v>
      </c>
      <c r="E6" s="451" t="s">
        <v>4</v>
      </c>
      <c r="F6" s="451" t="s">
        <v>4</v>
      </c>
      <c r="G6" s="452" t="n">
        <v>0.24</v>
      </c>
      <c r="H6" s="453" t="n">
        <v>0.34</v>
      </c>
      <c r="I6" s="454" t="n">
        <v>0.44</v>
      </c>
      <c r="J6" s="455"/>
      <c r="K6" s="437"/>
      <c r="L6" s="420"/>
      <c r="M6" s="420"/>
      <c r="N6" s="420"/>
      <c r="O6" s="420"/>
      <c r="P6" s="420"/>
      <c r="Q6" s="420"/>
      <c r="R6" s="420"/>
      <c r="S6" s="420"/>
      <c r="T6" s="420"/>
      <c r="U6" s="420"/>
      <c r="V6" s="420"/>
      <c r="W6" s="420"/>
      <c r="X6" s="420"/>
      <c r="Y6" s="420"/>
      <c r="Z6" s="420"/>
      <c r="AA6" s="420"/>
      <c r="AB6" s="420"/>
      <c r="AC6" s="420"/>
      <c r="AD6" s="420"/>
      <c r="AE6" s="420"/>
      <c r="AF6" s="420"/>
    </row>
    <row r="7" customFormat="false" ht="23.25" hidden="false" customHeight="true" outlineLevel="0" collapsed="false">
      <c r="A7" s="420"/>
      <c r="B7" s="443" t="s">
        <v>19</v>
      </c>
      <c r="C7" s="456"/>
      <c r="D7" s="457"/>
      <c r="E7" s="458"/>
      <c r="F7" s="457"/>
      <c r="G7" s="457" t="s">
        <v>40</v>
      </c>
      <c r="H7" s="457" t="s">
        <v>169</v>
      </c>
      <c r="I7" s="459" t="s">
        <v>169</v>
      </c>
      <c r="J7" s="460" t="s">
        <v>20</v>
      </c>
      <c r="K7" s="437"/>
      <c r="L7" s="461"/>
      <c r="M7" s="420"/>
      <c r="N7" s="420"/>
      <c r="O7" s="420"/>
      <c r="P7" s="420"/>
      <c r="Q7" s="420"/>
      <c r="R7" s="420"/>
      <c r="S7" s="420"/>
      <c r="T7" s="420"/>
      <c r="U7" s="420"/>
      <c r="V7" s="420"/>
      <c r="W7" s="420"/>
      <c r="X7" s="420"/>
      <c r="Y7" s="420"/>
      <c r="Z7" s="420"/>
      <c r="AA7" s="420"/>
      <c r="AB7" s="420"/>
      <c r="AC7" s="420"/>
      <c r="AD7" s="420"/>
      <c r="AE7" s="420"/>
      <c r="AF7" s="420"/>
    </row>
    <row r="8" customFormat="false" ht="23.25" hidden="false" customHeight="true" outlineLevel="0" collapsed="false">
      <c r="A8" s="420"/>
      <c r="B8" s="438" t="s">
        <v>21</v>
      </c>
      <c r="C8" s="462"/>
      <c r="D8" s="463"/>
      <c r="E8" s="464"/>
      <c r="F8" s="463"/>
      <c r="G8" s="463" t="n">
        <v>3.4</v>
      </c>
      <c r="H8" s="463" t="n">
        <v>2.8</v>
      </c>
      <c r="I8" s="428" t="n">
        <v>0</v>
      </c>
      <c r="J8" s="465" t="n">
        <f aca="false" t="array" ref="J8:J8">SUM(IF(ISNUMBER(C8:I8), C8:I8, 0))</f>
        <v>6.2</v>
      </c>
      <c r="K8" s="437"/>
      <c r="L8" s="466" t="s">
        <v>22</v>
      </c>
      <c r="M8" s="420"/>
      <c r="N8" s="420"/>
      <c r="O8" s="420"/>
      <c r="P8" s="420"/>
      <c r="Q8" s="420"/>
      <c r="R8" s="420"/>
      <c r="S8" s="420"/>
      <c r="T8" s="420"/>
      <c r="U8" s="420"/>
      <c r="V8" s="420"/>
      <c r="W8" s="420"/>
      <c r="X8" s="420"/>
      <c r="Y8" s="420"/>
      <c r="Z8" s="420"/>
      <c r="AA8" s="420"/>
      <c r="AB8" s="420"/>
      <c r="AC8" s="420"/>
      <c r="AD8" s="420"/>
      <c r="AE8" s="420"/>
      <c r="AF8" s="420"/>
    </row>
    <row r="9" customFormat="false" ht="23.25" hidden="false" customHeight="true" outlineLevel="0" collapsed="false">
      <c r="A9" s="420"/>
      <c r="B9" s="438" t="s">
        <v>23</v>
      </c>
      <c r="C9" s="462"/>
      <c r="D9" s="463"/>
      <c r="E9" s="464"/>
      <c r="F9" s="463"/>
      <c r="G9" s="463" t="n">
        <v>0</v>
      </c>
      <c r="H9" s="463" t="n">
        <v>0</v>
      </c>
      <c r="I9" s="428"/>
      <c r="J9" s="465" t="n">
        <f aca="false" t="array" ref="J9:J9">SUM(IF(ISNUMBER(B9:I9), B9:I9, 0))</f>
        <v>0</v>
      </c>
      <c r="K9" s="437"/>
      <c r="L9" s="466" t="s">
        <v>24</v>
      </c>
      <c r="M9" s="420"/>
      <c r="N9" s="420"/>
      <c r="O9" s="420"/>
      <c r="P9" s="420"/>
      <c r="Q9" s="420"/>
      <c r="R9" s="420"/>
      <c r="S9" s="420"/>
      <c r="T9" s="420"/>
      <c r="U9" s="420"/>
      <c r="V9" s="420"/>
      <c r="W9" s="420"/>
      <c r="X9" s="420"/>
      <c r="Y9" s="420"/>
      <c r="Z9" s="420"/>
      <c r="AA9" s="420"/>
      <c r="AB9" s="420"/>
      <c r="AC9" s="420"/>
      <c r="AD9" s="420"/>
      <c r="AE9" s="420"/>
      <c r="AF9" s="420"/>
    </row>
    <row r="10" customFormat="false" ht="23.25" hidden="false" customHeight="true" outlineLevel="0" collapsed="false">
      <c r="A10" s="420"/>
      <c r="B10" s="438" t="s">
        <v>25</v>
      </c>
      <c r="C10" s="462"/>
      <c r="D10" s="463"/>
      <c r="E10" s="464"/>
      <c r="F10" s="463"/>
      <c r="G10" s="463" t="n">
        <v>0</v>
      </c>
      <c r="H10" s="463" t="n">
        <v>0</v>
      </c>
      <c r="I10" s="467"/>
      <c r="J10" s="468" t="n">
        <f aca="false" t="array" ref="J10:J10">SUM(IF(ISNUMBER(B10:I10), B10:I10, 0))</f>
        <v>0</v>
      </c>
      <c r="K10" s="437"/>
      <c r="L10" s="466" t="s">
        <v>26</v>
      </c>
      <c r="M10" s="420"/>
      <c r="N10" s="420"/>
      <c r="O10" s="420"/>
      <c r="P10" s="420"/>
      <c r="Q10" s="420"/>
      <c r="R10" s="420"/>
      <c r="S10" s="420"/>
      <c r="T10" s="420"/>
      <c r="U10" s="420"/>
      <c r="V10" s="420"/>
      <c r="W10" s="420"/>
      <c r="X10" s="420"/>
      <c r="Y10" s="420"/>
      <c r="Z10" s="420"/>
      <c r="AA10" s="420"/>
      <c r="AB10" s="420"/>
      <c r="AC10" s="420"/>
      <c r="AD10" s="420"/>
      <c r="AE10" s="420"/>
      <c r="AF10" s="420"/>
    </row>
    <row r="11" customFormat="false" ht="23.25" hidden="false" customHeight="true" outlineLevel="0" collapsed="false">
      <c r="A11" s="420"/>
      <c r="B11" s="469" t="s">
        <v>27</v>
      </c>
      <c r="C11" s="470" t="s">
        <v>4</v>
      </c>
      <c r="D11" s="471" t="s">
        <v>4</v>
      </c>
      <c r="E11" s="472" t="s">
        <v>4</v>
      </c>
      <c r="F11" s="473" t="s">
        <v>4</v>
      </c>
      <c r="G11" s="474" t="s">
        <v>170</v>
      </c>
      <c r="H11" s="475" t="s">
        <v>171</v>
      </c>
      <c r="I11" s="476" t="s">
        <v>172</v>
      </c>
      <c r="J11" s="468" t="n">
        <v>6.73</v>
      </c>
      <c r="K11" s="437"/>
      <c r="L11" s="466" t="s">
        <v>28</v>
      </c>
      <c r="M11" s="420"/>
      <c r="N11" s="420"/>
      <c r="O11" s="420"/>
      <c r="P11" s="420"/>
      <c r="Q11" s="420"/>
      <c r="R11" s="420"/>
      <c r="S11" s="420"/>
      <c r="T11" s="420"/>
      <c r="U11" s="420"/>
      <c r="V11" s="420"/>
      <c r="W11" s="420"/>
      <c r="X11" s="420"/>
      <c r="Y11" s="420"/>
      <c r="Z11" s="420"/>
      <c r="AA11" s="420"/>
      <c r="AB11" s="420"/>
      <c r="AC11" s="420"/>
      <c r="AD11" s="420"/>
      <c r="AE11" s="420"/>
      <c r="AF11" s="420"/>
    </row>
    <row r="12" customFormat="false" ht="23.25" hidden="false" customHeight="true" outlineLevel="0" collapsed="false">
      <c r="A12" s="420"/>
      <c r="B12" s="420" t="s">
        <v>4</v>
      </c>
      <c r="C12" s="477" t="n">
        <v>4</v>
      </c>
      <c r="D12" s="477" t="n">
        <v>5</v>
      </c>
      <c r="E12" s="477" t="n">
        <v>6</v>
      </c>
      <c r="F12" s="478" t="n">
        <v>7</v>
      </c>
      <c r="G12" s="479" t="n">
        <v>8</v>
      </c>
      <c r="H12" s="480" t="n">
        <v>9</v>
      </c>
      <c r="I12" s="441" t="n">
        <v>10</v>
      </c>
      <c r="J12" s="481"/>
      <c r="K12" s="437"/>
      <c r="L12" s="482"/>
      <c r="M12" s="420"/>
      <c r="N12" s="420"/>
      <c r="O12" s="420"/>
      <c r="P12" s="420"/>
      <c r="Q12" s="420"/>
      <c r="R12" s="420"/>
      <c r="S12" s="420"/>
      <c r="T12" s="420"/>
      <c r="U12" s="420"/>
      <c r="V12" s="420"/>
      <c r="W12" s="420"/>
      <c r="X12" s="420"/>
      <c r="Y12" s="420"/>
      <c r="Z12" s="420"/>
      <c r="AA12" s="420"/>
      <c r="AB12" s="420"/>
      <c r="AC12" s="420"/>
      <c r="AD12" s="420"/>
      <c r="AE12" s="420"/>
      <c r="AF12" s="420"/>
    </row>
    <row r="13" customFormat="false" ht="23.25" hidden="false" customHeight="true" outlineLevel="0" collapsed="false">
      <c r="A13" s="420"/>
      <c r="B13" s="420"/>
      <c r="C13" s="444" t="s">
        <v>152</v>
      </c>
      <c r="D13" s="445"/>
      <c r="E13" s="446"/>
      <c r="F13" s="445"/>
      <c r="G13" s="457"/>
      <c r="H13" s="483"/>
      <c r="I13" s="484"/>
      <c r="J13" s="481"/>
      <c r="K13" s="437"/>
      <c r="L13" s="482"/>
      <c r="M13" s="420"/>
      <c r="N13" s="420"/>
      <c r="O13" s="420"/>
      <c r="P13" s="420"/>
      <c r="Q13" s="420"/>
      <c r="R13" s="420"/>
      <c r="S13" s="420"/>
      <c r="T13" s="420"/>
      <c r="U13" s="420"/>
      <c r="V13" s="420"/>
      <c r="W13" s="420"/>
      <c r="X13" s="420"/>
      <c r="Y13" s="420"/>
      <c r="Z13" s="420"/>
      <c r="AA13" s="420"/>
      <c r="AB13" s="420"/>
      <c r="AC13" s="420"/>
      <c r="AD13" s="420"/>
      <c r="AE13" s="420"/>
      <c r="AF13" s="420"/>
    </row>
    <row r="14" customFormat="false" ht="23.25" hidden="false" customHeight="true" outlineLevel="0" collapsed="false">
      <c r="A14" s="420"/>
      <c r="B14" s="420"/>
      <c r="C14" s="485" t="n">
        <v>0.55</v>
      </c>
      <c r="D14" s="453" t="n">
        <v>0.64</v>
      </c>
      <c r="E14" s="450" t="n">
        <v>0.73</v>
      </c>
      <c r="F14" s="451" t="n">
        <v>0.81</v>
      </c>
      <c r="G14" s="451" t="n">
        <v>0.88</v>
      </c>
      <c r="H14" s="486" t="n">
        <v>0.94</v>
      </c>
      <c r="I14" s="487" t="n">
        <v>0.97</v>
      </c>
      <c r="J14" s="437"/>
      <c r="K14" s="437"/>
      <c r="L14" s="482"/>
      <c r="M14" s="420"/>
      <c r="N14" s="420"/>
      <c r="O14" s="420"/>
      <c r="P14" s="420"/>
      <c r="Q14" s="420"/>
      <c r="R14" s="420"/>
      <c r="S14" s="420"/>
      <c r="T14" s="420"/>
      <c r="U14" s="420"/>
      <c r="V14" s="420"/>
      <c r="W14" s="420"/>
      <c r="X14" s="420"/>
      <c r="Y14" s="420"/>
      <c r="Z14" s="420"/>
      <c r="AA14" s="420"/>
      <c r="AB14" s="420"/>
      <c r="AC14" s="420"/>
      <c r="AD14" s="420"/>
      <c r="AE14" s="420"/>
      <c r="AF14" s="420"/>
    </row>
    <row r="15" customFormat="false" ht="23.25" hidden="false" customHeight="true" outlineLevel="0" collapsed="false">
      <c r="A15" s="420"/>
      <c r="B15" s="420"/>
      <c r="C15" s="456" t="s">
        <v>40</v>
      </c>
      <c r="D15" s="457"/>
      <c r="E15" s="457"/>
      <c r="F15" s="457"/>
      <c r="G15" s="457"/>
      <c r="H15" s="483"/>
      <c r="I15" s="488"/>
      <c r="J15" s="460" t="s">
        <v>29</v>
      </c>
      <c r="K15" s="437"/>
      <c r="L15" s="482"/>
      <c r="M15" s="420"/>
      <c r="N15" s="420"/>
      <c r="O15" s="420"/>
      <c r="P15" s="420"/>
      <c r="Q15" s="420"/>
      <c r="R15" s="420"/>
      <c r="S15" s="420"/>
      <c r="T15" s="420"/>
      <c r="U15" s="420"/>
      <c r="V15" s="420"/>
      <c r="W15" s="420"/>
      <c r="X15" s="420"/>
      <c r="Y15" s="420"/>
      <c r="Z15" s="420"/>
      <c r="AA15" s="420"/>
      <c r="AB15" s="420"/>
      <c r="AC15" s="420"/>
      <c r="AD15" s="420"/>
      <c r="AE15" s="420"/>
      <c r="AF15" s="420"/>
    </row>
    <row r="16" customFormat="false" ht="23.25" hidden="false" customHeight="true" outlineLevel="0" collapsed="false">
      <c r="A16" s="420"/>
      <c r="B16" s="420"/>
      <c r="C16" s="462" t="n">
        <v>0</v>
      </c>
      <c r="D16" s="463" t="n">
        <v>0</v>
      </c>
      <c r="E16" s="463" t="n">
        <v>0</v>
      </c>
      <c r="F16" s="463" t="n">
        <v>0</v>
      </c>
      <c r="G16" s="463" t="n">
        <v>0</v>
      </c>
      <c r="H16" s="463"/>
      <c r="I16" s="428"/>
      <c r="J16" s="465" t="n">
        <f aca="false" t="array" ref="J16:J16">SUM(IF(ISNUMBER(B16:I16), B16:I16, 0))</f>
        <v>0</v>
      </c>
      <c r="K16" s="437"/>
      <c r="L16" s="489" t="s">
        <v>22</v>
      </c>
      <c r="M16" s="420"/>
      <c r="N16" s="420"/>
      <c r="O16" s="420"/>
      <c r="P16" s="420"/>
      <c r="Q16" s="420"/>
      <c r="R16" s="420"/>
      <c r="S16" s="420"/>
      <c r="T16" s="420"/>
      <c r="U16" s="420"/>
      <c r="V16" s="420"/>
      <c r="W16" s="420"/>
      <c r="X16" s="420"/>
      <c r="Y16" s="420"/>
      <c r="Z16" s="420"/>
      <c r="AA16" s="420"/>
      <c r="AB16" s="420"/>
      <c r="AC16" s="420"/>
      <c r="AD16" s="420"/>
      <c r="AE16" s="420"/>
      <c r="AF16" s="420"/>
    </row>
    <row r="17" customFormat="false" ht="23.25" hidden="false" customHeight="true" outlineLevel="0" collapsed="false">
      <c r="A17" s="420"/>
      <c r="B17" s="420"/>
      <c r="C17" s="462"/>
      <c r="D17" s="463"/>
      <c r="E17" s="463"/>
      <c r="F17" s="463"/>
      <c r="G17" s="463"/>
      <c r="H17" s="463"/>
      <c r="I17" s="428"/>
      <c r="J17" s="465" t="n">
        <f aca="false" t="array" ref="J17:J17">SUM(IF(ISNUMBER(B17:I17), B17:I17, 0))</f>
        <v>0</v>
      </c>
      <c r="K17" s="437"/>
      <c r="L17" s="489" t="s">
        <v>24</v>
      </c>
      <c r="M17" s="420"/>
      <c r="N17" s="420"/>
      <c r="O17" s="420"/>
      <c r="P17" s="420"/>
      <c r="Q17" s="420"/>
      <c r="R17" s="420"/>
      <c r="S17" s="420"/>
      <c r="T17" s="420"/>
      <c r="U17" s="420"/>
      <c r="V17" s="420"/>
      <c r="W17" s="420"/>
      <c r="X17" s="420"/>
      <c r="Y17" s="420"/>
      <c r="Z17" s="420"/>
      <c r="AA17" s="420"/>
      <c r="AB17" s="420"/>
      <c r="AC17" s="420"/>
      <c r="AD17" s="420"/>
      <c r="AE17" s="420"/>
      <c r="AF17" s="420"/>
    </row>
    <row r="18" customFormat="false" ht="23.25" hidden="false" customHeight="true" outlineLevel="0" collapsed="false">
      <c r="A18" s="420"/>
      <c r="B18" s="420"/>
      <c r="C18" s="462"/>
      <c r="D18" s="463"/>
      <c r="E18" s="463"/>
      <c r="F18" s="463"/>
      <c r="G18" s="463"/>
      <c r="H18" s="463"/>
      <c r="I18" s="428"/>
      <c r="J18" s="468" t="n">
        <f aca="false" t="array" ref="J18:J18">SUM(IF(ISNUMBER(B18:I18), B18:I18, 0))</f>
        <v>0</v>
      </c>
      <c r="K18" s="437"/>
      <c r="L18" s="489" t="s">
        <v>26</v>
      </c>
      <c r="M18" s="420"/>
      <c r="N18" s="420"/>
      <c r="O18" s="420"/>
      <c r="P18" s="420"/>
      <c r="Q18" s="420"/>
      <c r="R18" s="420"/>
      <c r="S18" s="420"/>
      <c r="T18" s="420"/>
      <c r="U18" s="420"/>
      <c r="V18" s="420"/>
      <c r="W18" s="420"/>
      <c r="X18" s="420"/>
      <c r="Y18" s="420"/>
      <c r="Z18" s="420"/>
      <c r="AA18" s="420"/>
      <c r="AB18" s="420"/>
      <c r="AC18" s="420"/>
      <c r="AD18" s="420"/>
      <c r="AE18" s="420"/>
      <c r="AF18" s="420"/>
    </row>
    <row r="19" customFormat="false" ht="23.25" hidden="false" customHeight="true" outlineLevel="0" collapsed="false">
      <c r="A19" s="420"/>
      <c r="B19" s="420"/>
      <c r="C19" s="490" t="s">
        <v>173</v>
      </c>
      <c r="D19" s="491" t="s">
        <v>174</v>
      </c>
      <c r="E19" s="471" t="s">
        <v>175</v>
      </c>
      <c r="F19" s="474" t="s">
        <v>176</v>
      </c>
      <c r="G19" s="492" t="s">
        <v>177</v>
      </c>
      <c r="H19" s="493" t="s">
        <v>178</v>
      </c>
      <c r="I19" s="476" t="s">
        <v>179</v>
      </c>
      <c r="J19" s="468" t="n">
        <v>2.88</v>
      </c>
      <c r="K19" s="437"/>
      <c r="L19" s="466" t="s">
        <v>28</v>
      </c>
      <c r="M19" s="420"/>
      <c r="N19" s="420"/>
      <c r="O19" s="420"/>
      <c r="P19" s="420"/>
      <c r="Q19" s="420"/>
      <c r="R19" s="420"/>
      <c r="S19" s="420"/>
      <c r="T19" s="420"/>
      <c r="U19" s="420"/>
      <c r="V19" s="420"/>
      <c r="W19" s="420"/>
      <c r="X19" s="420"/>
      <c r="Y19" s="420"/>
      <c r="Z19" s="420"/>
      <c r="AA19" s="420"/>
      <c r="AB19" s="420"/>
      <c r="AC19" s="420"/>
      <c r="AD19" s="420"/>
      <c r="AE19" s="420"/>
      <c r="AF19" s="420"/>
    </row>
    <row r="20" customFormat="false" ht="23.25" hidden="false" customHeight="true" outlineLevel="0" collapsed="false">
      <c r="A20" s="420"/>
      <c r="B20" s="420"/>
      <c r="C20" s="494" t="n">
        <v>11</v>
      </c>
      <c r="D20" s="494" t="n">
        <v>12</v>
      </c>
      <c r="E20" s="495" t="n">
        <v>13</v>
      </c>
      <c r="F20" s="441" t="n">
        <v>14</v>
      </c>
      <c r="G20" s="441" t="n">
        <v>15</v>
      </c>
      <c r="H20" s="441" t="n">
        <v>16</v>
      </c>
      <c r="I20" s="441" t="n">
        <v>17</v>
      </c>
      <c r="J20" s="481"/>
      <c r="K20" s="437"/>
      <c r="L20" s="482"/>
      <c r="M20" s="420"/>
      <c r="N20" s="420"/>
      <c r="O20" s="420"/>
      <c r="P20" s="420"/>
      <c r="Q20" s="420"/>
      <c r="R20" s="420"/>
      <c r="S20" s="420"/>
      <c r="T20" s="420"/>
      <c r="U20" s="420"/>
      <c r="V20" s="420"/>
      <c r="W20" s="420"/>
      <c r="X20" s="420"/>
      <c r="Y20" s="420"/>
      <c r="Z20" s="420"/>
      <c r="AA20" s="420"/>
      <c r="AB20" s="420"/>
      <c r="AC20" s="420"/>
      <c r="AD20" s="420"/>
      <c r="AE20" s="420"/>
      <c r="AF20" s="420"/>
    </row>
    <row r="21" customFormat="false" ht="23.25" hidden="false" customHeight="true" outlineLevel="0" collapsed="false">
      <c r="A21" s="420"/>
      <c r="B21" s="420"/>
      <c r="C21" s="496"/>
      <c r="D21" s="497"/>
      <c r="E21" s="497"/>
      <c r="F21" s="497"/>
      <c r="G21" s="497" t="s">
        <v>38</v>
      </c>
      <c r="H21" s="457" t="s">
        <v>152</v>
      </c>
      <c r="I21" s="498" t="s">
        <v>62</v>
      </c>
      <c r="J21" s="481"/>
      <c r="K21" s="437"/>
      <c r="L21" s="482"/>
      <c r="M21" s="420"/>
      <c r="N21" s="420"/>
      <c r="O21" s="420"/>
      <c r="P21" s="420"/>
      <c r="Q21" s="420"/>
      <c r="R21" s="420"/>
      <c r="S21" s="420"/>
      <c r="T21" s="420"/>
      <c r="U21" s="420"/>
      <c r="V21" s="420"/>
      <c r="W21" s="420"/>
      <c r="X21" s="420"/>
      <c r="Y21" s="420"/>
      <c r="Z21" s="420"/>
      <c r="AA21" s="420"/>
      <c r="AB21" s="420"/>
      <c r="AC21" s="420"/>
      <c r="AD21" s="420"/>
      <c r="AE21" s="420"/>
      <c r="AF21" s="420"/>
    </row>
    <row r="22" customFormat="false" ht="23.25" hidden="false" customHeight="true" outlineLevel="0" collapsed="false">
      <c r="A22" s="420"/>
      <c r="B22" s="420"/>
      <c r="C22" s="499" t="n">
        <v>0.99</v>
      </c>
      <c r="D22" s="451" t="n">
        <v>1</v>
      </c>
      <c r="E22" s="451" t="n">
        <v>0.98</v>
      </c>
      <c r="F22" s="451" t="n">
        <v>0.95</v>
      </c>
      <c r="G22" s="452" t="n">
        <v>0.9</v>
      </c>
      <c r="H22" s="453" t="n">
        <v>0.83</v>
      </c>
      <c r="I22" s="454" t="n">
        <v>0.75</v>
      </c>
      <c r="J22" s="437"/>
      <c r="K22" s="437"/>
      <c r="L22" s="482"/>
      <c r="M22" s="420"/>
      <c r="N22" s="420"/>
      <c r="O22" s="420"/>
      <c r="P22" s="420"/>
      <c r="Q22" s="420"/>
      <c r="R22" s="420"/>
      <c r="S22" s="420"/>
      <c r="T22" s="420"/>
      <c r="U22" s="420"/>
      <c r="V22" s="420"/>
      <c r="W22" s="420"/>
      <c r="X22" s="420"/>
      <c r="Y22" s="420"/>
      <c r="Z22" s="420"/>
      <c r="AA22" s="420"/>
      <c r="AB22" s="420"/>
      <c r="AC22" s="420"/>
      <c r="AD22" s="420"/>
      <c r="AE22" s="420"/>
      <c r="AF22" s="420"/>
    </row>
    <row r="23" customFormat="false" ht="23.25" hidden="false" customHeight="true" outlineLevel="0" collapsed="false">
      <c r="A23" s="420"/>
      <c r="B23" s="420"/>
      <c r="C23" s="496"/>
      <c r="D23" s="497"/>
      <c r="E23" s="497"/>
      <c r="F23" s="497"/>
      <c r="G23" s="497" t="s">
        <v>54</v>
      </c>
      <c r="H23" s="457" t="s">
        <v>62</v>
      </c>
      <c r="I23" s="498" t="s">
        <v>180</v>
      </c>
      <c r="J23" s="500" t="s">
        <v>30</v>
      </c>
      <c r="K23" s="437"/>
      <c r="L23" s="482"/>
      <c r="M23" s="420"/>
      <c r="N23" s="420"/>
      <c r="O23" s="420"/>
      <c r="P23" s="420"/>
      <c r="Q23" s="420"/>
      <c r="R23" s="420"/>
      <c r="S23" s="420"/>
      <c r="T23" s="420"/>
      <c r="U23" s="420"/>
      <c r="V23" s="420"/>
      <c r="W23" s="420"/>
      <c r="X23" s="420"/>
      <c r="Y23" s="420"/>
      <c r="Z23" s="420"/>
      <c r="AA23" s="420"/>
      <c r="AB23" s="420"/>
      <c r="AC23" s="420"/>
      <c r="AD23" s="420"/>
      <c r="AE23" s="420"/>
      <c r="AF23" s="420"/>
    </row>
    <row r="24" customFormat="false" ht="23.25" hidden="false" customHeight="true" outlineLevel="0" collapsed="false">
      <c r="A24" s="420"/>
      <c r="B24" s="420"/>
      <c r="C24" s="462"/>
      <c r="D24" s="501"/>
      <c r="E24" s="463"/>
      <c r="F24" s="463"/>
      <c r="G24" s="463"/>
      <c r="H24" s="463" t="n">
        <v>4.6</v>
      </c>
      <c r="I24" s="502" t="n">
        <v>0.9</v>
      </c>
      <c r="J24" s="503" t="n">
        <f aca="false" t="array" ref="J24:J24">SUM(IF(ISNUMBER(B24:I24), B24:I24, 0))</f>
        <v>5.5</v>
      </c>
      <c r="K24" s="437"/>
      <c r="L24" s="489" t="s">
        <v>22</v>
      </c>
      <c r="M24" s="420"/>
      <c r="N24" s="420"/>
      <c r="O24" s="420"/>
      <c r="P24" s="420"/>
      <c r="Q24" s="420"/>
      <c r="R24" s="420"/>
      <c r="S24" s="420"/>
      <c r="T24" s="420"/>
      <c r="U24" s="420"/>
      <c r="V24" s="420"/>
      <c r="W24" s="420"/>
      <c r="X24" s="420"/>
      <c r="Y24" s="420"/>
      <c r="Z24" s="420"/>
      <c r="AA24" s="420"/>
      <c r="AB24" s="420"/>
      <c r="AC24" s="420"/>
      <c r="AD24" s="420"/>
      <c r="AE24" s="420"/>
      <c r="AF24" s="420"/>
    </row>
    <row r="25" customFormat="false" ht="23.25" hidden="false" customHeight="true" outlineLevel="0" collapsed="false">
      <c r="A25" s="420"/>
      <c r="B25" s="420"/>
      <c r="C25" s="462"/>
      <c r="D25" s="501"/>
      <c r="E25" s="463"/>
      <c r="F25" s="463"/>
      <c r="G25" s="463"/>
      <c r="H25" s="463" t="n">
        <v>0</v>
      </c>
      <c r="I25" s="502" t="n">
        <v>0.3</v>
      </c>
      <c r="J25" s="503" t="n">
        <f aca="false" t="array" ref="J25:J25">SUM(IF(ISNUMBER(B25:I25), B25:I25, 0))</f>
        <v>0.3</v>
      </c>
      <c r="K25" s="437"/>
      <c r="L25" s="489" t="s">
        <v>24</v>
      </c>
      <c r="M25" s="420"/>
      <c r="N25" s="420"/>
      <c r="O25" s="420"/>
      <c r="P25" s="420"/>
      <c r="Q25" s="420"/>
      <c r="R25" s="420"/>
      <c r="S25" s="420"/>
      <c r="T25" s="420"/>
      <c r="U25" s="420"/>
      <c r="V25" s="420"/>
      <c r="W25" s="420"/>
      <c r="X25" s="420"/>
      <c r="Y25" s="420"/>
      <c r="Z25" s="420"/>
      <c r="AA25" s="420"/>
      <c r="AB25" s="420"/>
      <c r="AC25" s="420"/>
      <c r="AD25" s="420"/>
      <c r="AE25" s="420"/>
      <c r="AF25" s="420"/>
    </row>
    <row r="26" customFormat="false" ht="23.25" hidden="false" customHeight="true" outlineLevel="0" collapsed="false">
      <c r="A26" s="420"/>
      <c r="B26" s="420"/>
      <c r="C26" s="462"/>
      <c r="D26" s="504"/>
      <c r="E26" s="504"/>
      <c r="F26" s="504"/>
      <c r="G26" s="504"/>
      <c r="H26" s="463" t="n">
        <v>0</v>
      </c>
      <c r="I26" s="502" t="n">
        <v>0</v>
      </c>
      <c r="J26" s="505" t="n">
        <f aca="false" t="array" ref="J26:J26">SUM(IF(ISNUMBER(B26:I26), B26:I26, 0))</f>
        <v>0</v>
      </c>
      <c r="K26" s="437"/>
      <c r="L26" s="489" t="s">
        <v>26</v>
      </c>
      <c r="M26" s="420"/>
      <c r="N26" s="420"/>
      <c r="O26" s="420"/>
      <c r="P26" s="420"/>
      <c r="Q26" s="420"/>
      <c r="R26" s="420"/>
      <c r="S26" s="420"/>
      <c r="T26" s="420"/>
      <c r="U26" s="420"/>
      <c r="V26" s="420"/>
      <c r="W26" s="420"/>
      <c r="X26" s="420"/>
      <c r="Y26" s="420"/>
      <c r="Z26" s="420"/>
      <c r="AA26" s="420"/>
      <c r="AB26" s="420"/>
      <c r="AC26" s="420"/>
      <c r="AD26" s="420"/>
      <c r="AE26" s="420"/>
      <c r="AF26" s="420"/>
    </row>
    <row r="27" customFormat="false" ht="23.25" hidden="false" customHeight="true" outlineLevel="0" collapsed="false">
      <c r="A27" s="420"/>
      <c r="B27" s="420"/>
      <c r="C27" s="506" t="s">
        <v>181</v>
      </c>
      <c r="D27" s="471" t="s">
        <v>182</v>
      </c>
      <c r="E27" s="471" t="s">
        <v>183</v>
      </c>
      <c r="F27" s="507" t="s">
        <v>184</v>
      </c>
      <c r="G27" s="471" t="s">
        <v>185</v>
      </c>
      <c r="H27" s="471" t="s">
        <v>186</v>
      </c>
      <c r="I27" s="508" t="s">
        <v>187</v>
      </c>
      <c r="J27" s="468" t="n">
        <v>12.12</v>
      </c>
      <c r="K27" s="437"/>
      <c r="L27" s="466" t="s">
        <v>28</v>
      </c>
      <c r="M27" s="420"/>
      <c r="N27" s="420"/>
      <c r="O27" s="420"/>
      <c r="P27" s="420"/>
      <c r="Q27" s="420"/>
      <c r="R27" s="420"/>
      <c r="S27" s="420"/>
      <c r="T27" s="420"/>
      <c r="U27" s="420"/>
      <c r="V27" s="420"/>
      <c r="W27" s="420"/>
      <c r="X27" s="420"/>
      <c r="Y27" s="420"/>
      <c r="Z27" s="420"/>
      <c r="AA27" s="420"/>
      <c r="AB27" s="420"/>
      <c r="AC27" s="420"/>
      <c r="AD27" s="420"/>
      <c r="AE27" s="420"/>
      <c r="AF27" s="420"/>
    </row>
    <row r="28" customFormat="false" ht="23.25" hidden="false" customHeight="true" outlineLevel="0" collapsed="false">
      <c r="A28" s="420"/>
      <c r="B28" s="420"/>
      <c r="C28" s="477" t="n">
        <v>18</v>
      </c>
      <c r="D28" s="477" t="n">
        <v>19</v>
      </c>
      <c r="E28" s="477" t="n">
        <v>20</v>
      </c>
      <c r="F28" s="477" t="n">
        <v>21</v>
      </c>
      <c r="G28" s="477" t="n">
        <v>22</v>
      </c>
      <c r="H28" s="477" t="n">
        <v>23</v>
      </c>
      <c r="I28" s="477" t="n">
        <v>24</v>
      </c>
      <c r="J28" s="509"/>
      <c r="K28" s="437"/>
      <c r="L28" s="482"/>
      <c r="M28" s="420"/>
      <c r="N28" s="420"/>
      <c r="O28" s="420"/>
      <c r="P28" s="420"/>
      <c r="Q28" s="420"/>
      <c r="R28" s="420"/>
      <c r="S28" s="420"/>
      <c r="T28" s="420"/>
      <c r="U28" s="420"/>
      <c r="V28" s="420"/>
      <c r="W28" s="420"/>
      <c r="X28" s="420"/>
      <c r="Y28" s="420"/>
      <c r="Z28" s="420"/>
      <c r="AA28" s="420"/>
      <c r="AB28" s="420"/>
      <c r="AC28" s="420"/>
      <c r="AD28" s="420"/>
      <c r="AE28" s="420"/>
      <c r="AF28" s="420"/>
    </row>
    <row r="29" customFormat="false" ht="39" hidden="false" customHeight="true" outlineLevel="0" collapsed="false">
      <c r="A29" s="420"/>
      <c r="B29" s="420"/>
      <c r="C29" s="444" t="s">
        <v>45</v>
      </c>
      <c r="D29" s="445" t="s">
        <v>45</v>
      </c>
      <c r="E29" s="446" t="s">
        <v>188</v>
      </c>
      <c r="F29" s="510" t="s">
        <v>189</v>
      </c>
      <c r="G29" s="510" t="s">
        <v>190</v>
      </c>
      <c r="H29" s="445" t="s">
        <v>152</v>
      </c>
      <c r="I29" s="447" t="s">
        <v>165</v>
      </c>
      <c r="J29" s="481"/>
      <c r="K29" s="437"/>
      <c r="L29" s="482"/>
      <c r="M29" s="420"/>
      <c r="N29" s="420"/>
      <c r="O29" s="420"/>
      <c r="P29" s="420"/>
      <c r="Q29" s="420"/>
      <c r="R29" s="420"/>
      <c r="S29" s="420"/>
      <c r="T29" s="420"/>
      <c r="U29" s="420"/>
      <c r="V29" s="420"/>
      <c r="W29" s="420"/>
      <c r="X29" s="420"/>
      <c r="Y29" s="420"/>
      <c r="Z29" s="420"/>
      <c r="AA29" s="420"/>
      <c r="AB29" s="420"/>
      <c r="AC29" s="420"/>
      <c r="AD29" s="420"/>
      <c r="AE29" s="420"/>
      <c r="AF29" s="420"/>
    </row>
    <row r="30" customFormat="false" ht="23.25" hidden="false" customHeight="true" outlineLevel="0" collapsed="false">
      <c r="A30" s="420"/>
      <c r="B30" s="420"/>
      <c r="C30" s="499" t="n">
        <v>0.66</v>
      </c>
      <c r="D30" s="451" t="n">
        <v>0.56</v>
      </c>
      <c r="E30" s="451" t="n">
        <v>0.45</v>
      </c>
      <c r="F30" s="451" t="n">
        <v>0.34</v>
      </c>
      <c r="G30" s="451" t="n">
        <v>0.23</v>
      </c>
      <c r="H30" s="451" t="n">
        <v>0.14</v>
      </c>
      <c r="I30" s="454" t="n">
        <v>0.07</v>
      </c>
      <c r="J30" s="437"/>
      <c r="K30" s="437"/>
      <c r="L30" s="482"/>
      <c r="M30" s="420"/>
      <c r="N30" s="420"/>
      <c r="O30" s="420"/>
      <c r="P30" s="420"/>
      <c r="Q30" s="420"/>
      <c r="R30" s="420"/>
      <c r="S30" s="420"/>
      <c r="T30" s="420"/>
      <c r="U30" s="420"/>
      <c r="V30" s="420"/>
      <c r="W30" s="420"/>
      <c r="X30" s="420"/>
      <c r="Y30" s="420"/>
      <c r="Z30" s="420"/>
      <c r="AA30" s="420"/>
      <c r="AB30" s="420"/>
      <c r="AC30" s="420"/>
      <c r="AD30" s="420"/>
      <c r="AE30" s="420"/>
      <c r="AF30" s="420"/>
    </row>
    <row r="31" customFormat="false" ht="23.25" hidden="false" customHeight="true" outlineLevel="0" collapsed="false">
      <c r="A31" s="420"/>
      <c r="B31" s="420"/>
      <c r="C31" s="456" t="s">
        <v>62</v>
      </c>
      <c r="D31" s="457" t="s">
        <v>62</v>
      </c>
      <c r="E31" s="457" t="s">
        <v>54</v>
      </c>
      <c r="F31" s="457" t="s">
        <v>54</v>
      </c>
      <c r="G31" s="457" t="s">
        <v>62</v>
      </c>
      <c r="H31" s="457" t="s">
        <v>54</v>
      </c>
      <c r="I31" s="498" t="s">
        <v>169</v>
      </c>
      <c r="J31" s="500" t="s">
        <v>31</v>
      </c>
      <c r="K31" s="437"/>
      <c r="L31" s="482"/>
      <c r="M31" s="420"/>
      <c r="N31" s="420"/>
      <c r="O31" s="420"/>
      <c r="P31" s="420"/>
      <c r="Q31" s="420"/>
      <c r="R31" s="420"/>
      <c r="S31" s="420"/>
      <c r="T31" s="420"/>
      <c r="U31" s="420"/>
      <c r="V31" s="420"/>
      <c r="W31" s="420"/>
      <c r="X31" s="420"/>
      <c r="Y31" s="420"/>
      <c r="Z31" s="420"/>
      <c r="AA31" s="420"/>
      <c r="AB31" s="420"/>
      <c r="AC31" s="420"/>
      <c r="AD31" s="420"/>
      <c r="AE31" s="420"/>
      <c r="AF31" s="420"/>
    </row>
    <row r="32" customFormat="false" ht="23.25" hidden="false" customHeight="true" outlineLevel="0" collapsed="false">
      <c r="A32" s="420"/>
      <c r="B32" s="420"/>
      <c r="C32" s="462" t="s">
        <v>191</v>
      </c>
      <c r="D32" s="463" t="s">
        <v>191</v>
      </c>
      <c r="E32" s="463" t="n">
        <v>6.5</v>
      </c>
      <c r="F32" s="463" t="n">
        <v>6</v>
      </c>
      <c r="G32" s="463" t="n">
        <v>3.2</v>
      </c>
      <c r="H32" s="463" t="n">
        <v>2.1</v>
      </c>
      <c r="I32" s="502" t="n">
        <v>5.5</v>
      </c>
      <c r="J32" s="503" t="n">
        <f aca="false" t="array" ref="J32:J32">SUM(IF(ISNUMBER(B32:I32), B32:I32, 0))</f>
        <v>23.3</v>
      </c>
      <c r="K32" s="437"/>
      <c r="L32" s="489" t="s">
        <v>22</v>
      </c>
      <c r="M32" s="420"/>
      <c r="N32" s="420"/>
      <c r="O32" s="420"/>
      <c r="P32" s="420"/>
      <c r="Q32" s="420"/>
      <c r="R32" s="420"/>
      <c r="S32" s="420"/>
      <c r="T32" s="420"/>
      <c r="U32" s="420"/>
      <c r="V32" s="420"/>
      <c r="W32" s="420"/>
      <c r="X32" s="420"/>
      <c r="Y32" s="420"/>
      <c r="Z32" s="420"/>
      <c r="AA32" s="420"/>
      <c r="AB32" s="420"/>
      <c r="AC32" s="420"/>
      <c r="AD32" s="420"/>
      <c r="AE32" s="420"/>
      <c r="AF32" s="420"/>
    </row>
    <row r="33" customFormat="false" ht="23.25" hidden="false" customHeight="true" outlineLevel="0" collapsed="false">
      <c r="A33" s="420"/>
      <c r="B33" s="420"/>
      <c r="C33" s="462"/>
      <c r="D33" s="463"/>
      <c r="E33" s="463" t="n">
        <v>0.7</v>
      </c>
      <c r="F33" s="463" t="n">
        <v>0</v>
      </c>
      <c r="G33" s="428" t="n">
        <v>0</v>
      </c>
      <c r="H33" s="463" t="n">
        <v>0.4</v>
      </c>
      <c r="I33" s="502" t="n">
        <v>0.1</v>
      </c>
      <c r="J33" s="503" t="n">
        <f aca="false" t="array" ref="J33:J33">SUM(IF(ISNUMBER(B33:I33), B33:I33, 0))</f>
        <v>1.2</v>
      </c>
      <c r="K33" s="437"/>
      <c r="L33" s="489" t="s">
        <v>24</v>
      </c>
      <c r="M33" s="420"/>
      <c r="N33" s="420"/>
      <c r="O33" s="420"/>
      <c r="P33" s="420"/>
      <c r="Q33" s="420"/>
      <c r="R33" s="420"/>
      <c r="S33" s="420"/>
      <c r="T33" s="420"/>
      <c r="U33" s="420"/>
      <c r="V33" s="420"/>
      <c r="W33" s="420"/>
      <c r="X33" s="420"/>
      <c r="Y33" s="420"/>
      <c r="Z33" s="420"/>
      <c r="AA33" s="420"/>
      <c r="AB33" s="420"/>
      <c r="AC33" s="420"/>
      <c r="AD33" s="420"/>
      <c r="AE33" s="420"/>
      <c r="AF33" s="420"/>
    </row>
    <row r="34" customFormat="false" ht="23.25" hidden="false" customHeight="true" outlineLevel="0" collapsed="false">
      <c r="A34" s="420"/>
      <c r="B34" s="420"/>
      <c r="C34" s="462"/>
      <c r="D34" s="463"/>
      <c r="E34" s="463" t="n">
        <v>0</v>
      </c>
      <c r="F34" s="463" t="n">
        <v>0</v>
      </c>
      <c r="G34" s="463" t="n">
        <v>0</v>
      </c>
      <c r="H34" s="463" t="n">
        <v>0</v>
      </c>
      <c r="I34" s="502" t="n">
        <v>0</v>
      </c>
      <c r="J34" s="505" t="n">
        <f aca="false" t="array" ref="J34:J34">SUM(IF(ISNUMBER(B34:I34), B34:I34, 0))</f>
        <v>0</v>
      </c>
      <c r="K34" s="437"/>
      <c r="L34" s="489" t="s">
        <v>26</v>
      </c>
      <c r="M34" s="420"/>
      <c r="N34" s="420"/>
      <c r="O34" s="420"/>
      <c r="P34" s="420"/>
      <c r="Q34" s="420"/>
      <c r="R34" s="420"/>
      <c r="S34" s="420"/>
      <c r="T34" s="420"/>
      <c r="U34" s="420"/>
      <c r="V34" s="420"/>
      <c r="W34" s="420"/>
      <c r="X34" s="420"/>
      <c r="Y34" s="420"/>
      <c r="Z34" s="420"/>
      <c r="AA34" s="420"/>
      <c r="AB34" s="420"/>
      <c r="AC34" s="420"/>
      <c r="AD34" s="420"/>
      <c r="AE34" s="420"/>
      <c r="AF34" s="420"/>
    </row>
    <row r="35" customFormat="false" ht="23.25" hidden="false" customHeight="true" outlineLevel="0" collapsed="false">
      <c r="A35" s="420"/>
      <c r="B35" s="420"/>
      <c r="C35" s="490" t="s">
        <v>192</v>
      </c>
      <c r="D35" s="471" t="s">
        <v>193</v>
      </c>
      <c r="E35" s="471" t="s">
        <v>194</v>
      </c>
      <c r="F35" s="471" t="s">
        <v>195</v>
      </c>
      <c r="G35" s="471" t="s">
        <v>196</v>
      </c>
      <c r="H35" s="471" t="s">
        <v>197</v>
      </c>
      <c r="I35" s="511" t="s">
        <v>198</v>
      </c>
      <c r="J35" s="468" t="n">
        <v>41.13</v>
      </c>
      <c r="K35" s="437"/>
      <c r="L35" s="466" t="s">
        <v>28</v>
      </c>
      <c r="M35" s="420"/>
      <c r="N35" s="420"/>
      <c r="O35" s="420"/>
      <c r="P35" s="420"/>
      <c r="Q35" s="420"/>
      <c r="R35" s="420"/>
      <c r="S35" s="420"/>
      <c r="T35" s="420"/>
      <c r="U35" s="420"/>
      <c r="V35" s="420"/>
      <c r="W35" s="420"/>
      <c r="X35" s="420"/>
      <c r="Y35" s="420"/>
      <c r="Z35" s="420"/>
      <c r="AA35" s="420"/>
      <c r="AB35" s="420"/>
      <c r="AC35" s="420"/>
      <c r="AD35" s="420"/>
      <c r="AE35" s="420"/>
      <c r="AF35" s="420"/>
    </row>
    <row r="36" customFormat="false" ht="23.25" hidden="false" customHeight="true" outlineLevel="0" collapsed="false">
      <c r="A36" s="420"/>
      <c r="B36" s="420"/>
      <c r="C36" s="477" t="n">
        <v>25</v>
      </c>
      <c r="D36" s="477" t="n">
        <v>26</v>
      </c>
      <c r="E36" s="477" t="n">
        <v>27</v>
      </c>
      <c r="F36" s="477" t="n">
        <v>28</v>
      </c>
      <c r="G36" s="477" t="n">
        <v>29</v>
      </c>
      <c r="H36" s="477" t="n">
        <v>30</v>
      </c>
      <c r="I36" s="477" t="n">
        <v>31</v>
      </c>
      <c r="J36" s="509"/>
      <c r="K36" s="437"/>
      <c r="L36" s="482"/>
      <c r="M36" s="420"/>
      <c r="N36" s="420"/>
      <c r="O36" s="420"/>
      <c r="P36" s="420"/>
      <c r="Q36" s="420"/>
      <c r="R36" s="420"/>
      <c r="S36" s="420"/>
      <c r="T36" s="420"/>
      <c r="U36" s="420"/>
      <c r="V36" s="420"/>
      <c r="W36" s="420"/>
      <c r="X36" s="420"/>
      <c r="Y36" s="420"/>
      <c r="Z36" s="420"/>
      <c r="AA36" s="420"/>
      <c r="AB36" s="420"/>
      <c r="AC36" s="420"/>
      <c r="AD36" s="420"/>
      <c r="AE36" s="420"/>
      <c r="AF36" s="420"/>
    </row>
    <row r="37" customFormat="false" ht="23.25" hidden="false" customHeight="true" outlineLevel="0" collapsed="false">
      <c r="A37" s="420"/>
      <c r="B37" s="420"/>
      <c r="C37" s="512" t="s">
        <v>158</v>
      </c>
      <c r="D37" s="513" t="s">
        <v>62</v>
      </c>
      <c r="E37" s="513" t="s">
        <v>199</v>
      </c>
      <c r="F37" s="513" t="s">
        <v>79</v>
      </c>
      <c r="G37" s="513" t="s">
        <v>79</v>
      </c>
      <c r="H37" s="513" t="s">
        <v>133</v>
      </c>
      <c r="I37" s="447" t="s">
        <v>79</v>
      </c>
      <c r="J37" s="481"/>
      <c r="K37" s="437"/>
      <c r="L37" s="482"/>
      <c r="M37" s="420"/>
      <c r="N37" s="420"/>
      <c r="O37" s="420"/>
      <c r="P37" s="420"/>
      <c r="Q37" s="420"/>
      <c r="R37" s="420"/>
      <c r="S37" s="420"/>
      <c r="T37" s="420"/>
      <c r="U37" s="420"/>
      <c r="V37" s="420"/>
      <c r="W37" s="420"/>
      <c r="X37" s="420"/>
      <c r="Y37" s="420"/>
      <c r="Z37" s="420"/>
      <c r="AA37" s="420"/>
      <c r="AB37" s="420"/>
      <c r="AC37" s="420"/>
      <c r="AD37" s="420"/>
      <c r="AE37" s="420"/>
      <c r="AF37" s="420"/>
    </row>
    <row r="38" customFormat="false" ht="23.25" hidden="false" customHeight="true" outlineLevel="0" collapsed="false">
      <c r="A38" s="420"/>
      <c r="B38" s="420"/>
      <c r="C38" s="499" t="n">
        <v>0.02</v>
      </c>
      <c r="D38" s="451" t="n">
        <v>0</v>
      </c>
      <c r="E38" s="451" t="n">
        <v>0.01</v>
      </c>
      <c r="F38" s="451" t="n">
        <v>0.05</v>
      </c>
      <c r="G38" s="451" t="n">
        <v>0.12</v>
      </c>
      <c r="H38" s="451" t="n">
        <v>0.2</v>
      </c>
      <c r="I38" s="454" t="n">
        <v>0.29</v>
      </c>
      <c r="J38" s="437"/>
      <c r="K38" s="437"/>
      <c r="L38" s="482"/>
      <c r="M38" s="420"/>
      <c r="N38" s="420"/>
      <c r="O38" s="420"/>
      <c r="P38" s="420"/>
      <c r="Q38" s="420"/>
      <c r="R38" s="420"/>
      <c r="S38" s="420"/>
      <c r="T38" s="420"/>
      <c r="U38" s="420"/>
      <c r="V38" s="420"/>
      <c r="W38" s="420"/>
      <c r="X38" s="420"/>
      <c r="Y38" s="420"/>
      <c r="Z38" s="420"/>
      <c r="AA38" s="420"/>
      <c r="AB38" s="420"/>
      <c r="AC38" s="420"/>
      <c r="AD38" s="420"/>
      <c r="AE38" s="420"/>
      <c r="AF38" s="420"/>
    </row>
    <row r="39" customFormat="false" ht="23.25" hidden="false" customHeight="true" outlineLevel="0" collapsed="false">
      <c r="A39" s="420"/>
      <c r="B39" s="420"/>
      <c r="C39" s="456" t="s">
        <v>62</v>
      </c>
      <c r="D39" s="457" t="s">
        <v>180</v>
      </c>
      <c r="E39" s="457" t="s">
        <v>54</v>
      </c>
      <c r="F39" s="457" t="s">
        <v>169</v>
      </c>
      <c r="G39" s="457" t="s">
        <v>169</v>
      </c>
      <c r="H39" s="457" t="s">
        <v>40</v>
      </c>
      <c r="I39" s="459" t="s">
        <v>169</v>
      </c>
      <c r="J39" s="460" t="s">
        <v>32</v>
      </c>
      <c r="K39" s="437"/>
      <c r="L39" s="482"/>
      <c r="M39" s="420"/>
      <c r="N39" s="420"/>
      <c r="O39" s="420"/>
      <c r="P39" s="420"/>
      <c r="Q39" s="420"/>
      <c r="R39" s="420"/>
      <c r="S39" s="420"/>
      <c r="T39" s="420"/>
      <c r="U39" s="420"/>
      <c r="V39" s="420"/>
      <c r="W39" s="420"/>
      <c r="X39" s="420"/>
      <c r="Y39" s="420"/>
      <c r="Z39" s="420"/>
      <c r="AA39" s="420"/>
      <c r="AB39" s="420"/>
      <c r="AC39" s="420"/>
      <c r="AD39" s="420"/>
      <c r="AE39" s="420"/>
      <c r="AF39" s="420"/>
    </row>
    <row r="40" customFormat="false" ht="23.25" hidden="false" customHeight="true" outlineLevel="0" collapsed="false">
      <c r="A40" s="420"/>
      <c r="B40" s="420"/>
      <c r="C40" s="514" t="n">
        <v>6.2</v>
      </c>
      <c r="D40" s="504" t="n">
        <v>6.6</v>
      </c>
      <c r="E40" s="504" t="n">
        <v>6.5</v>
      </c>
      <c r="F40" s="504" t="n">
        <v>4.1</v>
      </c>
      <c r="G40" s="504" t="n">
        <v>6.6</v>
      </c>
      <c r="H40" s="504" t="n">
        <v>3.9</v>
      </c>
      <c r="I40" s="481" t="n">
        <v>1.7</v>
      </c>
      <c r="J40" s="465" t="n">
        <f aca="false" t="array" ref="J40:J40">SUM(IF(ISNUMBER(B40:I40), B40:I40, 0))</f>
        <v>35.6</v>
      </c>
      <c r="K40" s="437"/>
      <c r="L40" s="489" t="s">
        <v>22</v>
      </c>
      <c r="M40" s="420"/>
      <c r="N40" s="420"/>
      <c r="O40" s="420"/>
      <c r="P40" s="420"/>
      <c r="Q40" s="420"/>
      <c r="R40" s="420"/>
      <c r="S40" s="420"/>
      <c r="T40" s="420"/>
      <c r="U40" s="420"/>
      <c r="V40" s="420"/>
      <c r="W40" s="420"/>
      <c r="X40" s="420"/>
      <c r="Y40" s="420"/>
      <c r="Z40" s="420"/>
      <c r="AA40" s="420"/>
      <c r="AB40" s="420"/>
      <c r="AC40" s="420"/>
      <c r="AD40" s="420"/>
      <c r="AE40" s="420"/>
      <c r="AF40" s="420"/>
    </row>
    <row r="41" customFormat="false" ht="23.25" hidden="false" customHeight="true" outlineLevel="0" collapsed="false">
      <c r="A41" s="420"/>
      <c r="B41" s="420"/>
      <c r="C41" s="462" t="n">
        <v>0</v>
      </c>
      <c r="D41" s="463" t="n">
        <v>0</v>
      </c>
      <c r="E41" s="463" t="n">
        <v>0.2</v>
      </c>
      <c r="F41" s="463" t="n">
        <v>0</v>
      </c>
      <c r="G41" s="463" t="n">
        <v>0</v>
      </c>
      <c r="H41" s="463" t="n">
        <v>0</v>
      </c>
      <c r="I41" s="428" t="n">
        <v>0</v>
      </c>
      <c r="J41" s="465" t="n">
        <f aca="false" t="array" ref="J41:J41">SUM(IF(ISNUMBER(B41:I41), B41:I41, 0))</f>
        <v>0.2</v>
      </c>
      <c r="K41" s="437"/>
      <c r="L41" s="489" t="s">
        <v>24</v>
      </c>
      <c r="M41" s="420"/>
      <c r="N41" s="420"/>
      <c r="O41" s="420"/>
      <c r="P41" s="420"/>
      <c r="Q41" s="420"/>
      <c r="R41" s="420"/>
      <c r="S41" s="420"/>
      <c r="T41" s="420"/>
      <c r="U41" s="420"/>
      <c r="V41" s="420"/>
      <c r="W41" s="420"/>
      <c r="X41" s="420"/>
      <c r="Y41" s="420"/>
      <c r="Z41" s="420"/>
      <c r="AA41" s="420"/>
      <c r="AB41" s="420"/>
      <c r="AC41" s="420"/>
      <c r="AD41" s="420"/>
      <c r="AE41" s="420"/>
      <c r="AF41" s="420"/>
    </row>
    <row r="42" customFormat="false" ht="23.25" hidden="false" customHeight="true" outlineLevel="0" collapsed="false">
      <c r="A42" s="420"/>
      <c r="B42" s="420"/>
      <c r="C42" s="462" t="n">
        <v>0.2</v>
      </c>
      <c r="D42" s="463" t="n">
        <v>0</v>
      </c>
      <c r="E42" s="463" t="n">
        <v>0</v>
      </c>
      <c r="F42" s="463" t="n">
        <v>0</v>
      </c>
      <c r="G42" s="463" t="n">
        <v>0</v>
      </c>
      <c r="H42" s="463" t="n">
        <v>0</v>
      </c>
      <c r="I42" s="428" t="n">
        <v>0</v>
      </c>
      <c r="J42" s="468" t="n">
        <f aca="false" t="array" ref="J42:J42">SUM(IF(ISNUMBER(B42:I42), B42:I42, 0))</f>
        <v>0.2</v>
      </c>
      <c r="K42" s="437"/>
      <c r="L42" s="489" t="s">
        <v>26</v>
      </c>
      <c r="M42" s="420"/>
      <c r="N42" s="420"/>
      <c r="O42" s="420"/>
      <c r="P42" s="420"/>
      <c r="Q42" s="420"/>
      <c r="R42" s="420"/>
      <c r="S42" s="420"/>
      <c r="T42" s="420"/>
      <c r="U42" s="420"/>
      <c r="V42" s="420"/>
      <c r="W42" s="420"/>
      <c r="X42" s="420"/>
      <c r="Y42" s="420"/>
      <c r="Z42" s="420"/>
      <c r="AA42" s="420"/>
      <c r="AB42" s="420"/>
      <c r="AC42" s="420"/>
      <c r="AD42" s="420"/>
      <c r="AE42" s="420"/>
      <c r="AF42" s="420"/>
    </row>
    <row r="43" customFormat="false" ht="23.25" hidden="false" customHeight="true" outlineLevel="0" collapsed="false">
      <c r="A43" s="420"/>
      <c r="B43" s="420"/>
      <c r="C43" s="515" t="s">
        <v>200</v>
      </c>
      <c r="D43" s="474" t="s">
        <v>201</v>
      </c>
      <c r="E43" s="507" t="s">
        <v>202</v>
      </c>
      <c r="F43" s="471" t="s">
        <v>203</v>
      </c>
      <c r="G43" s="471" t="s">
        <v>204</v>
      </c>
      <c r="H43" s="471" t="s">
        <v>205</v>
      </c>
      <c r="I43" s="508" t="s">
        <v>206</v>
      </c>
      <c r="J43" s="468" t="n">
        <v>31.08</v>
      </c>
      <c r="K43" s="437"/>
      <c r="L43" s="466" t="s">
        <v>28</v>
      </c>
      <c r="M43" s="420"/>
      <c r="N43" s="420"/>
      <c r="O43" s="420"/>
      <c r="P43" s="420"/>
      <c r="Q43" s="420"/>
      <c r="R43" s="420"/>
      <c r="S43" s="420"/>
      <c r="T43" s="420"/>
      <c r="U43" s="420"/>
      <c r="V43" s="420"/>
      <c r="W43" s="420"/>
      <c r="X43" s="420"/>
      <c r="Y43" s="420"/>
      <c r="Z43" s="420"/>
      <c r="AA43" s="420"/>
      <c r="AB43" s="420"/>
      <c r="AC43" s="420"/>
      <c r="AD43" s="420"/>
      <c r="AE43" s="420"/>
      <c r="AF43" s="420"/>
    </row>
    <row r="44" customFormat="false" ht="23.25" hidden="false" customHeight="true" outlineLevel="0" collapsed="false">
      <c r="A44" s="420"/>
      <c r="B44" s="420"/>
      <c r="C44" s="441"/>
      <c r="D44" s="516"/>
      <c r="E44" s="509"/>
      <c r="F44" s="437"/>
      <c r="G44" s="437"/>
      <c r="H44" s="437"/>
      <c r="I44" s="437"/>
      <c r="J44" s="437"/>
      <c r="K44" s="437"/>
      <c r="L44" s="461"/>
      <c r="M44" s="420"/>
      <c r="N44" s="420"/>
      <c r="O44" s="420"/>
      <c r="P44" s="420"/>
      <c r="Q44" s="420"/>
      <c r="R44" s="420"/>
      <c r="S44" s="420"/>
      <c r="T44" s="420"/>
      <c r="U44" s="420"/>
      <c r="V44" s="420"/>
      <c r="W44" s="420"/>
      <c r="X44" s="420"/>
      <c r="Y44" s="420"/>
      <c r="Z44" s="420"/>
      <c r="AA44" s="420"/>
      <c r="AB44" s="420"/>
      <c r="AC44" s="420"/>
      <c r="AD44" s="420"/>
      <c r="AE44" s="420"/>
      <c r="AF44" s="420"/>
    </row>
    <row r="45" customFormat="false" ht="23.25" hidden="false" customHeight="true" outlineLevel="0" collapsed="false">
      <c r="A45" s="420"/>
      <c r="B45" s="420"/>
      <c r="C45" s="456"/>
      <c r="D45" s="498"/>
      <c r="E45" s="481"/>
      <c r="F45" s="437"/>
      <c r="G45" s="437"/>
      <c r="H45" s="437"/>
      <c r="I45" s="437"/>
      <c r="J45" s="437"/>
      <c r="K45" s="437"/>
      <c r="L45" s="420"/>
      <c r="M45" s="420"/>
      <c r="N45" s="420"/>
      <c r="O45" s="420"/>
      <c r="P45" s="420"/>
      <c r="Q45" s="420"/>
      <c r="R45" s="420"/>
      <c r="S45" s="420"/>
      <c r="T45" s="420"/>
      <c r="U45" s="420"/>
      <c r="V45" s="420"/>
      <c r="W45" s="420"/>
      <c r="X45" s="420"/>
      <c r="Y45" s="420"/>
      <c r="Z45" s="420"/>
      <c r="AA45" s="420"/>
      <c r="AB45" s="420"/>
      <c r="AC45" s="420"/>
      <c r="AD45" s="420"/>
      <c r="AE45" s="420"/>
      <c r="AF45" s="420"/>
    </row>
    <row r="46" customFormat="false" ht="23.25" hidden="false" customHeight="true" outlineLevel="0" collapsed="false">
      <c r="A46" s="420"/>
      <c r="B46" s="420"/>
      <c r="C46" s="517"/>
      <c r="D46" s="518"/>
      <c r="E46" s="437"/>
      <c r="F46" s="437"/>
      <c r="G46" s="437"/>
      <c r="H46" s="437"/>
      <c r="I46" s="437"/>
      <c r="J46" s="437"/>
      <c r="K46" s="437"/>
      <c r="L46" s="420"/>
      <c r="M46" s="420"/>
      <c r="N46" s="420"/>
      <c r="O46" s="420"/>
      <c r="P46" s="420"/>
      <c r="Q46" s="420"/>
      <c r="R46" s="420"/>
      <c r="S46" s="420"/>
      <c r="T46" s="420"/>
      <c r="U46" s="420"/>
      <c r="V46" s="420"/>
      <c r="W46" s="420"/>
      <c r="X46" s="420"/>
      <c r="Y46" s="420"/>
      <c r="Z46" s="420"/>
      <c r="AA46" s="420"/>
      <c r="AB46" s="420"/>
      <c r="AC46" s="420"/>
      <c r="AD46" s="420"/>
      <c r="AE46" s="420"/>
      <c r="AF46" s="420"/>
    </row>
    <row r="47" customFormat="false" ht="23.25" hidden="false" customHeight="true" outlineLevel="0" collapsed="false">
      <c r="A47" s="420"/>
      <c r="B47" s="420"/>
      <c r="C47" s="456"/>
      <c r="D47" s="498"/>
      <c r="E47" s="437"/>
      <c r="G47" s="437"/>
      <c r="H47" s="437"/>
      <c r="I47" s="437"/>
      <c r="J47" s="460" t="s">
        <v>33</v>
      </c>
      <c r="K47" s="519"/>
      <c r="L47" s="420"/>
      <c r="M47" s="420"/>
      <c r="N47" s="420"/>
      <c r="O47" s="420"/>
      <c r="P47" s="420"/>
      <c r="Q47" s="420"/>
      <c r="R47" s="420"/>
      <c r="S47" s="420"/>
      <c r="T47" s="420"/>
      <c r="U47" s="420"/>
      <c r="V47" s="420"/>
      <c r="W47" s="420"/>
      <c r="X47" s="420"/>
      <c r="Y47" s="420"/>
      <c r="Z47" s="420"/>
      <c r="AA47" s="420"/>
      <c r="AB47" s="420"/>
      <c r="AC47" s="420"/>
      <c r="AD47" s="420"/>
      <c r="AE47" s="420"/>
      <c r="AF47" s="420"/>
    </row>
    <row r="48" customFormat="false" ht="23.25" hidden="false" customHeight="true" outlineLevel="0" collapsed="false">
      <c r="A48" s="420"/>
      <c r="B48" s="420"/>
      <c r="C48" s="514"/>
      <c r="D48" s="518"/>
      <c r="E48" s="437"/>
      <c r="G48" s="437"/>
      <c r="H48" s="437"/>
      <c r="I48" s="437"/>
      <c r="J48" s="465" t="n">
        <f aca="false" t="array" ref="J48:J48">SUM(IF(ISNUMBER(B48:D48), B48:D48, 0))</f>
        <v>0</v>
      </c>
      <c r="L48" s="489" t="s">
        <v>22</v>
      </c>
      <c r="M48" s="420"/>
      <c r="N48" s="420"/>
      <c r="O48" s="420"/>
      <c r="P48" s="420"/>
      <c r="Q48" s="420"/>
      <c r="R48" s="420"/>
      <c r="S48" s="420"/>
      <c r="T48" s="420"/>
      <c r="U48" s="420"/>
      <c r="V48" s="420"/>
      <c r="W48" s="420"/>
      <c r="X48" s="420"/>
      <c r="Y48" s="420"/>
      <c r="Z48" s="420"/>
      <c r="AA48" s="420"/>
      <c r="AB48" s="420"/>
      <c r="AC48" s="420"/>
      <c r="AD48" s="420"/>
      <c r="AE48" s="420"/>
      <c r="AF48" s="420"/>
    </row>
    <row r="49" customFormat="false" ht="23.25" hidden="false" customHeight="true" outlineLevel="0" collapsed="false">
      <c r="A49" s="420"/>
      <c r="B49" s="420"/>
      <c r="C49" s="462"/>
      <c r="D49" s="518"/>
      <c r="E49" s="437"/>
      <c r="G49" s="437"/>
      <c r="H49" s="437"/>
      <c r="I49" s="437"/>
      <c r="J49" s="465" t="n">
        <f aca="false" t="array" ref="J49:J49">SUM(IF(ISNUMBER(B49:D49), B49:D49, 0))</f>
        <v>0</v>
      </c>
      <c r="L49" s="489" t="s">
        <v>24</v>
      </c>
      <c r="M49" s="420"/>
      <c r="N49" s="420"/>
      <c r="O49" s="420"/>
      <c r="P49" s="420"/>
      <c r="Q49" s="420"/>
      <c r="R49" s="420"/>
      <c r="S49" s="420"/>
      <c r="T49" s="420"/>
      <c r="U49" s="420"/>
      <c r="V49" s="420"/>
      <c r="W49" s="420"/>
      <c r="X49" s="420"/>
      <c r="Y49" s="420"/>
      <c r="Z49" s="420"/>
      <c r="AA49" s="420"/>
      <c r="AB49" s="420"/>
      <c r="AC49" s="420"/>
      <c r="AD49" s="420"/>
      <c r="AE49" s="420"/>
      <c r="AF49" s="420"/>
    </row>
    <row r="50" customFormat="false" ht="23.25" hidden="false" customHeight="true" outlineLevel="0" collapsed="false">
      <c r="A50" s="420"/>
      <c r="B50" s="420"/>
      <c r="C50" s="462"/>
      <c r="D50" s="518"/>
      <c r="E50" s="437"/>
      <c r="G50" s="437"/>
      <c r="H50" s="437"/>
      <c r="I50" s="437"/>
      <c r="J50" s="468" t="n">
        <f aca="false" t="array" ref="J50:J50">SUM(IF(ISNUMBER(B50:D50), B50:D50, 0))</f>
        <v>0</v>
      </c>
      <c r="L50" s="489" t="s">
        <v>26</v>
      </c>
      <c r="M50" s="420"/>
      <c r="N50" s="420"/>
      <c r="O50" s="420"/>
      <c r="P50" s="420"/>
      <c r="Q50" s="420"/>
      <c r="R50" s="420"/>
      <c r="S50" s="420"/>
      <c r="T50" s="420"/>
      <c r="U50" s="420"/>
      <c r="V50" s="420"/>
      <c r="W50" s="420"/>
      <c r="X50" s="420"/>
      <c r="Y50" s="420"/>
      <c r="Z50" s="420"/>
      <c r="AA50" s="420"/>
      <c r="AB50" s="420"/>
      <c r="AC50" s="420"/>
      <c r="AD50" s="420"/>
      <c r="AE50" s="420"/>
      <c r="AF50" s="420"/>
    </row>
    <row r="51" customFormat="false" ht="23.25" hidden="false" customHeight="true" outlineLevel="0" collapsed="false">
      <c r="A51" s="420"/>
      <c r="B51" s="420"/>
      <c r="C51" s="490"/>
      <c r="D51" s="508"/>
      <c r="G51" s="437"/>
      <c r="H51" s="437"/>
      <c r="I51" s="437"/>
      <c r="J51" s="468"/>
      <c r="L51" s="466" t="s">
        <v>28</v>
      </c>
      <c r="M51" s="420"/>
      <c r="N51" s="420"/>
      <c r="O51" s="420"/>
      <c r="P51" s="420"/>
      <c r="Q51" s="420"/>
      <c r="R51" s="420"/>
      <c r="S51" s="420"/>
      <c r="T51" s="420"/>
      <c r="U51" s="420"/>
      <c r="V51" s="420"/>
      <c r="W51" s="420"/>
      <c r="X51" s="420"/>
      <c r="Y51" s="420"/>
      <c r="Z51" s="420"/>
      <c r="AA51" s="420"/>
      <c r="AB51" s="420"/>
      <c r="AC51" s="420"/>
      <c r="AD51" s="420"/>
      <c r="AE51" s="420"/>
      <c r="AF51" s="420"/>
    </row>
    <row r="52" customFormat="false" ht="23.25" hidden="false" customHeight="true" outlineLevel="0" collapsed="false">
      <c r="A52" s="420"/>
      <c r="B52" s="420"/>
      <c r="C52" s="437"/>
      <c r="D52" s="437"/>
      <c r="E52" s="437"/>
      <c r="F52" s="437"/>
      <c r="G52" s="437"/>
      <c r="H52" s="437"/>
      <c r="I52" s="437"/>
      <c r="J52" s="437"/>
      <c r="K52" s="437"/>
      <c r="L52" s="420"/>
      <c r="M52" s="420"/>
      <c r="N52" s="420"/>
      <c r="O52" s="420"/>
      <c r="P52" s="420"/>
      <c r="Q52" s="420"/>
      <c r="R52" s="420"/>
      <c r="S52" s="420"/>
      <c r="T52" s="420"/>
      <c r="U52" s="420"/>
      <c r="V52" s="420"/>
      <c r="W52" s="420"/>
      <c r="X52" s="420"/>
      <c r="Y52" s="420"/>
      <c r="Z52" s="420"/>
      <c r="AA52" s="420"/>
      <c r="AB52" s="420"/>
      <c r="AC52" s="420"/>
      <c r="AD52" s="420"/>
      <c r="AE52" s="420"/>
      <c r="AF52" s="420"/>
    </row>
    <row r="53" customFormat="false" ht="22.5" hidden="false" customHeight="true" outlineLevel="0" collapsed="false">
      <c r="A53" s="420"/>
      <c r="B53" s="420"/>
      <c r="C53" s="420"/>
      <c r="D53" s="420"/>
      <c r="E53" s="420"/>
      <c r="F53" s="420"/>
      <c r="G53" s="420"/>
      <c r="H53" s="420"/>
      <c r="I53" s="420"/>
      <c r="J53" s="420"/>
      <c r="K53" s="420"/>
      <c r="L53" s="420"/>
      <c r="M53" s="420"/>
      <c r="N53" s="420"/>
      <c r="O53" s="420"/>
      <c r="P53" s="420"/>
      <c r="Q53" s="420"/>
      <c r="R53" s="420"/>
      <c r="S53" s="420"/>
      <c r="T53" s="420"/>
      <c r="U53" s="420"/>
      <c r="V53" s="420"/>
      <c r="W53" s="420"/>
      <c r="X53" s="420"/>
      <c r="Y53" s="420"/>
      <c r="Z53" s="420"/>
      <c r="AA53" s="420"/>
      <c r="AB53" s="420"/>
      <c r="AC53" s="420"/>
      <c r="AD53" s="420"/>
      <c r="AE53" s="420"/>
      <c r="AF53" s="420"/>
    </row>
    <row r="54" customFormat="false" ht="16.5" hidden="false" customHeight="false" outlineLevel="0" collapsed="false">
      <c r="A54" s="420"/>
      <c r="B54" s="420"/>
      <c r="C54" s="420"/>
      <c r="D54" s="420"/>
      <c r="E54" s="420"/>
      <c r="F54" s="420"/>
      <c r="G54" s="420"/>
      <c r="H54" s="420"/>
      <c r="I54" s="420"/>
      <c r="J54" s="420"/>
      <c r="K54" s="420"/>
      <c r="L54" s="420"/>
      <c r="M54" s="420"/>
      <c r="N54" s="420"/>
      <c r="O54" s="420"/>
      <c r="P54" s="420"/>
      <c r="Q54" s="420"/>
      <c r="R54" s="420"/>
      <c r="S54" s="420"/>
      <c r="T54" s="420"/>
      <c r="U54" s="420"/>
      <c r="V54" s="420"/>
      <c r="W54" s="420"/>
      <c r="X54" s="420"/>
      <c r="Y54" s="420"/>
      <c r="Z54" s="420"/>
      <c r="AA54" s="420"/>
      <c r="AB54" s="420"/>
      <c r="AC54" s="420"/>
      <c r="AD54" s="420"/>
      <c r="AE54" s="420"/>
      <c r="AF54" s="420"/>
    </row>
    <row r="55" customFormat="false" ht="16.5" hidden="false" customHeight="false" outlineLevel="0" collapsed="false">
      <c r="A55" s="420"/>
      <c r="B55" s="420"/>
      <c r="C55" s="420"/>
      <c r="D55" s="420"/>
      <c r="E55" s="420"/>
      <c r="F55" s="420"/>
      <c r="G55" s="420"/>
      <c r="H55" s="420"/>
      <c r="I55" s="420"/>
      <c r="J55" s="420"/>
      <c r="K55" s="420"/>
      <c r="L55" s="420"/>
      <c r="M55" s="420"/>
      <c r="N55" s="420"/>
      <c r="O55" s="420"/>
      <c r="P55" s="420"/>
      <c r="Q55" s="420"/>
      <c r="R55" s="420"/>
      <c r="S55" s="420"/>
      <c r="T55" s="420"/>
      <c r="U55" s="420"/>
      <c r="V55" s="420"/>
      <c r="W55" s="420"/>
      <c r="X55" s="420"/>
      <c r="Y55" s="420"/>
      <c r="Z55" s="420"/>
      <c r="AA55" s="420"/>
      <c r="AB55" s="420"/>
      <c r="AC55" s="420"/>
      <c r="AD55" s="420"/>
      <c r="AE55" s="420"/>
      <c r="AF55" s="420"/>
    </row>
    <row r="56" customFormat="false" ht="16.5" hidden="false" customHeight="false" outlineLevel="0" collapsed="false">
      <c r="A56" s="420"/>
      <c r="B56" s="420"/>
      <c r="C56" s="420"/>
      <c r="D56" s="420"/>
      <c r="E56" s="420"/>
      <c r="F56" s="420"/>
      <c r="G56" s="420"/>
      <c r="H56" s="420"/>
      <c r="I56" s="420"/>
      <c r="J56" s="420"/>
      <c r="K56" s="420"/>
      <c r="L56" s="420"/>
      <c r="M56" s="420"/>
      <c r="N56" s="420"/>
      <c r="O56" s="420"/>
      <c r="P56" s="420"/>
      <c r="Q56" s="420"/>
      <c r="R56" s="420"/>
      <c r="S56" s="420"/>
      <c r="T56" s="420"/>
      <c r="U56" s="420"/>
      <c r="V56" s="420"/>
      <c r="W56" s="420"/>
      <c r="X56" s="420"/>
      <c r="Y56" s="420"/>
      <c r="Z56" s="420"/>
      <c r="AA56" s="420"/>
      <c r="AB56" s="420"/>
      <c r="AC56" s="420"/>
      <c r="AD56" s="420"/>
      <c r="AE56" s="420"/>
      <c r="AF56" s="420"/>
    </row>
    <row r="57" customFormat="false" ht="16.5" hidden="false" customHeight="false" outlineLevel="0" collapsed="false">
      <c r="A57" s="420"/>
      <c r="B57" s="420"/>
      <c r="C57" s="420"/>
      <c r="D57" s="420"/>
      <c r="E57" s="420"/>
      <c r="F57" s="420"/>
      <c r="G57" s="420"/>
      <c r="H57" s="420"/>
      <c r="I57" s="420"/>
      <c r="J57" s="420"/>
      <c r="K57" s="420"/>
      <c r="L57" s="420"/>
      <c r="M57" s="420"/>
      <c r="N57" s="420"/>
      <c r="O57" s="420"/>
      <c r="P57" s="420"/>
      <c r="Q57" s="420"/>
      <c r="R57" s="420"/>
      <c r="S57" s="420"/>
      <c r="T57" s="420"/>
      <c r="U57" s="420"/>
      <c r="V57" s="420"/>
      <c r="W57" s="420"/>
      <c r="X57" s="420"/>
      <c r="Y57" s="420"/>
      <c r="Z57" s="420"/>
      <c r="AA57" s="420"/>
      <c r="AB57" s="420"/>
      <c r="AC57" s="420"/>
      <c r="AD57" s="420"/>
      <c r="AE57" s="420"/>
      <c r="AF57" s="420"/>
    </row>
    <row r="58" customFormat="false" ht="16.5" hidden="false" customHeight="false" outlineLevel="0" collapsed="false">
      <c r="A58" s="420"/>
      <c r="B58" s="420"/>
      <c r="C58" s="420"/>
      <c r="D58" s="420"/>
      <c r="E58" s="420"/>
      <c r="F58" s="420"/>
      <c r="G58" s="420"/>
      <c r="H58" s="420"/>
      <c r="I58" s="420"/>
      <c r="J58" s="420"/>
      <c r="K58" s="420"/>
      <c r="L58" s="420"/>
      <c r="M58" s="420"/>
      <c r="N58" s="420"/>
      <c r="O58" s="420"/>
      <c r="P58" s="420"/>
      <c r="Q58" s="420"/>
      <c r="R58" s="420"/>
      <c r="S58" s="420"/>
      <c r="T58" s="420"/>
      <c r="U58" s="420"/>
      <c r="V58" s="420"/>
      <c r="W58" s="420"/>
      <c r="X58" s="420"/>
      <c r="Y58" s="420"/>
      <c r="Z58" s="420"/>
      <c r="AA58" s="420"/>
      <c r="AB58" s="420"/>
      <c r="AC58" s="420"/>
      <c r="AD58" s="420"/>
      <c r="AE58" s="420"/>
      <c r="AF58" s="420"/>
    </row>
    <row r="59" customFormat="false" ht="16.5" hidden="false" customHeight="false" outlineLevel="0" collapsed="false">
      <c r="A59" s="420"/>
      <c r="B59" s="420"/>
      <c r="C59" s="420"/>
      <c r="D59" s="420"/>
      <c r="E59" s="420"/>
      <c r="F59" s="420"/>
      <c r="G59" s="420"/>
      <c r="H59" s="420"/>
      <c r="I59" s="420"/>
      <c r="J59" s="420"/>
      <c r="K59" s="420"/>
      <c r="L59" s="420"/>
      <c r="M59" s="420"/>
      <c r="N59" s="420"/>
      <c r="O59" s="420"/>
      <c r="P59" s="420"/>
      <c r="Q59" s="420"/>
      <c r="R59" s="420"/>
      <c r="S59" s="420"/>
      <c r="T59" s="420"/>
      <c r="U59" s="420"/>
      <c r="V59" s="420"/>
      <c r="W59" s="420"/>
      <c r="X59" s="420"/>
      <c r="Y59" s="420"/>
      <c r="Z59" s="420"/>
      <c r="AA59" s="420"/>
      <c r="AB59" s="420"/>
      <c r="AC59" s="420"/>
      <c r="AD59" s="420"/>
      <c r="AE59" s="420"/>
      <c r="AF59" s="420"/>
    </row>
    <row r="60" customFormat="false" ht="16.5" hidden="false" customHeight="false" outlineLevel="0" collapsed="false">
      <c r="A60" s="420"/>
      <c r="B60" s="420"/>
      <c r="C60" s="420"/>
      <c r="D60" s="420"/>
      <c r="E60" s="420"/>
      <c r="F60" s="420"/>
      <c r="G60" s="420"/>
      <c r="H60" s="420"/>
      <c r="I60" s="420"/>
      <c r="J60" s="420"/>
      <c r="K60" s="420"/>
      <c r="L60" s="420"/>
      <c r="M60" s="420"/>
      <c r="N60" s="420"/>
      <c r="O60" s="420"/>
      <c r="P60" s="420"/>
      <c r="Q60" s="420"/>
      <c r="R60" s="420"/>
      <c r="S60" s="420"/>
      <c r="T60" s="420"/>
      <c r="U60" s="420"/>
      <c r="V60" s="420"/>
      <c r="W60" s="420"/>
      <c r="X60" s="420"/>
      <c r="Y60" s="420"/>
      <c r="Z60" s="420"/>
      <c r="AA60" s="420"/>
      <c r="AB60" s="420"/>
      <c r="AC60" s="420"/>
      <c r="AD60" s="420"/>
      <c r="AE60" s="420"/>
      <c r="AF60" s="420"/>
    </row>
    <row r="61" customFormat="false" ht="16.5" hidden="false" customHeight="false" outlineLevel="0" collapsed="false">
      <c r="A61" s="420"/>
      <c r="B61" s="420"/>
      <c r="C61" s="420"/>
      <c r="D61" s="420"/>
      <c r="E61" s="420"/>
      <c r="F61" s="420"/>
      <c r="G61" s="420"/>
      <c r="H61" s="420"/>
      <c r="I61" s="420"/>
      <c r="J61" s="420"/>
      <c r="K61" s="420"/>
      <c r="L61" s="420"/>
      <c r="M61" s="420"/>
      <c r="N61" s="420"/>
      <c r="O61" s="420"/>
      <c r="P61" s="420"/>
      <c r="Q61" s="420"/>
      <c r="R61" s="420"/>
      <c r="S61" s="420"/>
      <c r="T61" s="420"/>
      <c r="U61" s="420"/>
      <c r="V61" s="420"/>
      <c r="W61" s="420"/>
      <c r="X61" s="420"/>
      <c r="Y61" s="420"/>
      <c r="Z61" s="420"/>
      <c r="AA61" s="420"/>
      <c r="AB61" s="420"/>
      <c r="AC61" s="420"/>
      <c r="AD61" s="420"/>
      <c r="AE61" s="420"/>
      <c r="AF61" s="420"/>
    </row>
    <row r="62" customFormat="false" ht="16.5" hidden="false" customHeight="false" outlineLevel="0" collapsed="false">
      <c r="A62" s="420"/>
      <c r="B62" s="420"/>
      <c r="C62" s="420"/>
      <c r="D62" s="420"/>
      <c r="E62" s="420"/>
      <c r="F62" s="420"/>
      <c r="G62" s="420"/>
      <c r="H62" s="420"/>
      <c r="I62" s="420"/>
      <c r="J62" s="420"/>
      <c r="K62" s="420"/>
      <c r="L62" s="420"/>
      <c r="M62" s="420"/>
      <c r="N62" s="420"/>
      <c r="O62" s="420"/>
      <c r="P62" s="420"/>
      <c r="Q62" s="420"/>
      <c r="R62" s="420"/>
      <c r="S62" s="420"/>
      <c r="T62" s="420"/>
      <c r="U62" s="420"/>
      <c r="V62" s="420"/>
      <c r="W62" s="420"/>
      <c r="X62" s="420"/>
      <c r="Y62" s="420"/>
      <c r="Z62" s="420"/>
      <c r="AA62" s="420"/>
      <c r="AB62" s="420"/>
      <c r="AC62" s="420"/>
      <c r="AD62" s="420"/>
      <c r="AE62" s="420"/>
      <c r="AF62" s="420"/>
    </row>
    <row r="63" customFormat="false" ht="16.5" hidden="false" customHeight="false" outlineLevel="0" collapsed="false">
      <c r="A63" s="420"/>
      <c r="B63" s="420"/>
      <c r="C63" s="420"/>
      <c r="D63" s="420"/>
      <c r="E63" s="420"/>
      <c r="F63" s="420"/>
      <c r="G63" s="420"/>
      <c r="H63" s="420"/>
      <c r="I63" s="420"/>
      <c r="J63" s="420"/>
      <c r="K63" s="420"/>
      <c r="L63" s="420"/>
      <c r="M63" s="420"/>
      <c r="N63" s="420"/>
      <c r="O63" s="420"/>
      <c r="P63" s="420"/>
      <c r="Q63" s="420"/>
      <c r="R63" s="420"/>
      <c r="S63" s="420"/>
      <c r="T63" s="420"/>
      <c r="U63" s="420"/>
      <c r="V63" s="420"/>
      <c r="W63" s="420"/>
      <c r="X63" s="420"/>
      <c r="Y63" s="420"/>
      <c r="Z63" s="420"/>
      <c r="AA63" s="420"/>
      <c r="AB63" s="420"/>
      <c r="AC63" s="420"/>
      <c r="AD63" s="420"/>
      <c r="AE63" s="420"/>
      <c r="AF63" s="420"/>
    </row>
    <row r="64" customFormat="false" ht="16.5" hidden="false" customHeight="false" outlineLevel="0" collapsed="false">
      <c r="A64" s="420"/>
      <c r="B64" s="420"/>
      <c r="C64" s="420"/>
      <c r="D64" s="420"/>
      <c r="E64" s="420"/>
      <c r="F64" s="420"/>
      <c r="G64" s="420"/>
      <c r="H64" s="420"/>
      <c r="I64" s="420"/>
      <c r="J64" s="420"/>
      <c r="K64" s="420"/>
      <c r="L64" s="420"/>
      <c r="M64" s="420"/>
      <c r="N64" s="420"/>
      <c r="O64" s="420"/>
      <c r="P64" s="420"/>
      <c r="Q64" s="420"/>
      <c r="R64" s="420"/>
      <c r="S64" s="420"/>
      <c r="T64" s="420"/>
      <c r="U64" s="420"/>
      <c r="V64" s="420"/>
      <c r="W64" s="420"/>
      <c r="X64" s="420"/>
      <c r="Y64" s="420"/>
      <c r="Z64" s="420"/>
      <c r="AA64" s="420"/>
      <c r="AB64" s="420"/>
      <c r="AC64" s="420"/>
      <c r="AD64" s="420"/>
      <c r="AE64" s="420"/>
      <c r="AF64" s="420"/>
    </row>
    <row r="65" customFormat="false" ht="16.5" hidden="false" customHeight="false" outlineLevel="0" collapsed="false">
      <c r="A65" s="420"/>
      <c r="B65" s="420"/>
      <c r="C65" s="420"/>
      <c r="D65" s="420"/>
      <c r="E65" s="420"/>
      <c r="F65" s="420"/>
      <c r="G65" s="420"/>
      <c r="H65" s="420"/>
      <c r="I65" s="420"/>
      <c r="J65" s="420"/>
      <c r="K65" s="420"/>
      <c r="L65" s="420"/>
      <c r="M65" s="420"/>
      <c r="N65" s="420"/>
      <c r="O65" s="420"/>
      <c r="P65" s="420"/>
      <c r="Q65" s="420"/>
      <c r="R65" s="420"/>
      <c r="S65" s="420"/>
      <c r="T65" s="420"/>
      <c r="U65" s="420"/>
      <c r="V65" s="420"/>
      <c r="W65" s="420"/>
      <c r="X65" s="420"/>
      <c r="Y65" s="420"/>
      <c r="Z65" s="420"/>
      <c r="AA65" s="420"/>
      <c r="AB65" s="420"/>
      <c r="AC65" s="420"/>
      <c r="AD65" s="420"/>
      <c r="AE65" s="420"/>
      <c r="AF65" s="420"/>
    </row>
    <row r="66" customFormat="false" ht="16.5" hidden="false" customHeight="false" outlineLevel="0" collapsed="false">
      <c r="A66" s="420"/>
      <c r="B66" s="420"/>
      <c r="C66" s="420"/>
      <c r="D66" s="420"/>
      <c r="E66" s="420"/>
      <c r="F66" s="420"/>
      <c r="G66" s="420"/>
      <c r="H66" s="420"/>
      <c r="I66" s="420"/>
      <c r="J66" s="420"/>
      <c r="K66" s="420"/>
      <c r="L66" s="420"/>
      <c r="M66" s="420"/>
      <c r="N66" s="420"/>
      <c r="O66" s="420"/>
      <c r="P66" s="420"/>
      <c r="Q66" s="420"/>
      <c r="R66" s="420"/>
      <c r="S66" s="420"/>
      <c r="T66" s="420"/>
      <c r="U66" s="420"/>
      <c r="V66" s="420"/>
      <c r="W66" s="420"/>
      <c r="X66" s="420"/>
      <c r="Y66" s="420"/>
      <c r="Z66" s="420"/>
      <c r="AA66" s="420"/>
      <c r="AB66" s="420"/>
      <c r="AC66" s="420"/>
      <c r="AD66" s="420"/>
      <c r="AE66" s="420"/>
      <c r="AF66" s="420"/>
    </row>
    <row r="67" customFormat="false" ht="16.5" hidden="false" customHeight="false" outlineLevel="0" collapsed="false">
      <c r="A67" s="420"/>
      <c r="B67" s="420"/>
      <c r="C67" s="420"/>
      <c r="D67" s="420"/>
      <c r="E67" s="420"/>
      <c r="F67" s="420"/>
      <c r="G67" s="420"/>
      <c r="H67" s="420"/>
      <c r="I67" s="420"/>
      <c r="J67" s="420"/>
      <c r="K67" s="420"/>
      <c r="L67" s="420"/>
      <c r="M67" s="420"/>
      <c r="N67" s="420"/>
      <c r="O67" s="420"/>
      <c r="P67" s="420"/>
      <c r="Q67" s="420"/>
      <c r="R67" s="420"/>
      <c r="S67" s="420"/>
      <c r="T67" s="420"/>
      <c r="U67" s="420"/>
      <c r="V67" s="420"/>
      <c r="W67" s="420"/>
      <c r="X67" s="420"/>
      <c r="Y67" s="420"/>
      <c r="Z67" s="420"/>
      <c r="AA67" s="420"/>
      <c r="AB67" s="420"/>
      <c r="AC67" s="420"/>
      <c r="AD67" s="420"/>
      <c r="AE67" s="420"/>
      <c r="AF67" s="420"/>
    </row>
    <row r="68" customFormat="false" ht="16.5" hidden="false" customHeight="false" outlineLevel="0" collapsed="false">
      <c r="A68" s="420"/>
      <c r="B68" s="420"/>
      <c r="C68" s="420"/>
      <c r="D68" s="420"/>
      <c r="E68" s="420"/>
      <c r="F68" s="420"/>
      <c r="G68" s="420"/>
      <c r="H68" s="420"/>
      <c r="I68" s="420"/>
      <c r="J68" s="420"/>
      <c r="K68" s="420"/>
      <c r="L68" s="420"/>
      <c r="M68" s="420"/>
      <c r="N68" s="420"/>
      <c r="O68" s="420"/>
      <c r="P68" s="420"/>
      <c r="Q68" s="420"/>
      <c r="R68" s="420"/>
      <c r="S68" s="420"/>
      <c r="T68" s="420"/>
      <c r="U68" s="420"/>
      <c r="V68" s="420"/>
      <c r="W68" s="420"/>
      <c r="X68" s="420"/>
      <c r="Y68" s="420"/>
      <c r="Z68" s="420"/>
      <c r="AA68" s="420"/>
      <c r="AB68" s="420"/>
      <c r="AC68" s="420"/>
      <c r="AD68" s="420"/>
      <c r="AE68" s="420"/>
      <c r="AF68" s="420"/>
    </row>
    <row r="69" customFormat="false" ht="16.5" hidden="false" customHeight="false" outlineLevel="0" collapsed="false">
      <c r="A69" s="420"/>
      <c r="B69" s="420"/>
      <c r="C69" s="420"/>
      <c r="D69" s="420"/>
      <c r="E69" s="420"/>
      <c r="F69" s="420"/>
      <c r="G69" s="420"/>
      <c r="H69" s="420"/>
      <c r="I69" s="420"/>
      <c r="J69" s="420"/>
      <c r="K69" s="420"/>
      <c r="L69" s="420"/>
      <c r="M69" s="420"/>
      <c r="N69" s="420"/>
      <c r="O69" s="420"/>
      <c r="P69" s="420"/>
      <c r="Q69" s="420"/>
      <c r="R69" s="420"/>
      <c r="S69" s="420"/>
      <c r="T69" s="420"/>
      <c r="U69" s="420"/>
      <c r="V69" s="420"/>
      <c r="W69" s="420"/>
      <c r="X69" s="420"/>
      <c r="Y69" s="420"/>
      <c r="Z69" s="420"/>
      <c r="AA69" s="420"/>
      <c r="AB69" s="420"/>
      <c r="AC69" s="420"/>
      <c r="AD69" s="420"/>
      <c r="AE69" s="420"/>
      <c r="AF69" s="420"/>
    </row>
    <row r="70" customFormat="false" ht="16.5" hidden="false" customHeight="false" outlineLevel="0" collapsed="false">
      <c r="A70" s="420"/>
      <c r="B70" s="420"/>
      <c r="C70" s="420"/>
      <c r="D70" s="420"/>
      <c r="E70" s="420"/>
      <c r="F70" s="420"/>
      <c r="G70" s="420"/>
      <c r="H70" s="420"/>
      <c r="I70" s="420"/>
      <c r="J70" s="420"/>
      <c r="K70" s="420"/>
      <c r="L70" s="420"/>
      <c r="M70" s="420"/>
      <c r="N70" s="420"/>
      <c r="O70" s="420"/>
      <c r="P70" s="420"/>
      <c r="Q70" s="420"/>
      <c r="R70" s="420"/>
      <c r="S70" s="420"/>
      <c r="T70" s="420"/>
      <c r="U70" s="420"/>
      <c r="V70" s="420"/>
      <c r="W70" s="420"/>
      <c r="X70" s="420"/>
      <c r="Y70" s="420"/>
      <c r="Z70" s="420"/>
      <c r="AA70" s="420"/>
      <c r="AB70" s="420"/>
      <c r="AC70" s="420"/>
      <c r="AD70" s="420"/>
      <c r="AE70" s="420"/>
      <c r="AF70" s="420"/>
    </row>
    <row r="71" customFormat="false" ht="16.5" hidden="false" customHeight="false" outlineLevel="0" collapsed="false">
      <c r="A71" s="420"/>
      <c r="B71" s="420"/>
      <c r="C71" s="420"/>
      <c r="D71" s="420"/>
      <c r="E71" s="420"/>
      <c r="F71" s="420"/>
      <c r="G71" s="420"/>
      <c r="H71" s="420"/>
      <c r="I71" s="420"/>
      <c r="J71" s="420"/>
      <c r="K71" s="420"/>
      <c r="L71" s="420"/>
      <c r="M71" s="420"/>
      <c r="N71" s="420"/>
      <c r="O71" s="420"/>
      <c r="P71" s="420"/>
      <c r="Q71" s="420"/>
      <c r="R71" s="420"/>
      <c r="S71" s="420"/>
      <c r="T71" s="420"/>
      <c r="U71" s="420"/>
      <c r="V71" s="420"/>
      <c r="W71" s="420"/>
      <c r="X71" s="420"/>
      <c r="Y71" s="420"/>
      <c r="Z71" s="420"/>
      <c r="AA71" s="420"/>
      <c r="AB71" s="420"/>
      <c r="AC71" s="420"/>
      <c r="AD71" s="420"/>
      <c r="AE71" s="420"/>
      <c r="AF71" s="420"/>
    </row>
    <row r="72" customFormat="false" ht="16.5" hidden="false" customHeight="false" outlineLevel="0" collapsed="false">
      <c r="A72" s="420"/>
      <c r="B72" s="420"/>
      <c r="C72" s="420"/>
      <c r="D72" s="420"/>
      <c r="E72" s="420"/>
      <c r="F72" s="420"/>
      <c r="G72" s="420"/>
      <c r="H72" s="420"/>
      <c r="I72" s="420"/>
      <c r="J72" s="420"/>
      <c r="K72" s="420"/>
      <c r="L72" s="420"/>
      <c r="M72" s="420"/>
      <c r="N72" s="420"/>
      <c r="O72" s="420"/>
      <c r="P72" s="420"/>
      <c r="Q72" s="420"/>
      <c r="R72" s="420"/>
      <c r="S72" s="420"/>
      <c r="T72" s="420"/>
      <c r="U72" s="420"/>
      <c r="V72" s="420"/>
      <c r="W72" s="420"/>
      <c r="X72" s="420"/>
      <c r="Y72" s="420"/>
      <c r="Z72" s="420"/>
      <c r="AA72" s="420"/>
      <c r="AB72" s="420"/>
      <c r="AC72" s="420"/>
      <c r="AD72" s="420"/>
      <c r="AE72" s="420"/>
      <c r="AF72" s="420"/>
    </row>
    <row r="73" customFormat="false" ht="16.5" hidden="false" customHeight="false" outlineLevel="0" collapsed="false">
      <c r="A73" s="420"/>
      <c r="B73" s="420"/>
      <c r="C73" s="420"/>
      <c r="D73" s="420"/>
      <c r="E73" s="420"/>
      <c r="F73" s="420"/>
      <c r="G73" s="420"/>
      <c r="H73" s="420"/>
      <c r="I73" s="420"/>
      <c r="J73" s="420"/>
      <c r="K73" s="420"/>
      <c r="L73" s="420"/>
      <c r="M73" s="420"/>
      <c r="N73" s="420"/>
      <c r="O73" s="420"/>
      <c r="P73" s="420"/>
      <c r="Q73" s="420"/>
      <c r="R73" s="420"/>
      <c r="S73" s="420"/>
      <c r="T73" s="420"/>
      <c r="U73" s="420"/>
      <c r="V73" s="420"/>
      <c r="W73" s="420"/>
      <c r="X73" s="420"/>
      <c r="Y73" s="420"/>
      <c r="Z73" s="420"/>
      <c r="AA73" s="420"/>
      <c r="AB73" s="420"/>
      <c r="AC73" s="420"/>
      <c r="AD73" s="420"/>
      <c r="AE73" s="420"/>
      <c r="AF73" s="420"/>
    </row>
    <row r="74" customFormat="false" ht="16.5" hidden="false" customHeight="false" outlineLevel="0" collapsed="false">
      <c r="A74" s="420"/>
      <c r="B74" s="420"/>
      <c r="C74" s="420"/>
      <c r="D74" s="420"/>
      <c r="E74" s="420"/>
      <c r="F74" s="420"/>
      <c r="G74" s="420"/>
      <c r="H74" s="420"/>
      <c r="I74" s="420"/>
      <c r="J74" s="420"/>
      <c r="K74" s="420"/>
      <c r="L74" s="420"/>
      <c r="M74" s="420"/>
      <c r="N74" s="420"/>
      <c r="O74" s="420"/>
      <c r="P74" s="420"/>
      <c r="Q74" s="420"/>
      <c r="R74" s="420"/>
      <c r="S74" s="420"/>
      <c r="T74" s="420"/>
      <c r="U74" s="420"/>
      <c r="V74" s="420"/>
      <c r="W74" s="420"/>
      <c r="X74" s="420"/>
      <c r="Y74" s="420"/>
      <c r="Z74" s="420"/>
      <c r="AA74" s="420"/>
      <c r="AB74" s="420"/>
      <c r="AC74" s="420"/>
      <c r="AD74" s="420"/>
      <c r="AE74" s="420"/>
      <c r="AF74" s="420"/>
    </row>
    <row r="75" customFormat="false" ht="16.5" hidden="false" customHeight="false" outlineLevel="0" collapsed="false">
      <c r="A75" s="420"/>
      <c r="B75" s="420"/>
      <c r="C75" s="420"/>
      <c r="D75" s="420"/>
      <c r="E75" s="420"/>
      <c r="F75" s="420"/>
      <c r="G75" s="420"/>
      <c r="H75" s="420"/>
      <c r="I75" s="420"/>
      <c r="J75" s="420"/>
      <c r="K75" s="420"/>
      <c r="L75" s="420"/>
      <c r="M75" s="420"/>
      <c r="N75" s="420"/>
      <c r="O75" s="420"/>
      <c r="P75" s="420"/>
      <c r="Q75" s="420"/>
      <c r="R75" s="420"/>
      <c r="S75" s="420"/>
      <c r="T75" s="420"/>
      <c r="U75" s="420"/>
      <c r="V75" s="420"/>
      <c r="W75" s="420"/>
      <c r="X75" s="420"/>
      <c r="Y75" s="420"/>
      <c r="Z75" s="420"/>
      <c r="AA75" s="420"/>
      <c r="AB75" s="420"/>
      <c r="AC75" s="420"/>
      <c r="AD75" s="420"/>
      <c r="AE75" s="420"/>
      <c r="AF75" s="420"/>
    </row>
    <row r="76" customFormat="false" ht="16.5" hidden="false" customHeight="false" outlineLevel="0" collapsed="false">
      <c r="A76" s="420"/>
      <c r="B76" s="420"/>
      <c r="C76" s="420"/>
      <c r="D76" s="420"/>
      <c r="E76" s="420"/>
      <c r="F76" s="420"/>
      <c r="G76" s="420"/>
      <c r="H76" s="420"/>
      <c r="I76" s="420"/>
      <c r="J76" s="420"/>
      <c r="K76" s="420"/>
      <c r="L76" s="420"/>
      <c r="M76" s="420"/>
      <c r="N76" s="420"/>
      <c r="O76" s="420"/>
      <c r="P76" s="420"/>
      <c r="Q76" s="420"/>
      <c r="R76" s="420"/>
      <c r="S76" s="420"/>
      <c r="T76" s="420"/>
      <c r="U76" s="420"/>
      <c r="V76" s="420"/>
      <c r="W76" s="420"/>
      <c r="X76" s="420"/>
      <c r="Y76" s="420"/>
      <c r="Z76" s="420"/>
      <c r="AA76" s="420"/>
      <c r="AB76" s="420"/>
      <c r="AC76" s="420"/>
      <c r="AD76" s="420"/>
      <c r="AE76" s="420"/>
      <c r="AF76" s="420"/>
    </row>
    <row r="77" customFormat="false" ht="16.5" hidden="false" customHeight="false" outlineLevel="0" collapsed="false">
      <c r="A77" s="420"/>
      <c r="B77" s="420"/>
      <c r="C77" s="420"/>
      <c r="D77" s="420"/>
      <c r="E77" s="420"/>
      <c r="F77" s="420"/>
      <c r="G77" s="420"/>
      <c r="H77" s="420"/>
      <c r="I77" s="420"/>
      <c r="J77" s="420"/>
      <c r="K77" s="420"/>
      <c r="L77" s="420"/>
      <c r="M77" s="420"/>
      <c r="N77" s="420"/>
      <c r="O77" s="420"/>
      <c r="P77" s="420"/>
      <c r="Q77" s="420"/>
      <c r="R77" s="420"/>
      <c r="S77" s="420"/>
      <c r="T77" s="420"/>
      <c r="U77" s="420"/>
      <c r="V77" s="420"/>
      <c r="W77" s="420"/>
      <c r="X77" s="420"/>
      <c r="Y77" s="420"/>
      <c r="Z77" s="420"/>
      <c r="AA77" s="420"/>
      <c r="AB77" s="420"/>
      <c r="AC77" s="420"/>
      <c r="AD77" s="420"/>
      <c r="AE77" s="420"/>
      <c r="AF77" s="420"/>
    </row>
    <row r="78" customFormat="false" ht="16.5" hidden="false" customHeight="false" outlineLevel="0" collapsed="false">
      <c r="A78" s="420"/>
      <c r="B78" s="420"/>
      <c r="C78" s="420"/>
      <c r="D78" s="420"/>
      <c r="E78" s="420"/>
      <c r="F78" s="420"/>
      <c r="G78" s="420"/>
      <c r="H78" s="420"/>
      <c r="I78" s="420"/>
      <c r="J78" s="420"/>
      <c r="K78" s="420"/>
      <c r="L78" s="420"/>
      <c r="M78" s="420"/>
      <c r="N78" s="420"/>
      <c r="O78" s="420"/>
      <c r="P78" s="420"/>
      <c r="Q78" s="420"/>
      <c r="R78" s="420"/>
      <c r="S78" s="420"/>
      <c r="T78" s="420"/>
      <c r="U78" s="420"/>
      <c r="V78" s="420"/>
      <c r="W78" s="420"/>
      <c r="X78" s="420"/>
      <c r="Y78" s="420"/>
      <c r="Z78" s="420"/>
      <c r="AA78" s="420"/>
      <c r="AB78" s="420"/>
      <c r="AC78" s="420"/>
      <c r="AD78" s="420"/>
      <c r="AE78" s="420"/>
      <c r="AF78" s="420"/>
    </row>
    <row r="79" customFormat="false" ht="16.5" hidden="false" customHeight="false" outlineLevel="0" collapsed="false">
      <c r="A79" s="420"/>
      <c r="B79" s="420"/>
      <c r="C79" s="420"/>
      <c r="D79" s="420"/>
      <c r="E79" s="420"/>
      <c r="F79" s="420"/>
      <c r="G79" s="420"/>
      <c r="H79" s="420"/>
      <c r="I79" s="420"/>
      <c r="J79" s="420"/>
      <c r="K79" s="420"/>
      <c r="L79" s="420"/>
      <c r="M79" s="420"/>
      <c r="N79" s="420"/>
      <c r="O79" s="420"/>
      <c r="P79" s="420"/>
      <c r="Q79" s="420"/>
      <c r="R79" s="420"/>
      <c r="S79" s="420"/>
      <c r="T79" s="420"/>
      <c r="U79" s="420"/>
      <c r="V79" s="420"/>
      <c r="W79" s="420"/>
      <c r="X79" s="420"/>
      <c r="Y79" s="420"/>
      <c r="Z79" s="420"/>
      <c r="AA79" s="420"/>
      <c r="AB79" s="420"/>
      <c r="AC79" s="420"/>
      <c r="AD79" s="420"/>
      <c r="AE79" s="420"/>
      <c r="AF79" s="420"/>
    </row>
    <row r="80" customFormat="false" ht="16.5" hidden="false" customHeight="false" outlineLevel="0" collapsed="false">
      <c r="A80" s="420"/>
      <c r="B80" s="420"/>
      <c r="C80" s="420"/>
      <c r="D80" s="420"/>
      <c r="E80" s="420"/>
      <c r="F80" s="420"/>
      <c r="G80" s="420"/>
      <c r="H80" s="420"/>
      <c r="I80" s="420"/>
      <c r="J80" s="420"/>
      <c r="K80" s="420"/>
      <c r="L80" s="420"/>
      <c r="M80" s="420"/>
      <c r="N80" s="420"/>
      <c r="O80" s="420"/>
      <c r="P80" s="420"/>
      <c r="Q80" s="420"/>
      <c r="R80" s="420"/>
      <c r="S80" s="420"/>
      <c r="T80" s="420"/>
      <c r="U80" s="420"/>
      <c r="V80" s="420"/>
      <c r="W80" s="420"/>
      <c r="X80" s="420"/>
      <c r="Y80" s="420"/>
      <c r="Z80" s="420"/>
      <c r="AA80" s="420"/>
      <c r="AB80" s="420"/>
      <c r="AC80" s="420"/>
      <c r="AD80" s="420"/>
      <c r="AE80" s="420"/>
      <c r="AF80" s="420"/>
    </row>
    <row r="81" customFormat="false" ht="16.5" hidden="false" customHeight="false" outlineLevel="0" collapsed="false">
      <c r="A81" s="420"/>
      <c r="B81" s="420"/>
      <c r="C81" s="420"/>
      <c r="D81" s="420"/>
      <c r="E81" s="420"/>
      <c r="F81" s="420"/>
      <c r="G81" s="420"/>
      <c r="H81" s="420"/>
      <c r="I81" s="420"/>
      <c r="J81" s="420"/>
      <c r="K81" s="420"/>
      <c r="L81" s="420"/>
      <c r="M81" s="420"/>
      <c r="N81" s="420"/>
      <c r="O81" s="420"/>
      <c r="P81" s="420"/>
      <c r="Q81" s="420"/>
      <c r="R81" s="420"/>
      <c r="S81" s="420"/>
      <c r="T81" s="420"/>
      <c r="U81" s="420"/>
      <c r="V81" s="420"/>
      <c r="W81" s="420"/>
      <c r="X81" s="420"/>
      <c r="Y81" s="420"/>
      <c r="Z81" s="420"/>
      <c r="AA81" s="420"/>
      <c r="AB81" s="420"/>
      <c r="AC81" s="420"/>
      <c r="AD81" s="420"/>
      <c r="AE81" s="420"/>
      <c r="AF81" s="420"/>
    </row>
    <row r="82" customFormat="false" ht="16.5" hidden="false" customHeight="false" outlineLevel="0" collapsed="false">
      <c r="A82" s="420"/>
      <c r="B82" s="420"/>
      <c r="C82" s="420"/>
      <c r="D82" s="420"/>
      <c r="E82" s="420"/>
      <c r="F82" s="420"/>
      <c r="G82" s="420"/>
      <c r="H82" s="420"/>
      <c r="I82" s="420"/>
      <c r="J82" s="420"/>
      <c r="K82" s="420"/>
      <c r="L82" s="420"/>
      <c r="M82" s="420"/>
      <c r="N82" s="420"/>
      <c r="O82" s="420"/>
      <c r="P82" s="420"/>
      <c r="Q82" s="420"/>
      <c r="R82" s="420"/>
      <c r="S82" s="420"/>
      <c r="T82" s="420"/>
      <c r="U82" s="420"/>
      <c r="V82" s="420"/>
      <c r="W82" s="420"/>
      <c r="X82" s="420"/>
      <c r="Y82" s="420"/>
      <c r="Z82" s="420"/>
      <c r="AA82" s="420"/>
      <c r="AB82" s="420"/>
      <c r="AC82" s="420"/>
      <c r="AD82" s="420"/>
      <c r="AE82" s="420"/>
      <c r="AF82" s="420"/>
    </row>
    <row r="83" customFormat="false" ht="16.5" hidden="false" customHeight="false" outlineLevel="0" collapsed="false">
      <c r="A83" s="420"/>
      <c r="B83" s="420"/>
      <c r="C83" s="420"/>
      <c r="D83" s="420"/>
      <c r="E83" s="420"/>
      <c r="F83" s="420"/>
      <c r="G83" s="420"/>
      <c r="H83" s="420"/>
      <c r="I83" s="420"/>
      <c r="J83" s="420"/>
      <c r="K83" s="420"/>
      <c r="L83" s="420"/>
      <c r="M83" s="420"/>
      <c r="N83" s="420"/>
      <c r="O83" s="420"/>
      <c r="P83" s="420"/>
      <c r="Q83" s="420"/>
      <c r="R83" s="420"/>
      <c r="S83" s="420"/>
      <c r="T83" s="420"/>
      <c r="U83" s="420"/>
      <c r="V83" s="420"/>
      <c r="W83" s="420"/>
      <c r="X83" s="420"/>
      <c r="Y83" s="420"/>
      <c r="Z83" s="420"/>
      <c r="AA83" s="420"/>
      <c r="AB83" s="420"/>
      <c r="AC83" s="420"/>
      <c r="AD83" s="420"/>
      <c r="AE83" s="420"/>
      <c r="AF83" s="420"/>
    </row>
    <row r="84" customFormat="false" ht="16.5" hidden="false" customHeight="false" outlineLevel="0" collapsed="false">
      <c r="A84" s="420"/>
      <c r="B84" s="420"/>
      <c r="C84" s="420"/>
      <c r="D84" s="420"/>
      <c r="E84" s="420"/>
      <c r="F84" s="420"/>
      <c r="G84" s="420"/>
      <c r="H84" s="420"/>
      <c r="I84" s="420"/>
      <c r="J84" s="420"/>
      <c r="K84" s="420"/>
      <c r="L84" s="420"/>
      <c r="M84" s="420"/>
      <c r="N84" s="420"/>
      <c r="O84" s="420"/>
      <c r="P84" s="420"/>
      <c r="Q84" s="420"/>
      <c r="R84" s="420"/>
      <c r="S84" s="420"/>
      <c r="T84" s="420"/>
      <c r="U84" s="420"/>
      <c r="V84" s="420"/>
      <c r="W84" s="420"/>
      <c r="X84" s="420"/>
      <c r="Y84" s="420"/>
      <c r="Z84" s="420"/>
      <c r="AA84" s="420"/>
      <c r="AB84" s="420"/>
      <c r="AC84" s="420"/>
      <c r="AD84" s="420"/>
      <c r="AE84" s="420"/>
      <c r="AF84" s="420"/>
    </row>
    <row r="85" customFormat="false" ht="16.5" hidden="false" customHeight="false" outlineLevel="0" collapsed="false">
      <c r="A85" s="420"/>
      <c r="B85" s="420"/>
      <c r="C85" s="420"/>
      <c r="D85" s="420"/>
      <c r="E85" s="420"/>
      <c r="F85" s="420"/>
      <c r="G85" s="420"/>
      <c r="H85" s="420"/>
      <c r="I85" s="420"/>
      <c r="J85" s="420"/>
      <c r="K85" s="420"/>
      <c r="L85" s="420"/>
      <c r="M85" s="420"/>
      <c r="N85" s="420"/>
      <c r="O85" s="420"/>
      <c r="P85" s="420"/>
      <c r="Q85" s="420"/>
      <c r="R85" s="420"/>
      <c r="S85" s="420"/>
      <c r="T85" s="420"/>
      <c r="U85" s="420"/>
      <c r="V85" s="420"/>
      <c r="W85" s="420"/>
      <c r="X85" s="420"/>
      <c r="Y85" s="420"/>
      <c r="Z85" s="420"/>
      <c r="AA85" s="420"/>
      <c r="AB85" s="420"/>
      <c r="AC85" s="420"/>
      <c r="AD85" s="420"/>
      <c r="AE85" s="420"/>
      <c r="AF85" s="420"/>
    </row>
    <row r="86" customFormat="false" ht="16.5" hidden="false" customHeight="false" outlineLevel="0" collapsed="false">
      <c r="A86" s="420"/>
      <c r="B86" s="420"/>
      <c r="C86" s="420"/>
      <c r="D86" s="420"/>
      <c r="E86" s="420"/>
      <c r="F86" s="420"/>
      <c r="G86" s="420"/>
      <c r="H86" s="420"/>
      <c r="I86" s="420"/>
      <c r="J86" s="420"/>
      <c r="K86" s="420"/>
      <c r="L86" s="420"/>
      <c r="M86" s="420"/>
      <c r="N86" s="420"/>
      <c r="O86" s="420"/>
      <c r="P86" s="420"/>
      <c r="Q86" s="420"/>
      <c r="R86" s="420"/>
      <c r="S86" s="420"/>
      <c r="T86" s="420"/>
      <c r="U86" s="420"/>
      <c r="V86" s="420"/>
      <c r="W86" s="420"/>
      <c r="X86" s="420"/>
      <c r="Y86" s="420"/>
      <c r="Z86" s="420"/>
      <c r="AA86" s="420"/>
      <c r="AB86" s="420"/>
      <c r="AC86" s="420"/>
      <c r="AD86" s="420"/>
      <c r="AE86" s="420"/>
      <c r="AF86" s="420"/>
    </row>
    <row r="87" customFormat="false" ht="16.5" hidden="false" customHeight="false" outlineLevel="0" collapsed="false">
      <c r="A87" s="420"/>
      <c r="B87" s="420"/>
      <c r="C87" s="420"/>
      <c r="D87" s="420"/>
      <c r="E87" s="420"/>
      <c r="F87" s="420"/>
      <c r="G87" s="420"/>
      <c r="H87" s="420"/>
      <c r="I87" s="420"/>
      <c r="J87" s="420"/>
      <c r="K87" s="420"/>
      <c r="L87" s="420"/>
      <c r="M87" s="420"/>
      <c r="N87" s="420"/>
      <c r="O87" s="420"/>
      <c r="P87" s="420"/>
      <c r="Q87" s="420"/>
      <c r="R87" s="420"/>
      <c r="S87" s="420"/>
      <c r="T87" s="420"/>
      <c r="U87" s="420"/>
      <c r="V87" s="420"/>
      <c r="W87" s="420"/>
      <c r="X87" s="420"/>
      <c r="Y87" s="420"/>
      <c r="Z87" s="420"/>
      <c r="AA87" s="420"/>
      <c r="AB87" s="420"/>
      <c r="AC87" s="420"/>
      <c r="AD87" s="420"/>
      <c r="AE87" s="420"/>
      <c r="AF87" s="420"/>
    </row>
    <row r="88" customFormat="false" ht="16.5" hidden="false" customHeight="false" outlineLevel="0" collapsed="false">
      <c r="A88" s="420"/>
      <c r="B88" s="420"/>
      <c r="C88" s="420"/>
      <c r="D88" s="420"/>
      <c r="E88" s="420"/>
      <c r="F88" s="420"/>
      <c r="G88" s="420"/>
      <c r="H88" s="420"/>
      <c r="I88" s="420"/>
      <c r="J88" s="420"/>
      <c r="K88" s="420"/>
      <c r="L88" s="420"/>
      <c r="M88" s="420"/>
      <c r="N88" s="420"/>
      <c r="O88" s="420"/>
      <c r="P88" s="420"/>
      <c r="Q88" s="420"/>
      <c r="R88" s="420"/>
      <c r="S88" s="420"/>
      <c r="T88" s="420"/>
      <c r="U88" s="420"/>
      <c r="V88" s="420"/>
      <c r="W88" s="420"/>
      <c r="X88" s="420"/>
      <c r="Y88" s="420"/>
      <c r="Z88" s="420"/>
      <c r="AA88" s="420"/>
      <c r="AB88" s="420"/>
      <c r="AC88" s="420"/>
      <c r="AD88" s="420"/>
      <c r="AE88" s="420"/>
      <c r="AF88" s="42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88"/>
  <sheetViews>
    <sheetView showFormulas="false" showGridLines="true" showRowColHeaders="true" showZeros="true" rightToLeft="false" tabSelected="false" showOutlineSymbols="true" defaultGridColor="true" view="normal" topLeftCell="A3" colorId="64" zoomScale="140" zoomScaleNormal="140" zoomScalePageLayoutView="100" workbookViewId="0">
      <selection pane="topLeft" activeCell="G42" activeCellId="0" sqref="G42"/>
    </sheetView>
  </sheetViews>
  <sheetFormatPr defaultColWidth="8.859375" defaultRowHeight="15" zeroHeight="false" outlineLevelRow="0" outlineLevelCol="0"/>
  <cols>
    <col collapsed="false" customWidth="true" hidden="false" outlineLevel="0" max="1" min="1" style="520" width="3"/>
    <col collapsed="false" customWidth="true" hidden="false" outlineLevel="0" max="2" min="2" style="520" width="21"/>
    <col collapsed="false" customWidth="true" hidden="false" outlineLevel="0" max="9" min="3" style="520" width="23.71"/>
    <col collapsed="false" customWidth="true" hidden="false" outlineLevel="0" max="10" min="10" style="520" width="24.43"/>
    <col collapsed="false" customWidth="true" hidden="false" outlineLevel="0" max="11" min="11" style="520" width="1.86"/>
    <col collapsed="false" customWidth="true" hidden="false" outlineLevel="0" max="12" min="12" style="520" width="33"/>
    <col collapsed="false" customWidth="true" hidden="false" outlineLevel="0" max="14" min="13" style="520" width="23.28"/>
    <col collapsed="false" customWidth="false" hidden="false" outlineLevel="0" max="16384" min="15" style="520" width="8.86"/>
  </cols>
  <sheetData>
    <row r="1" customFormat="false" ht="23.25" hidden="false" customHeight="true" outlineLevel="0" collapsed="false">
      <c r="A1" s="521"/>
      <c r="B1" s="521"/>
      <c r="C1" s="522" t="s">
        <v>207</v>
      </c>
      <c r="D1" s="523"/>
      <c r="E1" s="521"/>
      <c r="F1" s="524"/>
      <c r="G1" s="521"/>
      <c r="H1" s="521"/>
      <c r="I1" s="521"/>
      <c r="J1" s="521"/>
      <c r="K1" s="521"/>
      <c r="L1" s="521"/>
      <c r="M1" s="521"/>
      <c r="N1" s="521"/>
      <c r="O1" s="521"/>
      <c r="P1" s="521"/>
      <c r="Q1" s="521"/>
      <c r="R1" s="521"/>
      <c r="S1" s="521"/>
      <c r="T1" s="521"/>
      <c r="U1" s="521"/>
      <c r="V1" s="521"/>
      <c r="W1" s="521"/>
      <c r="X1" s="521"/>
      <c r="Y1" s="521"/>
      <c r="Z1" s="521"/>
      <c r="AA1" s="521"/>
      <c r="AB1" s="521"/>
      <c r="AC1" s="521"/>
      <c r="AD1" s="521"/>
      <c r="AE1" s="521"/>
      <c r="AF1" s="521"/>
    </row>
    <row r="2" customFormat="false" ht="23.25" hidden="false" customHeight="true" outlineLevel="0" collapsed="false">
      <c r="A2" s="521"/>
      <c r="B2" s="525" t="s">
        <v>208</v>
      </c>
      <c r="C2" s="526" t="s">
        <v>1</v>
      </c>
      <c r="D2" s="527" t="n">
        <f aca="false">J8+J16+J24+J32+J40+J48</f>
        <v>66.6</v>
      </c>
      <c r="E2" s="528" t="s">
        <v>2</v>
      </c>
      <c r="F2" s="529" t="n">
        <f aca="false">J9+J17+J25+J33+J41+J49</f>
        <v>8.1</v>
      </c>
      <c r="G2" s="528" t="s">
        <v>3</v>
      </c>
      <c r="H2" s="529" t="n">
        <f aca="false">J10+J18+J26+J34+J42+J50</f>
        <v>1.7</v>
      </c>
      <c r="I2" s="530"/>
      <c r="J2" s="531" t="s">
        <v>4</v>
      </c>
      <c r="K2" s="532"/>
      <c r="L2" s="531"/>
      <c r="M2" s="521"/>
      <c r="N2" s="521"/>
      <c r="O2" s="521"/>
      <c r="P2" s="521"/>
      <c r="Q2" s="521"/>
      <c r="R2" s="521"/>
      <c r="S2" s="521"/>
      <c r="T2" s="521"/>
      <c r="U2" s="521"/>
      <c r="V2" s="521"/>
      <c r="W2" s="521"/>
      <c r="X2" s="521"/>
      <c r="Y2" s="521"/>
      <c r="Z2" s="521"/>
      <c r="AA2" s="521"/>
      <c r="AB2" s="521"/>
      <c r="AC2" s="521"/>
      <c r="AD2" s="521"/>
      <c r="AE2" s="521"/>
      <c r="AF2" s="521"/>
    </row>
    <row r="3" customFormat="false" ht="23.25" hidden="false" customHeight="true" outlineLevel="0" collapsed="false">
      <c r="A3" s="521"/>
      <c r="B3" s="533" t="s">
        <v>5</v>
      </c>
      <c r="C3" s="534" t="s">
        <v>6</v>
      </c>
      <c r="D3" s="535" t="s">
        <v>7</v>
      </c>
      <c r="E3" s="536" t="s">
        <v>8</v>
      </c>
      <c r="F3" s="537" t="s">
        <v>9</v>
      </c>
      <c r="G3" s="535" t="s">
        <v>10</v>
      </c>
      <c r="H3" s="535" t="s">
        <v>11</v>
      </c>
      <c r="I3" s="538" t="s">
        <v>12</v>
      </c>
      <c r="J3" s="531" t="s">
        <v>13</v>
      </c>
      <c r="K3" s="539"/>
      <c r="L3" s="531"/>
      <c r="M3" s="521"/>
      <c r="N3" s="521"/>
      <c r="O3" s="521"/>
      <c r="P3" s="521"/>
      <c r="Q3" s="521"/>
      <c r="R3" s="521"/>
      <c r="S3" s="521"/>
      <c r="T3" s="521"/>
      <c r="U3" s="521"/>
      <c r="V3" s="521"/>
      <c r="W3" s="521"/>
      <c r="X3" s="521"/>
      <c r="Y3" s="521"/>
      <c r="Z3" s="521"/>
      <c r="AA3" s="521"/>
      <c r="AB3" s="521"/>
      <c r="AC3" s="521"/>
      <c r="AD3" s="521"/>
      <c r="AE3" s="521"/>
      <c r="AF3" s="521"/>
    </row>
    <row r="4" customFormat="false" ht="23.25" hidden="false" customHeight="true" outlineLevel="0" collapsed="false">
      <c r="A4" s="521"/>
      <c r="B4" s="540" t="s">
        <v>14</v>
      </c>
      <c r="C4" s="541" t="s">
        <v>4</v>
      </c>
      <c r="D4" s="541" t="s">
        <v>4</v>
      </c>
      <c r="E4" s="541" t="n">
        <v>1</v>
      </c>
      <c r="F4" s="541" t="n">
        <v>2</v>
      </c>
      <c r="G4" s="541" t="n">
        <v>3</v>
      </c>
      <c r="H4" s="542" t="n">
        <v>4</v>
      </c>
      <c r="I4" s="543" t="n">
        <v>5</v>
      </c>
      <c r="J4" s="531" t="s">
        <v>15</v>
      </c>
      <c r="K4" s="539"/>
      <c r="L4" s="544"/>
      <c r="M4" s="521"/>
      <c r="N4" s="521"/>
      <c r="O4" s="521"/>
      <c r="P4" s="521"/>
      <c r="Q4" s="521"/>
      <c r="R4" s="521"/>
      <c r="S4" s="521"/>
      <c r="T4" s="521"/>
      <c r="U4" s="521"/>
      <c r="V4" s="521"/>
      <c r="W4" s="521"/>
      <c r="X4" s="521"/>
      <c r="Y4" s="521"/>
      <c r="Z4" s="521"/>
      <c r="AA4" s="521"/>
      <c r="AB4" s="521"/>
      <c r="AC4" s="521"/>
      <c r="AD4" s="521"/>
      <c r="AE4" s="521"/>
      <c r="AF4" s="521"/>
    </row>
    <row r="5" customFormat="false" ht="23.25" hidden="false" customHeight="true" outlineLevel="0" collapsed="false">
      <c r="A5" s="521"/>
      <c r="B5" s="545" t="s">
        <v>16</v>
      </c>
      <c r="C5" s="546"/>
      <c r="D5" s="547"/>
      <c r="E5" s="548" t="s">
        <v>209</v>
      </c>
      <c r="F5" s="547" t="s">
        <v>79</v>
      </c>
      <c r="G5" s="547" t="s">
        <v>209</v>
      </c>
      <c r="H5" s="547" t="s">
        <v>79</v>
      </c>
      <c r="I5" s="549" t="s">
        <v>43</v>
      </c>
      <c r="J5" s="531" t="s">
        <v>17</v>
      </c>
      <c r="K5" s="539"/>
      <c r="L5" s="550"/>
      <c r="M5" s="521"/>
      <c r="N5" s="521"/>
      <c r="O5" s="521"/>
      <c r="P5" s="521"/>
      <c r="Q5" s="521"/>
      <c r="R5" s="521"/>
      <c r="S5" s="521"/>
      <c r="T5" s="521"/>
      <c r="U5" s="521"/>
      <c r="V5" s="521"/>
      <c r="W5" s="521"/>
      <c r="X5" s="521"/>
      <c r="Y5" s="521"/>
      <c r="Z5" s="521"/>
      <c r="AA5" s="521"/>
      <c r="AB5" s="521"/>
      <c r="AC5" s="521"/>
      <c r="AD5" s="521"/>
      <c r="AE5" s="521"/>
      <c r="AF5" s="521"/>
    </row>
    <row r="6" customFormat="false" ht="23.25" hidden="false" customHeight="true" outlineLevel="0" collapsed="false">
      <c r="A6" s="521"/>
      <c r="B6" s="551" t="s">
        <v>18</v>
      </c>
      <c r="C6" s="552" t="s">
        <v>4</v>
      </c>
      <c r="D6" s="552" t="s">
        <v>4</v>
      </c>
      <c r="E6" s="553" t="n">
        <v>0.18</v>
      </c>
      <c r="F6" s="553" t="n">
        <v>0.28</v>
      </c>
      <c r="G6" s="554" t="n">
        <v>0.38</v>
      </c>
      <c r="H6" s="555" t="n">
        <v>0.49</v>
      </c>
      <c r="I6" s="556" t="n">
        <v>0.6</v>
      </c>
      <c r="J6" s="557"/>
      <c r="K6" s="539"/>
      <c r="L6" s="521"/>
      <c r="M6" s="521"/>
      <c r="N6" s="521"/>
      <c r="O6" s="521"/>
      <c r="P6" s="521"/>
      <c r="Q6" s="521"/>
      <c r="R6" s="521"/>
      <c r="S6" s="521"/>
      <c r="T6" s="521"/>
      <c r="U6" s="521"/>
      <c r="V6" s="521"/>
      <c r="W6" s="521"/>
      <c r="X6" s="521"/>
      <c r="Y6" s="521"/>
      <c r="Z6" s="521"/>
      <c r="AA6" s="521"/>
      <c r="AB6" s="521"/>
      <c r="AC6" s="521"/>
      <c r="AD6" s="521"/>
      <c r="AE6" s="521"/>
      <c r="AF6" s="521"/>
    </row>
    <row r="7" customFormat="false" ht="23.25" hidden="false" customHeight="true" outlineLevel="0" collapsed="false">
      <c r="A7" s="521"/>
      <c r="B7" s="545" t="s">
        <v>19</v>
      </c>
      <c r="C7" s="558"/>
      <c r="D7" s="559"/>
      <c r="E7" s="560" t="s">
        <v>62</v>
      </c>
      <c r="F7" s="559" t="s">
        <v>62</v>
      </c>
      <c r="G7" s="559" t="s">
        <v>40</v>
      </c>
      <c r="H7" s="559" t="s">
        <v>40</v>
      </c>
      <c r="I7" s="561" t="s">
        <v>40</v>
      </c>
      <c r="J7" s="562" t="s">
        <v>20</v>
      </c>
      <c r="K7" s="539"/>
      <c r="L7" s="563"/>
      <c r="M7" s="521"/>
      <c r="N7" s="521"/>
      <c r="O7" s="521"/>
      <c r="P7" s="521"/>
      <c r="Q7" s="521"/>
      <c r="R7" s="521"/>
      <c r="S7" s="521"/>
      <c r="T7" s="521"/>
      <c r="U7" s="521"/>
      <c r="V7" s="521"/>
      <c r="W7" s="521"/>
      <c r="X7" s="521"/>
      <c r="Y7" s="521"/>
      <c r="Z7" s="521"/>
      <c r="AA7" s="521"/>
      <c r="AB7" s="521"/>
      <c r="AC7" s="521"/>
      <c r="AD7" s="521"/>
      <c r="AE7" s="521"/>
      <c r="AF7" s="521"/>
    </row>
    <row r="8" customFormat="false" ht="23.25" hidden="false" customHeight="true" outlineLevel="0" collapsed="false">
      <c r="A8" s="521"/>
      <c r="B8" s="540" t="s">
        <v>21</v>
      </c>
      <c r="C8" s="564"/>
      <c r="D8" s="565"/>
      <c r="E8" s="566" t="s">
        <v>210</v>
      </c>
      <c r="F8" s="565" t="s">
        <v>210</v>
      </c>
      <c r="G8" s="565" t="s">
        <v>210</v>
      </c>
      <c r="H8" s="565" t="s">
        <v>155</v>
      </c>
      <c r="I8" s="530" t="n">
        <v>1</v>
      </c>
      <c r="J8" s="567" t="n">
        <f aca="false" t="array" ref="J8:J8">SUM(IF(ISNUMBER(C8:I8), C8:I8, 0))</f>
        <v>1</v>
      </c>
      <c r="K8" s="539"/>
      <c r="L8" s="568" t="s">
        <v>22</v>
      </c>
      <c r="M8" s="521"/>
      <c r="N8" s="521"/>
      <c r="O8" s="521"/>
      <c r="P8" s="521"/>
      <c r="Q8" s="521"/>
      <c r="R8" s="521"/>
      <c r="S8" s="521"/>
      <c r="T8" s="521"/>
      <c r="U8" s="521"/>
      <c r="V8" s="521"/>
      <c r="W8" s="521"/>
      <c r="X8" s="521"/>
      <c r="Y8" s="521"/>
      <c r="Z8" s="521"/>
      <c r="AA8" s="521"/>
      <c r="AB8" s="521"/>
      <c r="AC8" s="521"/>
      <c r="AD8" s="521"/>
      <c r="AE8" s="521"/>
      <c r="AF8" s="521"/>
    </row>
    <row r="9" customFormat="false" ht="23.25" hidden="false" customHeight="true" outlineLevel="0" collapsed="false">
      <c r="A9" s="521"/>
      <c r="B9" s="540" t="s">
        <v>23</v>
      </c>
      <c r="C9" s="564"/>
      <c r="D9" s="565"/>
      <c r="E9" s="566"/>
      <c r="F9" s="565"/>
      <c r="G9" s="565"/>
      <c r="H9" s="565"/>
      <c r="I9" s="530"/>
      <c r="J9" s="567" t="n">
        <f aca="false" t="array" ref="J9:J9">SUM(IF(ISNUMBER(B9:I9), B9:I9, 0))</f>
        <v>0</v>
      </c>
      <c r="K9" s="539"/>
      <c r="L9" s="568" t="s">
        <v>24</v>
      </c>
      <c r="M9" s="521"/>
      <c r="N9" s="521"/>
      <c r="O9" s="521"/>
      <c r="P9" s="521"/>
      <c r="Q9" s="521"/>
      <c r="R9" s="521"/>
      <c r="S9" s="521"/>
      <c r="T9" s="521"/>
      <c r="U9" s="521"/>
      <c r="V9" s="521"/>
      <c r="W9" s="521"/>
      <c r="X9" s="521"/>
      <c r="Y9" s="521"/>
      <c r="Z9" s="521"/>
      <c r="AA9" s="521"/>
      <c r="AB9" s="521"/>
      <c r="AC9" s="521"/>
      <c r="AD9" s="521"/>
      <c r="AE9" s="521"/>
      <c r="AF9" s="521"/>
    </row>
    <row r="10" customFormat="false" ht="23.25" hidden="false" customHeight="true" outlineLevel="0" collapsed="false">
      <c r="A10" s="521"/>
      <c r="B10" s="540" t="s">
        <v>25</v>
      </c>
      <c r="C10" s="564"/>
      <c r="D10" s="565"/>
      <c r="E10" s="566"/>
      <c r="F10" s="565"/>
      <c r="G10" s="565"/>
      <c r="H10" s="565"/>
      <c r="I10" s="569"/>
      <c r="J10" s="570" t="n">
        <f aca="false" t="array" ref="J10:J10">SUM(IF(ISNUMBER(B10:I10), B10:I10, 0))</f>
        <v>0</v>
      </c>
      <c r="K10" s="539"/>
      <c r="L10" s="568" t="s">
        <v>26</v>
      </c>
      <c r="M10" s="521"/>
      <c r="N10" s="521"/>
      <c r="O10" s="521"/>
      <c r="P10" s="521"/>
      <c r="Q10" s="521"/>
      <c r="R10" s="521"/>
      <c r="S10" s="521"/>
      <c r="T10" s="521"/>
      <c r="U10" s="521"/>
      <c r="V10" s="521"/>
      <c r="W10" s="521"/>
      <c r="X10" s="521"/>
      <c r="Y10" s="521"/>
      <c r="Z10" s="521"/>
      <c r="AA10" s="521"/>
      <c r="AB10" s="521"/>
      <c r="AC10" s="521"/>
      <c r="AD10" s="521"/>
      <c r="AE10" s="521"/>
      <c r="AF10" s="521"/>
    </row>
    <row r="11" customFormat="false" ht="23.25" hidden="false" customHeight="true" outlineLevel="0" collapsed="false">
      <c r="A11" s="521"/>
      <c r="B11" s="571" t="s">
        <v>27</v>
      </c>
      <c r="C11" s="572" t="s">
        <v>4</v>
      </c>
      <c r="D11" s="573" t="s">
        <v>4</v>
      </c>
      <c r="E11" s="574" t="s">
        <v>211</v>
      </c>
      <c r="F11" s="575" t="s">
        <v>212</v>
      </c>
      <c r="G11" s="576" t="s">
        <v>213</v>
      </c>
      <c r="H11" s="577" t="s">
        <v>214</v>
      </c>
      <c r="I11" s="578" t="s">
        <v>215</v>
      </c>
      <c r="J11" s="570" t="n">
        <v>12.38</v>
      </c>
      <c r="K11" s="539"/>
      <c r="L11" s="568" t="s">
        <v>28</v>
      </c>
      <c r="M11" s="521"/>
      <c r="N11" s="521"/>
      <c r="O11" s="521"/>
      <c r="P11" s="521"/>
      <c r="Q11" s="521"/>
      <c r="R11" s="521"/>
      <c r="S11" s="521"/>
      <c r="T11" s="521"/>
      <c r="U11" s="521"/>
      <c r="V11" s="521"/>
      <c r="W11" s="521"/>
      <c r="X11" s="521"/>
      <c r="Y11" s="521"/>
      <c r="Z11" s="521"/>
      <c r="AA11" s="521"/>
      <c r="AB11" s="521"/>
      <c r="AC11" s="521"/>
      <c r="AD11" s="521"/>
      <c r="AE11" s="521"/>
      <c r="AF11" s="521"/>
    </row>
    <row r="12" customFormat="false" ht="23.25" hidden="false" customHeight="true" outlineLevel="0" collapsed="false">
      <c r="A12" s="521"/>
      <c r="B12" s="521" t="s">
        <v>4</v>
      </c>
      <c r="C12" s="579" t="n">
        <v>6</v>
      </c>
      <c r="D12" s="579" t="n">
        <v>7</v>
      </c>
      <c r="E12" s="579" t="n">
        <v>8</v>
      </c>
      <c r="F12" s="580" t="n">
        <v>9</v>
      </c>
      <c r="G12" s="581" t="n">
        <v>10</v>
      </c>
      <c r="H12" s="582" t="n">
        <v>11</v>
      </c>
      <c r="I12" s="543" t="n">
        <v>12</v>
      </c>
      <c r="J12" s="583"/>
      <c r="K12" s="539"/>
      <c r="L12" s="584"/>
      <c r="M12" s="521"/>
      <c r="N12" s="521"/>
      <c r="O12" s="521"/>
      <c r="P12" s="521"/>
      <c r="Q12" s="521"/>
      <c r="R12" s="521"/>
      <c r="S12" s="521"/>
      <c r="T12" s="521"/>
      <c r="U12" s="521"/>
      <c r="V12" s="521"/>
      <c r="W12" s="521"/>
      <c r="X12" s="521"/>
      <c r="Y12" s="521"/>
      <c r="Z12" s="521"/>
      <c r="AA12" s="521"/>
      <c r="AB12" s="521"/>
      <c r="AC12" s="521"/>
      <c r="AD12" s="521"/>
      <c r="AE12" s="521"/>
      <c r="AF12" s="521"/>
    </row>
    <row r="13" customFormat="false" ht="23.25" hidden="false" customHeight="true" outlineLevel="0" collapsed="false">
      <c r="A13" s="521"/>
      <c r="B13" s="521"/>
      <c r="C13" s="546" t="s">
        <v>216</v>
      </c>
      <c r="D13" s="547" t="s">
        <v>216</v>
      </c>
      <c r="E13" s="548" t="s">
        <v>45</v>
      </c>
      <c r="F13" s="585"/>
      <c r="G13" s="586"/>
      <c r="H13" s="587"/>
      <c r="I13" s="588"/>
      <c r="J13" s="583"/>
      <c r="K13" s="539"/>
      <c r="L13" s="584"/>
      <c r="M13" s="521"/>
      <c r="N13" s="521"/>
      <c r="O13" s="521"/>
      <c r="P13" s="521"/>
      <c r="Q13" s="521"/>
      <c r="R13" s="521"/>
      <c r="S13" s="521"/>
      <c r="T13" s="521"/>
      <c r="U13" s="521"/>
      <c r="V13" s="521"/>
      <c r="W13" s="521"/>
      <c r="X13" s="521"/>
      <c r="Y13" s="521"/>
      <c r="Z13" s="521"/>
      <c r="AA13" s="521"/>
      <c r="AB13" s="521"/>
      <c r="AC13" s="521"/>
      <c r="AD13" s="521"/>
      <c r="AE13" s="521"/>
      <c r="AF13" s="521"/>
    </row>
    <row r="14" customFormat="false" ht="23.25" hidden="false" customHeight="true" outlineLevel="0" collapsed="false">
      <c r="A14" s="521"/>
      <c r="B14" s="521"/>
      <c r="C14" s="589" t="n">
        <v>0.7</v>
      </c>
      <c r="D14" s="555" t="n">
        <v>0.78</v>
      </c>
      <c r="E14" s="552" t="n">
        <v>0.86</v>
      </c>
      <c r="F14" s="553" t="n">
        <v>0.92</v>
      </c>
      <c r="G14" s="553" t="n">
        <v>0.96</v>
      </c>
      <c r="H14" s="590" t="n">
        <v>0.99</v>
      </c>
      <c r="I14" s="591" t="n">
        <v>1</v>
      </c>
      <c r="J14" s="539"/>
      <c r="K14" s="539"/>
      <c r="L14" s="584"/>
      <c r="M14" s="521"/>
      <c r="N14" s="521"/>
      <c r="O14" s="521"/>
      <c r="P14" s="521"/>
      <c r="Q14" s="521"/>
      <c r="R14" s="521"/>
      <c r="S14" s="521"/>
      <c r="T14" s="521"/>
      <c r="U14" s="521"/>
      <c r="V14" s="521"/>
      <c r="W14" s="521"/>
      <c r="X14" s="521"/>
      <c r="Y14" s="521"/>
      <c r="Z14" s="521"/>
      <c r="AA14" s="521"/>
      <c r="AB14" s="521"/>
      <c r="AC14" s="521"/>
      <c r="AD14" s="521"/>
      <c r="AE14" s="521"/>
      <c r="AF14" s="521"/>
    </row>
    <row r="15" customFormat="false" ht="23.25" hidden="false" customHeight="true" outlineLevel="0" collapsed="false">
      <c r="A15" s="521"/>
      <c r="B15" s="521"/>
      <c r="C15" s="558" t="s">
        <v>40</v>
      </c>
      <c r="D15" s="559" t="s">
        <v>40</v>
      </c>
      <c r="E15" s="559" t="s">
        <v>40</v>
      </c>
      <c r="F15" s="586"/>
      <c r="G15" s="586"/>
      <c r="H15" s="587"/>
      <c r="I15" s="592"/>
      <c r="J15" s="562" t="s">
        <v>29</v>
      </c>
      <c r="K15" s="539"/>
      <c r="L15" s="584"/>
      <c r="M15" s="521"/>
      <c r="N15" s="521"/>
      <c r="O15" s="521"/>
      <c r="P15" s="521"/>
      <c r="Q15" s="521"/>
      <c r="R15" s="521"/>
      <c r="S15" s="521"/>
      <c r="T15" s="521"/>
      <c r="U15" s="521"/>
      <c r="V15" s="521"/>
      <c r="W15" s="521"/>
      <c r="X15" s="521"/>
      <c r="Y15" s="521"/>
      <c r="Z15" s="521"/>
      <c r="AA15" s="521"/>
      <c r="AB15" s="521"/>
      <c r="AC15" s="521"/>
      <c r="AD15" s="521"/>
      <c r="AE15" s="521"/>
      <c r="AF15" s="521"/>
    </row>
    <row r="16" customFormat="false" ht="23.25" hidden="false" customHeight="true" outlineLevel="0" collapsed="false">
      <c r="A16" s="521"/>
      <c r="B16" s="521"/>
      <c r="C16" s="564" t="n">
        <v>1.2</v>
      </c>
      <c r="D16" s="565" t="s">
        <v>217</v>
      </c>
      <c r="E16" s="565" t="n">
        <v>2.9</v>
      </c>
      <c r="F16" s="565"/>
      <c r="G16" s="565"/>
      <c r="H16" s="565"/>
      <c r="I16" s="530"/>
      <c r="J16" s="567" t="n">
        <f aca="false" t="array" ref="J16:J16">SUM(IF(ISNUMBER(B16:I16), B16:I16, 0))</f>
        <v>4.1</v>
      </c>
      <c r="K16" s="539"/>
      <c r="L16" s="593" t="s">
        <v>22</v>
      </c>
      <c r="M16" s="521"/>
      <c r="N16" s="521"/>
      <c r="O16" s="521"/>
      <c r="P16" s="521"/>
      <c r="Q16" s="521"/>
      <c r="R16" s="521"/>
      <c r="S16" s="521"/>
      <c r="T16" s="521"/>
      <c r="U16" s="521"/>
      <c r="V16" s="521"/>
      <c r="W16" s="521"/>
      <c r="X16" s="521"/>
      <c r="Y16" s="521"/>
      <c r="Z16" s="521"/>
      <c r="AA16" s="521"/>
      <c r="AB16" s="521"/>
      <c r="AC16" s="521"/>
      <c r="AD16" s="521"/>
      <c r="AE16" s="521"/>
      <c r="AF16" s="521"/>
    </row>
    <row r="17" customFormat="false" ht="23.25" hidden="false" customHeight="true" outlineLevel="0" collapsed="false">
      <c r="A17" s="521"/>
      <c r="B17" s="521"/>
      <c r="C17" s="564"/>
      <c r="D17" s="565"/>
      <c r="E17" s="565" t="n">
        <v>0.6</v>
      </c>
      <c r="F17" s="565"/>
      <c r="G17" s="565"/>
      <c r="H17" s="565"/>
      <c r="I17" s="530"/>
      <c r="J17" s="567" t="n">
        <f aca="false" t="array" ref="J17:J17">SUM(IF(ISNUMBER(B17:I17), B17:I17, 0))</f>
        <v>0.6</v>
      </c>
      <c r="K17" s="539"/>
      <c r="L17" s="593" t="s">
        <v>24</v>
      </c>
      <c r="M17" s="521"/>
      <c r="N17" s="521"/>
      <c r="O17" s="521"/>
      <c r="P17" s="521"/>
      <c r="Q17" s="521"/>
      <c r="R17" s="521"/>
      <c r="S17" s="521"/>
      <c r="T17" s="521"/>
      <c r="U17" s="521"/>
      <c r="V17" s="521"/>
      <c r="W17" s="521"/>
      <c r="X17" s="521"/>
      <c r="Y17" s="521"/>
      <c r="Z17" s="521"/>
      <c r="AA17" s="521"/>
      <c r="AB17" s="521"/>
      <c r="AC17" s="521"/>
      <c r="AD17" s="521"/>
      <c r="AE17" s="521"/>
      <c r="AF17" s="521"/>
    </row>
    <row r="18" customFormat="false" ht="23.25" hidden="false" customHeight="true" outlineLevel="0" collapsed="false">
      <c r="A18" s="521"/>
      <c r="B18" s="521"/>
      <c r="C18" s="564"/>
      <c r="D18" s="565"/>
      <c r="E18" s="565" t="n">
        <v>0.4</v>
      </c>
      <c r="F18" s="565"/>
      <c r="G18" s="565"/>
      <c r="H18" s="565"/>
      <c r="I18" s="530"/>
      <c r="J18" s="570" t="n">
        <f aca="false" t="array" ref="J18:J18">SUM(IF(ISNUMBER(B18:I18), B18:I18, 0))</f>
        <v>0.4</v>
      </c>
      <c r="K18" s="539"/>
      <c r="L18" s="593" t="s">
        <v>26</v>
      </c>
      <c r="M18" s="521"/>
      <c r="N18" s="521"/>
      <c r="O18" s="521"/>
      <c r="P18" s="521"/>
      <c r="Q18" s="521"/>
      <c r="R18" s="521"/>
      <c r="S18" s="521"/>
      <c r="T18" s="521"/>
      <c r="U18" s="521"/>
      <c r="V18" s="521"/>
      <c r="W18" s="521"/>
      <c r="X18" s="521"/>
      <c r="Y18" s="521"/>
      <c r="Z18" s="521"/>
      <c r="AA18" s="521"/>
      <c r="AB18" s="521"/>
      <c r="AC18" s="521"/>
      <c r="AD18" s="521"/>
      <c r="AE18" s="521"/>
      <c r="AF18" s="521"/>
    </row>
    <row r="19" customFormat="false" ht="23.25" hidden="false" customHeight="true" outlineLevel="0" collapsed="false">
      <c r="A19" s="521"/>
      <c r="B19" s="521"/>
      <c r="C19" s="594" t="s">
        <v>218</v>
      </c>
      <c r="D19" s="595" t="s">
        <v>219</v>
      </c>
      <c r="E19" s="573" t="s">
        <v>220</v>
      </c>
      <c r="F19" s="576" t="s">
        <v>221</v>
      </c>
      <c r="G19" s="596" t="s">
        <v>222</v>
      </c>
      <c r="H19" s="597" t="s">
        <v>223</v>
      </c>
      <c r="I19" s="578" t="s">
        <v>224</v>
      </c>
      <c r="J19" s="570" t="n">
        <v>3.43</v>
      </c>
      <c r="K19" s="539"/>
      <c r="L19" s="568" t="s">
        <v>28</v>
      </c>
      <c r="M19" s="521"/>
      <c r="N19" s="521"/>
      <c r="O19" s="521"/>
      <c r="P19" s="521"/>
      <c r="Q19" s="521"/>
      <c r="R19" s="521"/>
      <c r="S19" s="521"/>
      <c r="T19" s="521"/>
      <c r="U19" s="521"/>
      <c r="V19" s="521"/>
      <c r="W19" s="521"/>
      <c r="X19" s="521"/>
      <c r="Y19" s="521"/>
      <c r="Z19" s="521"/>
      <c r="AA19" s="521"/>
      <c r="AB19" s="521"/>
      <c r="AC19" s="521"/>
      <c r="AD19" s="521"/>
      <c r="AE19" s="521"/>
      <c r="AF19" s="521"/>
    </row>
    <row r="20" customFormat="false" ht="23.25" hidden="false" customHeight="true" outlineLevel="0" collapsed="false">
      <c r="A20" s="521"/>
      <c r="B20" s="521"/>
      <c r="C20" s="598" t="n">
        <v>13</v>
      </c>
      <c r="D20" s="598" t="n">
        <v>14</v>
      </c>
      <c r="E20" s="599" t="n">
        <v>15</v>
      </c>
      <c r="F20" s="543" t="n">
        <v>16</v>
      </c>
      <c r="G20" s="543" t="n">
        <v>17</v>
      </c>
      <c r="H20" s="543" t="n">
        <v>18</v>
      </c>
      <c r="I20" s="543" t="n">
        <v>19</v>
      </c>
      <c r="J20" s="583"/>
      <c r="K20" s="539"/>
      <c r="L20" s="584"/>
      <c r="M20" s="521"/>
      <c r="N20" s="521"/>
      <c r="O20" s="521"/>
      <c r="P20" s="521"/>
      <c r="Q20" s="521"/>
      <c r="R20" s="521"/>
      <c r="S20" s="521"/>
      <c r="T20" s="521"/>
      <c r="U20" s="521"/>
      <c r="V20" s="521"/>
      <c r="W20" s="521"/>
      <c r="X20" s="521"/>
      <c r="Y20" s="521"/>
      <c r="Z20" s="521"/>
      <c r="AA20" s="521"/>
      <c r="AB20" s="521"/>
      <c r="AC20" s="521"/>
      <c r="AD20" s="521"/>
      <c r="AE20" s="521"/>
      <c r="AF20" s="521"/>
    </row>
    <row r="21" customFormat="false" ht="23.25" hidden="false" customHeight="true" outlineLevel="0" collapsed="false">
      <c r="A21" s="521"/>
      <c r="B21" s="521"/>
      <c r="C21" s="600"/>
      <c r="D21" s="586"/>
      <c r="E21" s="586"/>
      <c r="F21" s="559" t="s">
        <v>43</v>
      </c>
      <c r="G21" s="559" t="s">
        <v>43</v>
      </c>
      <c r="H21" s="559" t="s">
        <v>45</v>
      </c>
      <c r="I21" s="601" t="s">
        <v>216</v>
      </c>
      <c r="J21" s="583"/>
      <c r="K21" s="539"/>
      <c r="L21" s="584"/>
      <c r="M21" s="521"/>
      <c r="N21" s="521"/>
      <c r="O21" s="521"/>
      <c r="P21" s="521"/>
      <c r="Q21" s="521"/>
      <c r="R21" s="521"/>
      <c r="S21" s="521"/>
      <c r="T21" s="521"/>
      <c r="U21" s="521"/>
      <c r="V21" s="521"/>
      <c r="W21" s="521"/>
      <c r="X21" s="521"/>
      <c r="Y21" s="521"/>
      <c r="Z21" s="521"/>
      <c r="AA21" s="521"/>
      <c r="AB21" s="521"/>
      <c r="AC21" s="521"/>
      <c r="AD21" s="521"/>
      <c r="AE21" s="521"/>
      <c r="AF21" s="521"/>
    </row>
    <row r="22" customFormat="false" ht="23.25" hidden="false" customHeight="true" outlineLevel="0" collapsed="false">
      <c r="A22" s="521"/>
      <c r="B22" s="521"/>
      <c r="C22" s="602" t="n">
        <v>0.99</v>
      </c>
      <c r="D22" s="553" t="n">
        <v>0.96</v>
      </c>
      <c r="E22" s="553" t="n">
        <v>0.92</v>
      </c>
      <c r="F22" s="553" t="n">
        <v>0.86</v>
      </c>
      <c r="G22" s="554" t="n">
        <v>0.79</v>
      </c>
      <c r="H22" s="555" t="n">
        <v>0.71</v>
      </c>
      <c r="I22" s="556" t="n">
        <v>0.61</v>
      </c>
      <c r="J22" s="539"/>
      <c r="K22" s="539"/>
      <c r="L22" s="584"/>
      <c r="M22" s="521"/>
      <c r="N22" s="521"/>
      <c r="O22" s="521"/>
      <c r="P22" s="521"/>
      <c r="Q22" s="521"/>
      <c r="R22" s="521"/>
      <c r="S22" s="521"/>
      <c r="T22" s="521"/>
      <c r="U22" s="521"/>
      <c r="V22" s="521"/>
      <c r="W22" s="521"/>
      <c r="X22" s="521"/>
      <c r="Y22" s="521"/>
      <c r="Z22" s="521"/>
      <c r="AA22" s="521"/>
      <c r="AB22" s="521"/>
      <c r="AC22" s="521"/>
      <c r="AD22" s="521"/>
      <c r="AE22" s="521"/>
      <c r="AF22" s="521"/>
    </row>
    <row r="23" customFormat="false" ht="23.25" hidden="false" customHeight="true" outlineLevel="0" collapsed="false">
      <c r="A23" s="521"/>
      <c r="B23" s="521"/>
      <c r="C23" s="600"/>
      <c r="D23" s="586"/>
      <c r="E23" s="586"/>
      <c r="F23" s="559" t="s">
        <v>169</v>
      </c>
      <c r="G23" s="559" t="s">
        <v>169</v>
      </c>
      <c r="H23" s="559" t="s">
        <v>54</v>
      </c>
      <c r="I23" s="601" t="s">
        <v>54</v>
      </c>
      <c r="J23" s="603" t="s">
        <v>30</v>
      </c>
      <c r="K23" s="539"/>
      <c r="L23" s="584"/>
      <c r="M23" s="521"/>
      <c r="N23" s="521"/>
      <c r="O23" s="521"/>
      <c r="P23" s="521"/>
      <c r="Q23" s="521"/>
      <c r="R23" s="521"/>
      <c r="S23" s="521"/>
      <c r="T23" s="521"/>
      <c r="U23" s="521"/>
      <c r="V23" s="521"/>
      <c r="W23" s="521"/>
      <c r="X23" s="521"/>
      <c r="Y23" s="521"/>
      <c r="Z23" s="521"/>
      <c r="AA23" s="521"/>
      <c r="AB23" s="521"/>
      <c r="AC23" s="521"/>
      <c r="AD23" s="521"/>
      <c r="AE23" s="521"/>
      <c r="AF23" s="521"/>
    </row>
    <row r="24" customFormat="false" ht="23.25" hidden="false" customHeight="true" outlineLevel="0" collapsed="false">
      <c r="A24" s="521"/>
      <c r="B24" s="521"/>
      <c r="C24" s="564"/>
      <c r="D24" s="604"/>
      <c r="E24" s="565"/>
      <c r="F24" s="565" t="n">
        <v>1.8</v>
      </c>
      <c r="G24" s="565" t="n">
        <v>8</v>
      </c>
      <c r="H24" s="605" t="s">
        <v>225</v>
      </c>
      <c r="I24" s="606" t="n">
        <v>5</v>
      </c>
      <c r="J24" s="607" t="n">
        <f aca="false" t="array" ref="J24:J24">SUM(IF(ISNUMBER(B24:I24), B24:I24, 0))</f>
        <v>14.8</v>
      </c>
      <c r="K24" s="539"/>
      <c r="L24" s="593" t="s">
        <v>22</v>
      </c>
      <c r="M24" s="521"/>
      <c r="N24" s="521"/>
      <c r="O24" s="521"/>
      <c r="P24" s="521"/>
      <c r="Q24" s="521"/>
      <c r="R24" s="521"/>
      <c r="S24" s="521"/>
      <c r="T24" s="521"/>
      <c r="U24" s="521"/>
      <c r="V24" s="521"/>
      <c r="W24" s="521"/>
      <c r="X24" s="521"/>
      <c r="Y24" s="521"/>
      <c r="Z24" s="521"/>
      <c r="AA24" s="521"/>
      <c r="AB24" s="521"/>
      <c r="AC24" s="521"/>
      <c r="AD24" s="521"/>
      <c r="AE24" s="521"/>
      <c r="AF24" s="521"/>
    </row>
    <row r="25" customFormat="false" ht="23.25" hidden="false" customHeight="true" outlineLevel="0" collapsed="false">
      <c r="A25" s="521"/>
      <c r="B25" s="521"/>
      <c r="C25" s="564"/>
      <c r="D25" s="604"/>
      <c r="E25" s="565"/>
      <c r="F25" s="565" t="n">
        <v>0.3</v>
      </c>
      <c r="G25" s="565" t="n">
        <v>0.8</v>
      </c>
      <c r="H25" s="605" t="n">
        <v>0</v>
      </c>
      <c r="I25" s="606" t="n">
        <v>0.8</v>
      </c>
      <c r="J25" s="607" t="n">
        <f aca="false" t="array" ref="J25:J25">SUM(IF(ISNUMBER(B25:I25), B25:I25, 0))</f>
        <v>1.9</v>
      </c>
      <c r="K25" s="539"/>
      <c r="L25" s="593" t="s">
        <v>24</v>
      </c>
      <c r="M25" s="521"/>
      <c r="N25" s="521"/>
      <c r="O25" s="521"/>
      <c r="P25" s="521"/>
      <c r="Q25" s="521"/>
      <c r="R25" s="521"/>
      <c r="S25" s="521"/>
      <c r="T25" s="521"/>
      <c r="U25" s="521"/>
      <c r="V25" s="521"/>
      <c r="W25" s="521"/>
      <c r="X25" s="521"/>
      <c r="Y25" s="521"/>
      <c r="Z25" s="521"/>
      <c r="AA25" s="521"/>
      <c r="AB25" s="521"/>
      <c r="AC25" s="521"/>
      <c r="AD25" s="521"/>
      <c r="AE25" s="521"/>
      <c r="AF25" s="521"/>
    </row>
    <row r="26" customFormat="false" ht="23.25" hidden="false" customHeight="true" outlineLevel="0" collapsed="false">
      <c r="A26" s="521"/>
      <c r="B26" s="521"/>
      <c r="C26" s="564"/>
      <c r="D26" s="605"/>
      <c r="E26" s="605"/>
      <c r="F26" s="605" t="n">
        <v>0</v>
      </c>
      <c r="G26" s="605" t="n">
        <v>0</v>
      </c>
      <c r="H26" s="605" t="n">
        <v>0</v>
      </c>
      <c r="I26" s="606" t="n">
        <v>0</v>
      </c>
      <c r="J26" s="608" t="n">
        <f aca="false" t="array" ref="J26:J26">SUM(IF(ISNUMBER(B26:I26), B26:I26, 0))</f>
        <v>0</v>
      </c>
      <c r="K26" s="539"/>
      <c r="L26" s="593" t="s">
        <v>26</v>
      </c>
      <c r="M26" s="521"/>
      <c r="N26" s="521"/>
      <c r="O26" s="521"/>
      <c r="P26" s="521"/>
      <c r="Q26" s="521"/>
      <c r="R26" s="521"/>
      <c r="S26" s="521"/>
      <c r="T26" s="521"/>
      <c r="U26" s="521"/>
      <c r="V26" s="521"/>
      <c r="W26" s="521"/>
      <c r="X26" s="521"/>
      <c r="Y26" s="521"/>
      <c r="Z26" s="521"/>
      <c r="AA26" s="521"/>
      <c r="AB26" s="521"/>
      <c r="AC26" s="521"/>
      <c r="AD26" s="521"/>
      <c r="AE26" s="521"/>
      <c r="AF26" s="521"/>
    </row>
    <row r="27" customFormat="false" ht="23.25" hidden="false" customHeight="true" outlineLevel="0" collapsed="false">
      <c r="A27" s="521"/>
      <c r="B27" s="521"/>
      <c r="C27" s="609" t="s">
        <v>226</v>
      </c>
      <c r="D27" s="573" t="s">
        <v>227</v>
      </c>
      <c r="E27" s="573" t="s">
        <v>228</v>
      </c>
      <c r="F27" s="610" t="s">
        <v>229</v>
      </c>
      <c r="G27" s="573" t="s">
        <v>230</v>
      </c>
      <c r="H27" s="573" t="s">
        <v>231</v>
      </c>
      <c r="I27" s="611" t="s">
        <v>232</v>
      </c>
      <c r="J27" s="570" t="n">
        <v>29.32</v>
      </c>
      <c r="K27" s="539"/>
      <c r="L27" s="568" t="s">
        <v>28</v>
      </c>
      <c r="M27" s="521"/>
      <c r="N27" s="521"/>
      <c r="O27" s="521"/>
      <c r="P27" s="521"/>
      <c r="Q27" s="521"/>
      <c r="R27" s="521"/>
      <c r="S27" s="521"/>
      <c r="T27" s="521"/>
      <c r="U27" s="521"/>
      <c r="V27" s="521"/>
      <c r="W27" s="521"/>
      <c r="X27" s="521"/>
      <c r="Y27" s="521"/>
      <c r="Z27" s="521"/>
      <c r="AA27" s="521"/>
      <c r="AB27" s="521"/>
      <c r="AC27" s="521"/>
      <c r="AD27" s="521"/>
      <c r="AE27" s="521"/>
      <c r="AF27" s="521"/>
    </row>
    <row r="28" customFormat="false" ht="23.25" hidden="false" customHeight="true" outlineLevel="0" collapsed="false">
      <c r="A28" s="521"/>
      <c r="B28" s="521"/>
      <c r="C28" s="579" t="n">
        <v>20</v>
      </c>
      <c r="D28" s="579" t="n">
        <v>21</v>
      </c>
      <c r="E28" s="579" t="n">
        <v>22</v>
      </c>
      <c r="F28" s="579" t="n">
        <v>23</v>
      </c>
      <c r="G28" s="579" t="n">
        <v>24</v>
      </c>
      <c r="H28" s="579" t="n">
        <v>25</v>
      </c>
      <c r="I28" s="579" t="n">
        <v>26</v>
      </c>
      <c r="J28" s="612"/>
      <c r="K28" s="539"/>
      <c r="L28" s="584"/>
      <c r="M28" s="521"/>
      <c r="N28" s="521"/>
      <c r="O28" s="521"/>
      <c r="P28" s="521"/>
      <c r="Q28" s="521"/>
      <c r="R28" s="521"/>
      <c r="S28" s="521"/>
      <c r="T28" s="521"/>
      <c r="U28" s="521"/>
      <c r="V28" s="521"/>
      <c r="W28" s="521"/>
      <c r="X28" s="521"/>
      <c r="Y28" s="521"/>
      <c r="Z28" s="521"/>
      <c r="AA28" s="521"/>
      <c r="AB28" s="521"/>
      <c r="AC28" s="521"/>
      <c r="AD28" s="521"/>
      <c r="AE28" s="521"/>
      <c r="AF28" s="521"/>
    </row>
    <row r="29" customFormat="false" ht="23.25" hidden="false" customHeight="true" outlineLevel="0" collapsed="false">
      <c r="A29" s="521"/>
      <c r="B29" s="521"/>
      <c r="C29" s="546" t="s">
        <v>43</v>
      </c>
      <c r="D29" s="547" t="s">
        <v>43</v>
      </c>
      <c r="E29" s="548" t="s">
        <v>209</v>
      </c>
      <c r="F29" s="547" t="s">
        <v>43</v>
      </c>
      <c r="G29" s="547" t="s">
        <v>209</v>
      </c>
      <c r="H29" s="613" t="s">
        <v>233</v>
      </c>
      <c r="I29" s="549" t="s">
        <v>152</v>
      </c>
      <c r="J29" s="583"/>
      <c r="K29" s="539"/>
      <c r="L29" s="584"/>
      <c r="M29" s="521"/>
      <c r="N29" s="521"/>
      <c r="O29" s="521"/>
      <c r="P29" s="521"/>
      <c r="Q29" s="521"/>
      <c r="R29" s="521"/>
      <c r="S29" s="521"/>
      <c r="T29" s="521"/>
      <c r="U29" s="521"/>
      <c r="V29" s="521"/>
      <c r="W29" s="521"/>
      <c r="X29" s="521"/>
      <c r="Y29" s="521"/>
      <c r="Z29" s="521"/>
      <c r="AA29" s="521"/>
      <c r="AB29" s="521"/>
      <c r="AC29" s="521"/>
      <c r="AD29" s="521"/>
      <c r="AE29" s="521"/>
      <c r="AF29" s="521"/>
    </row>
    <row r="30" customFormat="false" ht="23.25" hidden="false" customHeight="true" outlineLevel="0" collapsed="false">
      <c r="A30" s="521"/>
      <c r="B30" s="521"/>
      <c r="C30" s="602" t="n">
        <v>0.51</v>
      </c>
      <c r="D30" s="553" t="n">
        <v>0.4</v>
      </c>
      <c r="E30" s="553" t="n">
        <v>0.3</v>
      </c>
      <c r="F30" s="553" t="n">
        <v>0.2</v>
      </c>
      <c r="G30" s="553" t="n">
        <v>0.11</v>
      </c>
      <c r="H30" s="553" t="n">
        <v>0.05</v>
      </c>
      <c r="I30" s="556" t="n">
        <v>0.01</v>
      </c>
      <c r="J30" s="539"/>
      <c r="K30" s="539"/>
      <c r="L30" s="584"/>
      <c r="M30" s="521"/>
      <c r="N30" s="521"/>
      <c r="O30" s="521"/>
      <c r="P30" s="521"/>
      <c r="Q30" s="521"/>
      <c r="R30" s="521"/>
      <c r="S30" s="521"/>
      <c r="T30" s="521"/>
      <c r="U30" s="521"/>
      <c r="V30" s="521"/>
      <c r="W30" s="521"/>
      <c r="X30" s="521"/>
      <c r="Y30" s="521"/>
      <c r="Z30" s="521"/>
      <c r="AA30" s="521"/>
      <c r="AB30" s="521"/>
      <c r="AC30" s="521"/>
      <c r="AD30" s="521"/>
      <c r="AE30" s="521"/>
      <c r="AF30" s="521"/>
    </row>
    <row r="31" customFormat="false" ht="23.25" hidden="false" customHeight="true" outlineLevel="0" collapsed="false">
      <c r="A31" s="521"/>
      <c r="B31" s="521"/>
      <c r="C31" s="558" t="s">
        <v>62</v>
      </c>
      <c r="D31" s="559" t="s">
        <v>54</v>
      </c>
      <c r="E31" s="559" t="s">
        <v>62</v>
      </c>
      <c r="F31" s="559" t="s">
        <v>169</v>
      </c>
      <c r="G31" s="559" t="s">
        <v>169</v>
      </c>
      <c r="H31" s="559" t="s">
        <v>54</v>
      </c>
      <c r="I31" s="601" t="s">
        <v>169</v>
      </c>
      <c r="J31" s="603" t="s">
        <v>31</v>
      </c>
      <c r="K31" s="539"/>
      <c r="L31" s="584"/>
      <c r="M31" s="521"/>
      <c r="N31" s="521"/>
      <c r="O31" s="521"/>
      <c r="P31" s="521"/>
      <c r="Q31" s="521"/>
      <c r="R31" s="521"/>
      <c r="S31" s="521"/>
      <c r="T31" s="521"/>
      <c r="U31" s="521"/>
      <c r="V31" s="521"/>
      <c r="W31" s="521"/>
      <c r="X31" s="521"/>
      <c r="Y31" s="521"/>
      <c r="Z31" s="521"/>
      <c r="AA31" s="521"/>
      <c r="AB31" s="521"/>
      <c r="AC31" s="521"/>
      <c r="AD31" s="521"/>
      <c r="AE31" s="521"/>
      <c r="AF31" s="521"/>
    </row>
    <row r="32" customFormat="false" ht="23.25" hidden="false" customHeight="true" outlineLevel="0" collapsed="false">
      <c r="A32" s="521"/>
      <c r="B32" s="521"/>
      <c r="C32" s="564" t="n">
        <v>6</v>
      </c>
      <c r="D32" s="565" t="n">
        <v>7.3</v>
      </c>
      <c r="E32" s="565" t="n">
        <v>2</v>
      </c>
      <c r="F32" s="565" t="n">
        <v>8.2</v>
      </c>
      <c r="G32" s="565" t="n">
        <v>8</v>
      </c>
      <c r="H32" s="565" t="n">
        <v>7.5</v>
      </c>
      <c r="I32" s="614" t="n">
        <v>7.7</v>
      </c>
      <c r="J32" s="607" t="n">
        <f aca="false" t="array" ref="J32:J32">SUM(IF(ISNUMBER(B32:I32), B32:I32, 0))</f>
        <v>46.7</v>
      </c>
      <c r="K32" s="539"/>
      <c r="L32" s="593" t="s">
        <v>22</v>
      </c>
      <c r="M32" s="521"/>
      <c r="N32" s="521"/>
      <c r="O32" s="521"/>
      <c r="P32" s="521"/>
      <c r="Q32" s="521"/>
      <c r="R32" s="521"/>
      <c r="S32" s="521"/>
      <c r="T32" s="521"/>
      <c r="U32" s="521"/>
      <c r="V32" s="521"/>
      <c r="W32" s="521"/>
      <c r="X32" s="521"/>
      <c r="Y32" s="521"/>
      <c r="Z32" s="521"/>
      <c r="AA32" s="521"/>
      <c r="AB32" s="521"/>
      <c r="AC32" s="521"/>
      <c r="AD32" s="521"/>
      <c r="AE32" s="521"/>
      <c r="AF32" s="521"/>
    </row>
    <row r="33" customFormat="false" ht="23.25" hidden="false" customHeight="true" outlineLevel="0" collapsed="false">
      <c r="A33" s="521"/>
      <c r="B33" s="521"/>
      <c r="C33" s="564" t="n">
        <v>0.8</v>
      </c>
      <c r="D33" s="565" t="n">
        <v>0.8</v>
      </c>
      <c r="E33" s="565" t="n">
        <v>0.8</v>
      </c>
      <c r="F33" s="565" t="n">
        <v>0.8</v>
      </c>
      <c r="G33" s="530" t="n">
        <v>0.8</v>
      </c>
      <c r="H33" s="565" t="n">
        <v>0.8</v>
      </c>
      <c r="I33" s="614" t="n">
        <v>0.8</v>
      </c>
      <c r="J33" s="607" t="n">
        <f aca="false" t="array" ref="J33:J33">SUM(IF(ISNUMBER(B33:I33), B33:I33, 0))</f>
        <v>5.6</v>
      </c>
      <c r="K33" s="539"/>
      <c r="L33" s="593" t="s">
        <v>24</v>
      </c>
      <c r="M33" s="521"/>
      <c r="N33" s="521"/>
      <c r="O33" s="521"/>
      <c r="P33" s="521"/>
      <c r="Q33" s="521"/>
      <c r="R33" s="521"/>
      <c r="S33" s="521"/>
      <c r="T33" s="521"/>
      <c r="U33" s="521"/>
      <c r="V33" s="521"/>
      <c r="W33" s="521"/>
      <c r="X33" s="521"/>
      <c r="Y33" s="521"/>
      <c r="Z33" s="521"/>
      <c r="AA33" s="521"/>
      <c r="AB33" s="521"/>
      <c r="AC33" s="521"/>
      <c r="AD33" s="521"/>
      <c r="AE33" s="521"/>
      <c r="AF33" s="521"/>
    </row>
    <row r="34" customFormat="false" ht="23.25" hidden="false" customHeight="true" outlineLevel="0" collapsed="false">
      <c r="A34" s="521"/>
      <c r="B34" s="521"/>
      <c r="C34" s="564" t="n">
        <v>0</v>
      </c>
      <c r="D34" s="565" t="n">
        <v>0</v>
      </c>
      <c r="E34" s="565" t="n">
        <v>0.2</v>
      </c>
      <c r="F34" s="565" t="n">
        <v>0.4</v>
      </c>
      <c r="G34" s="565" t="n">
        <v>0.4</v>
      </c>
      <c r="H34" s="565" t="n">
        <v>0</v>
      </c>
      <c r="I34" s="565" t="n">
        <v>0.3</v>
      </c>
      <c r="J34" s="608" t="n">
        <f aca="false" t="array" ref="J34:J34">SUM(IF(ISNUMBER(B34:I34), B34:I34, 0))</f>
        <v>1.3</v>
      </c>
      <c r="K34" s="539"/>
      <c r="L34" s="593" t="s">
        <v>26</v>
      </c>
      <c r="M34" s="521"/>
      <c r="N34" s="521"/>
      <c r="O34" s="521"/>
      <c r="P34" s="521"/>
      <c r="Q34" s="521"/>
      <c r="R34" s="521"/>
      <c r="S34" s="521"/>
      <c r="T34" s="521"/>
      <c r="U34" s="521"/>
      <c r="V34" s="521"/>
      <c r="W34" s="521"/>
      <c r="X34" s="521"/>
      <c r="Y34" s="521"/>
      <c r="Z34" s="521"/>
      <c r="AA34" s="521"/>
      <c r="AB34" s="521"/>
      <c r="AC34" s="521"/>
      <c r="AD34" s="521"/>
      <c r="AE34" s="521"/>
      <c r="AF34" s="521"/>
    </row>
    <row r="35" customFormat="false" ht="23.25" hidden="false" customHeight="true" outlineLevel="0" collapsed="false">
      <c r="A35" s="521"/>
      <c r="B35" s="521"/>
      <c r="C35" s="594" t="s">
        <v>234</v>
      </c>
      <c r="D35" s="573" t="s">
        <v>235</v>
      </c>
      <c r="E35" s="573" t="s">
        <v>236</v>
      </c>
      <c r="F35" s="573" t="s">
        <v>237</v>
      </c>
      <c r="G35" s="573" t="s">
        <v>238</v>
      </c>
      <c r="H35" s="573" t="s">
        <v>239</v>
      </c>
      <c r="I35" s="615" t="s">
        <v>240</v>
      </c>
      <c r="J35" s="570" t="n">
        <v>43.3</v>
      </c>
      <c r="K35" s="539"/>
      <c r="L35" s="568" t="s">
        <v>28</v>
      </c>
      <c r="M35" s="521"/>
      <c r="N35" s="521"/>
      <c r="O35" s="521"/>
      <c r="P35" s="521"/>
      <c r="Q35" s="521"/>
      <c r="R35" s="521"/>
      <c r="S35" s="521"/>
      <c r="T35" s="521"/>
      <c r="U35" s="521"/>
      <c r="V35" s="521"/>
      <c r="W35" s="521"/>
      <c r="X35" s="521"/>
      <c r="Y35" s="521"/>
      <c r="Z35" s="521"/>
      <c r="AA35" s="521"/>
      <c r="AB35" s="521"/>
      <c r="AC35" s="521"/>
      <c r="AD35" s="521"/>
      <c r="AE35" s="521"/>
      <c r="AF35" s="521"/>
    </row>
    <row r="36" customFormat="false" ht="23.25" hidden="false" customHeight="true" outlineLevel="0" collapsed="false">
      <c r="A36" s="521"/>
      <c r="B36" s="521"/>
      <c r="C36" s="579" t="n">
        <v>27</v>
      </c>
      <c r="D36" s="579" t="n">
        <v>28</v>
      </c>
      <c r="E36" s="579" t="n">
        <v>29</v>
      </c>
      <c r="F36" s="579" t="n">
        <v>30</v>
      </c>
      <c r="G36" s="579"/>
      <c r="H36" s="579"/>
      <c r="I36" s="579"/>
      <c r="J36" s="612"/>
      <c r="K36" s="539"/>
      <c r="L36" s="584"/>
      <c r="M36" s="521"/>
      <c r="N36" s="521"/>
      <c r="O36" s="521"/>
      <c r="P36" s="521"/>
      <c r="Q36" s="521"/>
      <c r="R36" s="521"/>
      <c r="S36" s="521"/>
      <c r="T36" s="521"/>
      <c r="U36" s="521"/>
      <c r="V36" s="521"/>
      <c r="W36" s="521"/>
      <c r="X36" s="521"/>
      <c r="Y36" s="521"/>
      <c r="Z36" s="521"/>
      <c r="AA36" s="521"/>
      <c r="AB36" s="521"/>
      <c r="AC36" s="521"/>
      <c r="AD36" s="521"/>
      <c r="AE36" s="521"/>
      <c r="AF36" s="521"/>
    </row>
    <row r="37" customFormat="false" ht="23.25" hidden="false" customHeight="true" outlineLevel="0" collapsed="false">
      <c r="A37" s="521"/>
      <c r="B37" s="521"/>
      <c r="C37" s="616" t="s">
        <v>188</v>
      </c>
      <c r="D37" s="617" t="s">
        <v>188</v>
      </c>
      <c r="E37" s="617" t="s">
        <v>45</v>
      </c>
      <c r="F37" s="617" t="s">
        <v>45</v>
      </c>
      <c r="G37" s="617"/>
      <c r="H37" s="617"/>
      <c r="I37" s="549"/>
      <c r="J37" s="583"/>
      <c r="K37" s="539"/>
      <c r="L37" s="584"/>
      <c r="M37" s="521"/>
      <c r="N37" s="521"/>
      <c r="O37" s="521"/>
      <c r="P37" s="521"/>
      <c r="Q37" s="521"/>
      <c r="R37" s="521"/>
      <c r="S37" s="521"/>
      <c r="T37" s="521"/>
      <c r="U37" s="521"/>
      <c r="V37" s="521"/>
      <c r="W37" s="521"/>
      <c r="X37" s="521"/>
      <c r="Y37" s="521"/>
      <c r="Z37" s="521"/>
      <c r="AA37" s="521"/>
      <c r="AB37" s="521"/>
      <c r="AC37" s="521"/>
      <c r="AD37" s="521"/>
      <c r="AE37" s="521"/>
      <c r="AF37" s="521"/>
    </row>
    <row r="38" customFormat="false" ht="23.25" hidden="false" customHeight="true" outlineLevel="0" collapsed="false">
      <c r="A38" s="521"/>
      <c r="B38" s="521"/>
      <c r="C38" s="602" t="n">
        <v>0</v>
      </c>
      <c r="D38" s="553" t="n">
        <v>0.02</v>
      </c>
      <c r="E38" s="553" t="n">
        <v>0.07</v>
      </c>
      <c r="F38" s="553" t="n">
        <v>0.15</v>
      </c>
      <c r="G38" s="553"/>
      <c r="H38" s="553"/>
      <c r="I38" s="556"/>
      <c r="J38" s="539"/>
      <c r="K38" s="539"/>
      <c r="L38" s="584"/>
      <c r="M38" s="521"/>
      <c r="N38" s="521"/>
      <c r="O38" s="521"/>
      <c r="P38" s="521"/>
      <c r="Q38" s="521"/>
      <c r="R38" s="521"/>
      <c r="S38" s="521"/>
      <c r="T38" s="521"/>
      <c r="U38" s="521"/>
      <c r="V38" s="521"/>
      <c r="W38" s="521"/>
      <c r="X38" s="521"/>
      <c r="Y38" s="521"/>
      <c r="Z38" s="521"/>
      <c r="AA38" s="521"/>
      <c r="AB38" s="521"/>
      <c r="AC38" s="521"/>
      <c r="AD38" s="521"/>
      <c r="AE38" s="521"/>
      <c r="AF38" s="521"/>
    </row>
    <row r="39" customFormat="false" ht="23.25" hidden="false" customHeight="true" outlineLevel="0" collapsed="false">
      <c r="A39" s="521"/>
      <c r="B39" s="521"/>
      <c r="C39" s="558" t="s">
        <v>62</v>
      </c>
      <c r="D39" s="559" t="s">
        <v>54</v>
      </c>
      <c r="E39" s="559" t="s">
        <v>62</v>
      </c>
      <c r="F39" s="559" t="s">
        <v>169</v>
      </c>
      <c r="G39" s="559"/>
      <c r="H39" s="559"/>
      <c r="I39" s="561"/>
      <c r="J39" s="562" t="s">
        <v>32</v>
      </c>
      <c r="K39" s="539"/>
      <c r="L39" s="584"/>
      <c r="M39" s="521"/>
      <c r="N39" s="521"/>
      <c r="O39" s="521"/>
      <c r="P39" s="521"/>
      <c r="Q39" s="521"/>
      <c r="R39" s="521"/>
      <c r="S39" s="521"/>
      <c r="T39" s="521"/>
      <c r="U39" s="521"/>
      <c r="V39" s="521"/>
      <c r="W39" s="521"/>
      <c r="X39" s="521"/>
      <c r="Y39" s="521"/>
      <c r="Z39" s="521"/>
      <c r="AA39" s="521"/>
      <c r="AB39" s="521"/>
      <c r="AC39" s="521"/>
      <c r="AD39" s="521"/>
      <c r="AE39" s="521"/>
      <c r="AF39" s="521"/>
    </row>
    <row r="40" customFormat="false" ht="23.25" hidden="false" customHeight="true" outlineLevel="0" collapsed="false">
      <c r="A40" s="521"/>
      <c r="B40" s="521"/>
      <c r="C40" s="618" t="s">
        <v>210</v>
      </c>
      <c r="D40" s="605" t="s">
        <v>210</v>
      </c>
      <c r="E40" s="605" t="s">
        <v>210</v>
      </c>
      <c r="F40" s="605" t="s">
        <v>210</v>
      </c>
      <c r="G40" s="605"/>
      <c r="H40" s="605"/>
      <c r="I40" s="583"/>
      <c r="J40" s="567" t="n">
        <f aca="false" t="array" ref="J40:J40">SUM(IF(ISNUMBER(B40:I40), B40:I40, 0))</f>
        <v>0</v>
      </c>
      <c r="K40" s="539"/>
      <c r="L40" s="593" t="s">
        <v>22</v>
      </c>
      <c r="M40" s="521"/>
      <c r="N40" s="521"/>
      <c r="O40" s="521"/>
      <c r="P40" s="521"/>
      <c r="Q40" s="521"/>
      <c r="R40" s="521"/>
      <c r="S40" s="521"/>
      <c r="T40" s="521"/>
      <c r="U40" s="521"/>
      <c r="V40" s="521"/>
      <c r="W40" s="521"/>
      <c r="X40" s="521"/>
      <c r="Y40" s="521"/>
      <c r="Z40" s="521"/>
      <c r="AA40" s="521"/>
      <c r="AB40" s="521"/>
      <c r="AC40" s="521"/>
      <c r="AD40" s="521"/>
      <c r="AE40" s="521"/>
      <c r="AF40" s="521"/>
    </row>
    <row r="41" customFormat="false" ht="23.25" hidden="false" customHeight="true" outlineLevel="0" collapsed="false">
      <c r="A41" s="521"/>
      <c r="B41" s="521"/>
      <c r="C41" s="564"/>
      <c r="D41" s="565"/>
      <c r="E41" s="565"/>
      <c r="F41" s="565"/>
      <c r="G41" s="565"/>
      <c r="H41" s="565"/>
      <c r="I41" s="530"/>
      <c r="J41" s="567" t="n">
        <f aca="false" t="array" ref="J41:J41">SUM(IF(ISNUMBER(B41:I41), B41:I41, 0))</f>
        <v>0</v>
      </c>
      <c r="K41" s="539"/>
      <c r="L41" s="593" t="s">
        <v>24</v>
      </c>
      <c r="M41" s="521"/>
      <c r="N41" s="521"/>
      <c r="O41" s="521"/>
      <c r="P41" s="521"/>
      <c r="Q41" s="521"/>
      <c r="R41" s="521"/>
      <c r="S41" s="521"/>
      <c r="T41" s="521"/>
      <c r="U41" s="521"/>
      <c r="V41" s="521"/>
      <c r="W41" s="521"/>
      <c r="X41" s="521"/>
      <c r="Y41" s="521"/>
      <c r="Z41" s="521"/>
      <c r="AA41" s="521"/>
      <c r="AB41" s="521"/>
      <c r="AC41" s="521"/>
      <c r="AD41" s="521"/>
      <c r="AE41" s="521"/>
      <c r="AF41" s="521"/>
    </row>
    <row r="42" customFormat="false" ht="23.25" hidden="false" customHeight="true" outlineLevel="0" collapsed="false">
      <c r="A42" s="521"/>
      <c r="B42" s="521"/>
      <c r="C42" s="564"/>
      <c r="D42" s="565"/>
      <c r="E42" s="565"/>
      <c r="F42" s="565"/>
      <c r="G42" s="565"/>
      <c r="H42" s="565"/>
      <c r="I42" s="530"/>
      <c r="J42" s="570" t="n">
        <f aca="false" t="array" ref="J42:J42">SUM(IF(ISNUMBER(B42:I42), B42:I42, 0))</f>
        <v>0</v>
      </c>
      <c r="K42" s="539"/>
      <c r="L42" s="593" t="s">
        <v>26</v>
      </c>
      <c r="M42" s="521"/>
      <c r="N42" s="521"/>
      <c r="O42" s="521"/>
      <c r="P42" s="521"/>
      <c r="Q42" s="521"/>
      <c r="R42" s="521"/>
      <c r="S42" s="521"/>
      <c r="T42" s="521"/>
      <c r="U42" s="521"/>
      <c r="V42" s="521"/>
      <c r="W42" s="521"/>
      <c r="X42" s="521"/>
      <c r="Y42" s="521"/>
      <c r="Z42" s="521"/>
      <c r="AA42" s="521"/>
      <c r="AB42" s="521"/>
      <c r="AC42" s="521"/>
      <c r="AD42" s="521"/>
      <c r="AE42" s="521"/>
      <c r="AF42" s="521"/>
    </row>
    <row r="43" customFormat="false" ht="23.25" hidden="false" customHeight="true" outlineLevel="0" collapsed="false">
      <c r="A43" s="521"/>
      <c r="B43" s="521"/>
      <c r="C43" s="619" t="s">
        <v>241</v>
      </c>
      <c r="D43" s="576" t="s">
        <v>242</v>
      </c>
      <c r="E43" s="610" t="s">
        <v>243</v>
      </c>
      <c r="F43" s="573" t="s">
        <v>244</v>
      </c>
      <c r="G43" s="573" t="s">
        <v>4</v>
      </c>
      <c r="H43" s="573" t="s">
        <v>4</v>
      </c>
      <c r="I43" s="611" t="s">
        <v>4</v>
      </c>
      <c r="J43" s="570" t="n">
        <v>29.55</v>
      </c>
      <c r="K43" s="539"/>
      <c r="L43" s="568" t="s">
        <v>28</v>
      </c>
      <c r="M43" s="521"/>
      <c r="N43" s="521"/>
      <c r="O43" s="521"/>
      <c r="P43" s="521"/>
      <c r="Q43" s="521"/>
      <c r="R43" s="521"/>
      <c r="S43" s="521"/>
      <c r="T43" s="521"/>
      <c r="U43" s="521"/>
      <c r="V43" s="521"/>
      <c r="W43" s="521"/>
      <c r="X43" s="521"/>
      <c r="Y43" s="521"/>
      <c r="Z43" s="521"/>
      <c r="AA43" s="521"/>
      <c r="AB43" s="521"/>
      <c r="AC43" s="521"/>
      <c r="AD43" s="521"/>
      <c r="AE43" s="521"/>
      <c r="AF43" s="521"/>
    </row>
    <row r="44" customFormat="false" ht="23.25" hidden="false" customHeight="true" outlineLevel="0" collapsed="false">
      <c r="A44" s="521"/>
      <c r="B44" s="521"/>
      <c r="C44" s="543"/>
      <c r="D44" s="620"/>
      <c r="E44" s="612"/>
      <c r="F44" s="539"/>
      <c r="G44" s="539"/>
      <c r="H44" s="539"/>
      <c r="I44" s="539"/>
      <c r="J44" s="539"/>
      <c r="K44" s="539"/>
      <c r="L44" s="563"/>
      <c r="M44" s="521"/>
      <c r="N44" s="521"/>
      <c r="O44" s="521"/>
      <c r="P44" s="521"/>
      <c r="Q44" s="521"/>
      <c r="R44" s="521"/>
      <c r="S44" s="521"/>
      <c r="T44" s="521"/>
      <c r="U44" s="521"/>
      <c r="V44" s="521"/>
      <c r="W44" s="521"/>
      <c r="X44" s="521"/>
      <c r="Y44" s="521"/>
      <c r="Z44" s="521"/>
      <c r="AA44" s="521"/>
      <c r="AB44" s="521"/>
      <c r="AC44" s="521"/>
      <c r="AD44" s="521"/>
      <c r="AE44" s="521"/>
      <c r="AF44" s="521"/>
    </row>
    <row r="45" customFormat="false" ht="23.25" hidden="false" customHeight="true" outlineLevel="0" collapsed="false">
      <c r="A45" s="521"/>
      <c r="B45" s="521"/>
      <c r="C45" s="558"/>
      <c r="D45" s="601"/>
      <c r="E45" s="583"/>
      <c r="F45" s="539"/>
      <c r="G45" s="539"/>
      <c r="H45" s="539"/>
      <c r="I45" s="539"/>
      <c r="J45" s="539"/>
      <c r="K45" s="539"/>
      <c r="L45" s="521"/>
      <c r="M45" s="521"/>
      <c r="N45" s="521"/>
      <c r="O45" s="521"/>
      <c r="P45" s="521"/>
      <c r="Q45" s="521"/>
      <c r="R45" s="521"/>
      <c r="S45" s="521"/>
      <c r="T45" s="521"/>
      <c r="U45" s="521"/>
      <c r="V45" s="521"/>
      <c r="W45" s="521"/>
      <c r="X45" s="521"/>
      <c r="Y45" s="521"/>
      <c r="Z45" s="521"/>
      <c r="AA45" s="521"/>
      <c r="AB45" s="521"/>
      <c r="AC45" s="521"/>
      <c r="AD45" s="521"/>
      <c r="AE45" s="521"/>
      <c r="AF45" s="521"/>
    </row>
    <row r="46" customFormat="false" ht="23.25" hidden="false" customHeight="true" outlineLevel="0" collapsed="false">
      <c r="A46" s="521"/>
      <c r="B46" s="521"/>
      <c r="C46" s="621"/>
      <c r="D46" s="622"/>
      <c r="E46" s="539"/>
      <c r="F46" s="539"/>
      <c r="G46" s="539"/>
      <c r="H46" s="539"/>
      <c r="I46" s="539"/>
      <c r="J46" s="539"/>
      <c r="K46" s="539"/>
      <c r="L46" s="521"/>
      <c r="M46" s="521"/>
      <c r="N46" s="521"/>
      <c r="O46" s="521"/>
      <c r="P46" s="521"/>
      <c r="Q46" s="521"/>
      <c r="R46" s="521"/>
      <c r="S46" s="521"/>
      <c r="T46" s="521"/>
      <c r="U46" s="521"/>
      <c r="V46" s="521"/>
      <c r="W46" s="521"/>
      <c r="X46" s="521"/>
      <c r="Y46" s="521"/>
      <c r="Z46" s="521"/>
      <c r="AA46" s="521"/>
      <c r="AB46" s="521"/>
      <c r="AC46" s="521"/>
      <c r="AD46" s="521"/>
      <c r="AE46" s="521"/>
      <c r="AF46" s="521"/>
    </row>
    <row r="47" customFormat="false" ht="23.25" hidden="false" customHeight="true" outlineLevel="0" collapsed="false">
      <c r="A47" s="521"/>
      <c r="B47" s="521"/>
      <c r="C47" s="558"/>
      <c r="D47" s="601"/>
      <c r="E47" s="539"/>
      <c r="G47" s="539"/>
      <c r="H47" s="539"/>
      <c r="I47" s="539"/>
      <c r="J47" s="562" t="s">
        <v>33</v>
      </c>
      <c r="K47" s="623"/>
      <c r="L47" s="521"/>
      <c r="M47" s="521"/>
      <c r="N47" s="521"/>
      <c r="O47" s="521"/>
      <c r="P47" s="521"/>
      <c r="Q47" s="521"/>
      <c r="R47" s="521"/>
      <c r="S47" s="521"/>
      <c r="T47" s="521"/>
      <c r="U47" s="521"/>
      <c r="V47" s="521"/>
      <c r="W47" s="521"/>
      <c r="X47" s="521"/>
      <c r="Y47" s="521"/>
      <c r="Z47" s="521"/>
      <c r="AA47" s="521"/>
      <c r="AB47" s="521"/>
      <c r="AC47" s="521"/>
      <c r="AD47" s="521"/>
      <c r="AE47" s="521"/>
      <c r="AF47" s="521"/>
    </row>
    <row r="48" customFormat="false" ht="23.25" hidden="false" customHeight="true" outlineLevel="0" collapsed="false">
      <c r="A48" s="521"/>
      <c r="B48" s="521"/>
      <c r="C48" s="618"/>
      <c r="D48" s="622"/>
      <c r="E48" s="539"/>
      <c r="G48" s="539"/>
      <c r="H48" s="539"/>
      <c r="I48" s="539"/>
      <c r="J48" s="567" t="n">
        <f aca="false" t="array" ref="J48:J48">SUM(IF(ISNUMBER(B48:D48), B48:D48, 0))</f>
        <v>0</v>
      </c>
      <c r="L48" s="593" t="s">
        <v>22</v>
      </c>
      <c r="M48" s="521"/>
      <c r="N48" s="521"/>
      <c r="O48" s="521"/>
      <c r="P48" s="521"/>
      <c r="Q48" s="521"/>
      <c r="R48" s="521"/>
      <c r="S48" s="521"/>
      <c r="T48" s="521"/>
      <c r="U48" s="521"/>
      <c r="V48" s="521"/>
      <c r="W48" s="521"/>
      <c r="X48" s="521"/>
      <c r="Y48" s="521"/>
      <c r="Z48" s="521"/>
      <c r="AA48" s="521"/>
      <c r="AB48" s="521"/>
      <c r="AC48" s="521"/>
      <c r="AD48" s="521"/>
      <c r="AE48" s="521"/>
      <c r="AF48" s="521"/>
    </row>
    <row r="49" customFormat="false" ht="23.25" hidden="false" customHeight="true" outlineLevel="0" collapsed="false">
      <c r="A49" s="521"/>
      <c r="B49" s="521"/>
      <c r="C49" s="564"/>
      <c r="D49" s="622"/>
      <c r="E49" s="539"/>
      <c r="G49" s="539"/>
      <c r="H49" s="539"/>
      <c r="I49" s="539"/>
      <c r="J49" s="567" t="n">
        <f aca="false" t="array" ref="J49:J49">SUM(IF(ISNUMBER(B49:D49), B49:D49, 0))</f>
        <v>0</v>
      </c>
      <c r="L49" s="593" t="s">
        <v>24</v>
      </c>
      <c r="M49" s="521"/>
      <c r="N49" s="521"/>
      <c r="O49" s="521"/>
      <c r="P49" s="521"/>
      <c r="Q49" s="521"/>
      <c r="R49" s="521"/>
      <c r="S49" s="521"/>
      <c r="T49" s="521"/>
      <c r="U49" s="521"/>
      <c r="V49" s="521"/>
      <c r="W49" s="521"/>
      <c r="X49" s="521"/>
      <c r="Y49" s="521"/>
      <c r="Z49" s="521"/>
      <c r="AA49" s="521"/>
      <c r="AB49" s="521"/>
      <c r="AC49" s="521"/>
      <c r="AD49" s="521"/>
      <c r="AE49" s="521"/>
      <c r="AF49" s="521"/>
    </row>
    <row r="50" customFormat="false" ht="23.25" hidden="false" customHeight="true" outlineLevel="0" collapsed="false">
      <c r="A50" s="521"/>
      <c r="B50" s="521"/>
      <c r="C50" s="564"/>
      <c r="D50" s="622"/>
      <c r="E50" s="539"/>
      <c r="G50" s="539"/>
      <c r="H50" s="539"/>
      <c r="I50" s="539"/>
      <c r="J50" s="570" t="n">
        <f aca="false" t="array" ref="J50:J50">SUM(IF(ISNUMBER(B50:D50), B50:D50, 0))</f>
        <v>0</v>
      </c>
      <c r="L50" s="593" t="s">
        <v>26</v>
      </c>
      <c r="M50" s="521"/>
      <c r="N50" s="521"/>
      <c r="O50" s="521"/>
      <c r="P50" s="521"/>
      <c r="Q50" s="521"/>
      <c r="R50" s="521"/>
      <c r="S50" s="521"/>
      <c r="T50" s="521"/>
      <c r="U50" s="521"/>
      <c r="V50" s="521"/>
      <c r="W50" s="521"/>
      <c r="X50" s="521"/>
      <c r="Y50" s="521"/>
      <c r="Z50" s="521"/>
      <c r="AA50" s="521"/>
      <c r="AB50" s="521"/>
      <c r="AC50" s="521"/>
      <c r="AD50" s="521"/>
      <c r="AE50" s="521"/>
      <c r="AF50" s="521"/>
    </row>
    <row r="51" customFormat="false" ht="23.25" hidden="false" customHeight="true" outlineLevel="0" collapsed="false">
      <c r="A51" s="521"/>
      <c r="B51" s="521"/>
      <c r="C51" s="594"/>
      <c r="D51" s="611"/>
      <c r="G51" s="539"/>
      <c r="H51" s="539"/>
      <c r="I51" s="539"/>
      <c r="J51" s="570"/>
      <c r="L51" s="568" t="s">
        <v>28</v>
      </c>
      <c r="M51" s="521"/>
      <c r="N51" s="521"/>
      <c r="O51" s="521"/>
      <c r="P51" s="521"/>
      <c r="Q51" s="521"/>
      <c r="R51" s="521"/>
      <c r="S51" s="521"/>
      <c r="T51" s="521"/>
      <c r="U51" s="521"/>
      <c r="V51" s="521"/>
      <c r="W51" s="521"/>
      <c r="X51" s="521"/>
      <c r="Y51" s="521"/>
      <c r="Z51" s="521"/>
      <c r="AA51" s="521"/>
      <c r="AB51" s="521"/>
      <c r="AC51" s="521"/>
      <c r="AD51" s="521"/>
      <c r="AE51" s="521"/>
      <c r="AF51" s="521"/>
    </row>
    <row r="52" customFormat="false" ht="23.25" hidden="false" customHeight="true" outlineLevel="0" collapsed="false">
      <c r="A52" s="521"/>
      <c r="B52" s="521"/>
      <c r="C52" s="539"/>
      <c r="D52" s="539"/>
      <c r="E52" s="539"/>
      <c r="F52" s="539"/>
      <c r="G52" s="539"/>
      <c r="H52" s="539"/>
      <c r="I52" s="539"/>
      <c r="J52" s="539"/>
      <c r="K52" s="539"/>
      <c r="L52" s="521"/>
      <c r="M52" s="521"/>
      <c r="N52" s="521"/>
      <c r="O52" s="521"/>
      <c r="P52" s="521"/>
      <c r="Q52" s="521"/>
      <c r="R52" s="521"/>
      <c r="S52" s="521"/>
      <c r="T52" s="521"/>
      <c r="U52" s="521"/>
      <c r="V52" s="521"/>
      <c r="W52" s="521"/>
      <c r="X52" s="521"/>
      <c r="Y52" s="521"/>
      <c r="Z52" s="521"/>
      <c r="AA52" s="521"/>
      <c r="AB52" s="521"/>
      <c r="AC52" s="521"/>
      <c r="AD52" s="521"/>
      <c r="AE52" s="521"/>
      <c r="AF52" s="521"/>
    </row>
    <row r="53" customFormat="false" ht="22.5" hidden="false" customHeight="true" outlineLevel="0" collapsed="false">
      <c r="A53" s="521"/>
      <c r="B53" s="521"/>
      <c r="C53" s="521"/>
      <c r="D53" s="521"/>
      <c r="E53" s="521"/>
      <c r="F53" s="521"/>
      <c r="G53" s="521"/>
      <c r="H53" s="521"/>
      <c r="I53" s="521"/>
      <c r="J53" s="521"/>
      <c r="K53" s="521"/>
      <c r="L53" s="521"/>
      <c r="M53" s="521"/>
      <c r="N53" s="521"/>
      <c r="O53" s="521"/>
      <c r="P53" s="521"/>
      <c r="Q53" s="521"/>
      <c r="R53" s="521"/>
      <c r="S53" s="521"/>
      <c r="T53" s="521"/>
      <c r="U53" s="521"/>
      <c r="V53" s="521"/>
      <c r="W53" s="521"/>
      <c r="X53" s="521"/>
      <c r="Y53" s="521"/>
      <c r="Z53" s="521"/>
      <c r="AA53" s="521"/>
      <c r="AB53" s="521"/>
      <c r="AC53" s="521"/>
      <c r="AD53" s="521"/>
      <c r="AE53" s="521"/>
      <c r="AF53" s="521"/>
    </row>
    <row r="54" customFormat="false" ht="16.5" hidden="false" customHeight="false" outlineLevel="0" collapsed="false">
      <c r="A54" s="521"/>
      <c r="B54" s="521"/>
      <c r="C54" s="521"/>
      <c r="D54" s="521"/>
      <c r="E54" s="521"/>
      <c r="F54" s="521"/>
      <c r="G54" s="521"/>
      <c r="H54" s="521"/>
      <c r="I54" s="521"/>
      <c r="J54" s="521"/>
      <c r="K54" s="521"/>
      <c r="L54" s="521"/>
      <c r="M54" s="521"/>
      <c r="N54" s="521"/>
      <c r="O54" s="521"/>
      <c r="P54" s="521"/>
      <c r="Q54" s="521"/>
      <c r="R54" s="521"/>
      <c r="S54" s="521"/>
      <c r="T54" s="521"/>
      <c r="U54" s="521"/>
      <c r="V54" s="521"/>
      <c r="W54" s="521"/>
      <c r="X54" s="521"/>
      <c r="Y54" s="521"/>
      <c r="Z54" s="521"/>
      <c r="AA54" s="521"/>
      <c r="AB54" s="521"/>
      <c r="AC54" s="521"/>
      <c r="AD54" s="521"/>
      <c r="AE54" s="521"/>
      <c r="AF54" s="521"/>
    </row>
    <row r="55" customFormat="false" ht="16.5" hidden="false" customHeight="false" outlineLevel="0" collapsed="false">
      <c r="A55" s="521"/>
      <c r="B55" s="521"/>
      <c r="C55" s="521"/>
      <c r="D55" s="521"/>
      <c r="E55" s="521"/>
      <c r="F55" s="521"/>
      <c r="G55" s="521"/>
      <c r="H55" s="521"/>
      <c r="I55" s="521"/>
      <c r="J55" s="521"/>
      <c r="K55" s="521"/>
      <c r="L55" s="521"/>
      <c r="M55" s="521"/>
      <c r="N55" s="521"/>
      <c r="O55" s="521"/>
      <c r="P55" s="521"/>
      <c r="Q55" s="521"/>
      <c r="R55" s="521"/>
      <c r="S55" s="521"/>
      <c r="T55" s="521"/>
      <c r="U55" s="521"/>
      <c r="V55" s="521"/>
      <c r="W55" s="521"/>
      <c r="X55" s="521"/>
      <c r="Y55" s="521"/>
      <c r="Z55" s="521"/>
      <c r="AA55" s="521"/>
      <c r="AB55" s="521"/>
      <c r="AC55" s="521"/>
      <c r="AD55" s="521"/>
      <c r="AE55" s="521"/>
      <c r="AF55" s="521"/>
    </row>
    <row r="56" customFormat="false" ht="16.5" hidden="false" customHeight="false" outlineLevel="0" collapsed="false">
      <c r="A56" s="521"/>
      <c r="B56" s="521"/>
      <c r="C56" s="521"/>
      <c r="D56" s="521"/>
      <c r="E56" s="521"/>
      <c r="F56" s="521"/>
      <c r="G56" s="521"/>
      <c r="H56" s="521"/>
      <c r="I56" s="521"/>
      <c r="J56" s="521"/>
      <c r="K56" s="521"/>
      <c r="L56" s="521"/>
      <c r="M56" s="521"/>
      <c r="N56" s="521"/>
      <c r="O56" s="521"/>
      <c r="P56" s="521"/>
      <c r="Q56" s="521"/>
      <c r="R56" s="521"/>
      <c r="S56" s="521"/>
      <c r="T56" s="521"/>
      <c r="U56" s="521"/>
      <c r="V56" s="521"/>
      <c r="W56" s="521"/>
      <c r="X56" s="521"/>
      <c r="Y56" s="521"/>
      <c r="Z56" s="521"/>
      <c r="AA56" s="521"/>
      <c r="AB56" s="521"/>
      <c r="AC56" s="521"/>
      <c r="AD56" s="521"/>
      <c r="AE56" s="521"/>
      <c r="AF56" s="521"/>
    </row>
    <row r="57" customFormat="false" ht="16.5" hidden="false" customHeight="false" outlineLevel="0" collapsed="false">
      <c r="A57" s="521"/>
      <c r="B57" s="521"/>
      <c r="C57" s="521"/>
      <c r="D57" s="521"/>
      <c r="E57" s="521"/>
      <c r="F57" s="521"/>
      <c r="G57" s="521"/>
      <c r="H57" s="521"/>
      <c r="I57" s="521"/>
      <c r="J57" s="521"/>
      <c r="K57" s="521"/>
      <c r="L57" s="521"/>
      <c r="M57" s="521"/>
      <c r="N57" s="521"/>
      <c r="O57" s="521"/>
      <c r="P57" s="521"/>
      <c r="Q57" s="521"/>
      <c r="R57" s="521"/>
      <c r="S57" s="521"/>
      <c r="T57" s="521"/>
      <c r="U57" s="521"/>
      <c r="V57" s="521"/>
      <c r="W57" s="521"/>
      <c r="X57" s="521"/>
      <c r="Y57" s="521"/>
      <c r="Z57" s="521"/>
      <c r="AA57" s="521"/>
      <c r="AB57" s="521"/>
      <c r="AC57" s="521"/>
      <c r="AD57" s="521"/>
      <c r="AE57" s="521"/>
      <c r="AF57" s="521"/>
    </row>
    <row r="58" customFormat="false" ht="16.5" hidden="false" customHeight="false" outlineLevel="0" collapsed="false">
      <c r="A58" s="521"/>
      <c r="B58" s="521"/>
      <c r="C58" s="521"/>
      <c r="D58" s="521"/>
      <c r="E58" s="521"/>
      <c r="F58" s="521"/>
      <c r="G58" s="521"/>
      <c r="H58" s="521"/>
      <c r="I58" s="521"/>
      <c r="J58" s="521"/>
      <c r="K58" s="521"/>
      <c r="L58" s="521"/>
      <c r="M58" s="521"/>
      <c r="N58" s="521"/>
      <c r="O58" s="521"/>
      <c r="P58" s="521"/>
      <c r="Q58" s="521"/>
      <c r="R58" s="521"/>
      <c r="S58" s="521"/>
      <c r="T58" s="521"/>
      <c r="U58" s="521"/>
      <c r="V58" s="521"/>
      <c r="W58" s="521"/>
      <c r="X58" s="521"/>
      <c r="Y58" s="521"/>
      <c r="Z58" s="521"/>
      <c r="AA58" s="521"/>
      <c r="AB58" s="521"/>
      <c r="AC58" s="521"/>
      <c r="AD58" s="521"/>
      <c r="AE58" s="521"/>
      <c r="AF58" s="521"/>
    </row>
    <row r="59" customFormat="false" ht="16.5" hidden="false" customHeight="false" outlineLevel="0" collapsed="false">
      <c r="A59" s="521"/>
      <c r="B59" s="521"/>
      <c r="C59" s="521"/>
      <c r="D59" s="521"/>
      <c r="E59" s="521"/>
      <c r="F59" s="521"/>
      <c r="G59" s="521"/>
      <c r="H59" s="521"/>
      <c r="I59" s="521"/>
      <c r="J59" s="521"/>
      <c r="K59" s="521"/>
      <c r="L59" s="521"/>
      <c r="M59" s="521"/>
      <c r="N59" s="521"/>
      <c r="O59" s="521"/>
      <c r="P59" s="521"/>
      <c r="Q59" s="521"/>
      <c r="R59" s="521"/>
      <c r="S59" s="521"/>
      <c r="T59" s="521"/>
      <c r="U59" s="521"/>
      <c r="V59" s="521"/>
      <c r="W59" s="521"/>
      <c r="X59" s="521"/>
      <c r="Y59" s="521"/>
      <c r="Z59" s="521"/>
      <c r="AA59" s="521"/>
      <c r="AB59" s="521"/>
      <c r="AC59" s="521"/>
      <c r="AD59" s="521"/>
      <c r="AE59" s="521"/>
      <c r="AF59" s="521"/>
    </row>
    <row r="60" customFormat="false" ht="16.5" hidden="false" customHeight="false" outlineLevel="0" collapsed="false">
      <c r="A60" s="521"/>
      <c r="B60" s="521"/>
      <c r="C60" s="521"/>
      <c r="D60" s="521"/>
      <c r="E60" s="521"/>
      <c r="F60" s="521"/>
      <c r="G60" s="521"/>
      <c r="H60" s="521"/>
      <c r="I60" s="521"/>
      <c r="J60" s="521"/>
      <c r="K60" s="521"/>
      <c r="L60" s="521"/>
      <c r="M60" s="521"/>
      <c r="N60" s="521"/>
      <c r="O60" s="521"/>
      <c r="P60" s="521"/>
      <c r="Q60" s="521"/>
      <c r="R60" s="521"/>
      <c r="S60" s="521"/>
      <c r="T60" s="521"/>
      <c r="U60" s="521"/>
      <c r="V60" s="521"/>
      <c r="W60" s="521"/>
      <c r="X60" s="521"/>
      <c r="Y60" s="521"/>
      <c r="Z60" s="521"/>
      <c r="AA60" s="521"/>
      <c r="AB60" s="521"/>
      <c r="AC60" s="521"/>
      <c r="AD60" s="521"/>
      <c r="AE60" s="521"/>
      <c r="AF60" s="521"/>
    </row>
    <row r="61" customFormat="false" ht="16.5" hidden="false" customHeight="false" outlineLevel="0" collapsed="false">
      <c r="A61" s="521"/>
      <c r="B61" s="521"/>
      <c r="C61" s="521"/>
      <c r="D61" s="521"/>
      <c r="E61" s="521"/>
      <c r="F61" s="521"/>
      <c r="G61" s="521"/>
      <c r="H61" s="521"/>
      <c r="I61" s="521"/>
      <c r="J61" s="521"/>
      <c r="K61" s="521"/>
      <c r="L61" s="521"/>
      <c r="M61" s="521"/>
      <c r="N61" s="521"/>
      <c r="O61" s="521"/>
      <c r="P61" s="521"/>
      <c r="Q61" s="521"/>
      <c r="R61" s="521"/>
      <c r="S61" s="521"/>
      <c r="T61" s="521"/>
      <c r="U61" s="521"/>
      <c r="V61" s="521"/>
      <c r="W61" s="521"/>
      <c r="X61" s="521"/>
      <c r="Y61" s="521"/>
      <c r="Z61" s="521"/>
      <c r="AA61" s="521"/>
      <c r="AB61" s="521"/>
      <c r="AC61" s="521"/>
      <c r="AD61" s="521"/>
      <c r="AE61" s="521"/>
      <c r="AF61" s="521"/>
    </row>
    <row r="62" customFormat="false" ht="16.5" hidden="false" customHeight="false" outlineLevel="0" collapsed="false">
      <c r="A62" s="521"/>
      <c r="B62" s="521"/>
      <c r="C62" s="521"/>
      <c r="D62" s="521"/>
      <c r="E62" s="521"/>
      <c r="F62" s="521"/>
      <c r="G62" s="521"/>
      <c r="H62" s="521"/>
      <c r="I62" s="521"/>
      <c r="J62" s="521"/>
      <c r="K62" s="521"/>
      <c r="L62" s="521"/>
      <c r="M62" s="521"/>
      <c r="N62" s="521"/>
      <c r="O62" s="521"/>
      <c r="P62" s="521"/>
      <c r="Q62" s="521"/>
      <c r="R62" s="521"/>
      <c r="S62" s="521"/>
      <c r="T62" s="521"/>
      <c r="U62" s="521"/>
      <c r="V62" s="521"/>
      <c r="W62" s="521"/>
      <c r="X62" s="521"/>
      <c r="Y62" s="521"/>
      <c r="Z62" s="521"/>
      <c r="AA62" s="521"/>
      <c r="AB62" s="521"/>
      <c r="AC62" s="521"/>
      <c r="AD62" s="521"/>
      <c r="AE62" s="521"/>
      <c r="AF62" s="521"/>
    </row>
    <row r="63" customFormat="false" ht="16.5" hidden="false" customHeight="false" outlineLevel="0" collapsed="false">
      <c r="A63" s="521"/>
      <c r="B63" s="521"/>
      <c r="C63" s="521"/>
      <c r="D63" s="521"/>
      <c r="E63" s="521"/>
      <c r="F63" s="521"/>
      <c r="G63" s="521"/>
      <c r="H63" s="521"/>
      <c r="I63" s="521"/>
      <c r="J63" s="521"/>
      <c r="K63" s="521"/>
      <c r="L63" s="521"/>
      <c r="M63" s="521"/>
      <c r="N63" s="521"/>
      <c r="O63" s="521"/>
      <c r="P63" s="521"/>
      <c r="Q63" s="521"/>
      <c r="R63" s="521"/>
      <c r="S63" s="521"/>
      <c r="T63" s="521"/>
      <c r="U63" s="521"/>
      <c r="V63" s="521"/>
      <c r="W63" s="521"/>
      <c r="X63" s="521"/>
      <c r="Y63" s="521"/>
      <c r="Z63" s="521"/>
      <c r="AA63" s="521"/>
      <c r="AB63" s="521"/>
      <c r="AC63" s="521"/>
      <c r="AD63" s="521"/>
      <c r="AE63" s="521"/>
      <c r="AF63" s="521"/>
    </row>
    <row r="64" customFormat="false" ht="16.5" hidden="false" customHeight="false" outlineLevel="0" collapsed="false">
      <c r="A64" s="521"/>
      <c r="B64" s="521"/>
      <c r="C64" s="521"/>
      <c r="D64" s="521"/>
      <c r="E64" s="521"/>
      <c r="F64" s="521"/>
      <c r="G64" s="521"/>
      <c r="H64" s="521"/>
      <c r="I64" s="521"/>
      <c r="J64" s="521"/>
      <c r="K64" s="521"/>
      <c r="L64" s="521"/>
      <c r="M64" s="521"/>
      <c r="N64" s="521"/>
      <c r="O64" s="521"/>
      <c r="P64" s="521"/>
      <c r="Q64" s="521"/>
      <c r="R64" s="521"/>
      <c r="S64" s="521"/>
      <c r="T64" s="521"/>
      <c r="U64" s="521"/>
      <c r="V64" s="521"/>
      <c r="W64" s="521"/>
      <c r="X64" s="521"/>
      <c r="Y64" s="521"/>
      <c r="Z64" s="521"/>
      <c r="AA64" s="521"/>
      <c r="AB64" s="521"/>
      <c r="AC64" s="521"/>
      <c r="AD64" s="521"/>
      <c r="AE64" s="521"/>
      <c r="AF64" s="521"/>
    </row>
    <row r="65" customFormat="false" ht="16.5" hidden="false" customHeight="false" outlineLevel="0" collapsed="false">
      <c r="A65" s="521"/>
      <c r="B65" s="521"/>
      <c r="C65" s="521"/>
      <c r="D65" s="521"/>
      <c r="E65" s="521"/>
      <c r="F65" s="521"/>
      <c r="G65" s="521"/>
      <c r="H65" s="521"/>
      <c r="I65" s="521"/>
      <c r="J65" s="521"/>
      <c r="K65" s="521"/>
      <c r="L65" s="521"/>
      <c r="M65" s="521"/>
      <c r="N65" s="521"/>
      <c r="O65" s="521"/>
      <c r="P65" s="521"/>
      <c r="Q65" s="521"/>
      <c r="R65" s="521"/>
      <c r="S65" s="521"/>
      <c r="T65" s="521"/>
      <c r="U65" s="521"/>
      <c r="V65" s="521"/>
      <c r="W65" s="521"/>
      <c r="X65" s="521"/>
      <c r="Y65" s="521"/>
      <c r="Z65" s="521"/>
      <c r="AA65" s="521"/>
      <c r="AB65" s="521"/>
      <c r="AC65" s="521"/>
      <c r="AD65" s="521"/>
      <c r="AE65" s="521"/>
      <c r="AF65" s="521"/>
    </row>
    <row r="66" customFormat="false" ht="16.5" hidden="false" customHeight="false" outlineLevel="0" collapsed="false">
      <c r="A66" s="521"/>
      <c r="B66" s="521"/>
      <c r="C66" s="521"/>
      <c r="D66" s="521"/>
      <c r="E66" s="521"/>
      <c r="F66" s="521"/>
      <c r="G66" s="521"/>
      <c r="H66" s="521"/>
      <c r="I66" s="521"/>
      <c r="J66" s="521"/>
      <c r="K66" s="521"/>
      <c r="L66" s="521"/>
      <c r="M66" s="521"/>
      <c r="N66" s="521"/>
      <c r="O66" s="521"/>
      <c r="P66" s="521"/>
      <c r="Q66" s="521"/>
      <c r="R66" s="521"/>
      <c r="S66" s="521"/>
      <c r="T66" s="521"/>
      <c r="U66" s="521"/>
      <c r="V66" s="521"/>
      <c r="W66" s="521"/>
      <c r="X66" s="521"/>
      <c r="Y66" s="521"/>
      <c r="Z66" s="521"/>
      <c r="AA66" s="521"/>
      <c r="AB66" s="521"/>
      <c r="AC66" s="521"/>
      <c r="AD66" s="521"/>
      <c r="AE66" s="521"/>
      <c r="AF66" s="521"/>
    </row>
    <row r="67" customFormat="false" ht="16.5" hidden="false" customHeight="false" outlineLevel="0" collapsed="false">
      <c r="A67" s="521"/>
      <c r="B67" s="521"/>
      <c r="C67" s="521"/>
      <c r="D67" s="521"/>
      <c r="E67" s="521"/>
      <c r="F67" s="521"/>
      <c r="G67" s="521"/>
      <c r="H67" s="521"/>
      <c r="I67" s="521"/>
      <c r="J67" s="521"/>
      <c r="K67" s="521"/>
      <c r="L67" s="521"/>
      <c r="M67" s="521"/>
      <c r="N67" s="521"/>
      <c r="O67" s="521"/>
      <c r="P67" s="521"/>
      <c r="Q67" s="521"/>
      <c r="R67" s="521"/>
      <c r="S67" s="521"/>
      <c r="T67" s="521"/>
      <c r="U67" s="521"/>
      <c r="V67" s="521"/>
      <c r="W67" s="521"/>
      <c r="X67" s="521"/>
      <c r="Y67" s="521"/>
      <c r="Z67" s="521"/>
      <c r="AA67" s="521"/>
      <c r="AB67" s="521"/>
      <c r="AC67" s="521"/>
      <c r="AD67" s="521"/>
      <c r="AE67" s="521"/>
      <c r="AF67" s="521"/>
    </row>
    <row r="68" customFormat="false" ht="16.5" hidden="false" customHeight="false" outlineLevel="0" collapsed="false">
      <c r="A68" s="521"/>
      <c r="B68" s="521"/>
      <c r="C68" s="521"/>
      <c r="D68" s="521"/>
      <c r="E68" s="521"/>
      <c r="F68" s="521"/>
      <c r="G68" s="521"/>
      <c r="H68" s="521"/>
      <c r="I68" s="521"/>
      <c r="J68" s="521"/>
      <c r="K68" s="521"/>
      <c r="L68" s="521"/>
      <c r="M68" s="521"/>
      <c r="N68" s="521"/>
      <c r="O68" s="521"/>
      <c r="P68" s="521"/>
      <c r="Q68" s="521"/>
      <c r="R68" s="521"/>
      <c r="S68" s="521"/>
      <c r="T68" s="521"/>
      <c r="U68" s="521"/>
      <c r="V68" s="521"/>
      <c r="W68" s="521"/>
      <c r="X68" s="521"/>
      <c r="Y68" s="521"/>
      <c r="Z68" s="521"/>
      <c r="AA68" s="521"/>
      <c r="AB68" s="521"/>
      <c r="AC68" s="521"/>
      <c r="AD68" s="521"/>
      <c r="AE68" s="521"/>
      <c r="AF68" s="521"/>
    </row>
    <row r="69" customFormat="false" ht="16.5" hidden="false" customHeight="false" outlineLevel="0" collapsed="false">
      <c r="A69" s="521"/>
      <c r="B69" s="521"/>
      <c r="C69" s="521"/>
      <c r="D69" s="521"/>
      <c r="E69" s="521"/>
      <c r="F69" s="521"/>
      <c r="G69" s="521"/>
      <c r="H69" s="521"/>
      <c r="I69" s="521"/>
      <c r="J69" s="521"/>
      <c r="K69" s="521"/>
      <c r="L69" s="521"/>
      <c r="M69" s="521"/>
      <c r="N69" s="521"/>
      <c r="O69" s="521"/>
      <c r="P69" s="521"/>
      <c r="Q69" s="521"/>
      <c r="R69" s="521"/>
      <c r="S69" s="521"/>
      <c r="T69" s="521"/>
      <c r="U69" s="521"/>
      <c r="V69" s="521"/>
      <c r="W69" s="521"/>
      <c r="X69" s="521"/>
      <c r="Y69" s="521"/>
      <c r="Z69" s="521"/>
      <c r="AA69" s="521"/>
      <c r="AB69" s="521"/>
      <c r="AC69" s="521"/>
      <c r="AD69" s="521"/>
      <c r="AE69" s="521"/>
      <c r="AF69" s="521"/>
    </row>
    <row r="70" customFormat="false" ht="16.5" hidden="false" customHeight="false" outlineLevel="0" collapsed="false">
      <c r="A70" s="521"/>
      <c r="B70" s="521"/>
      <c r="C70" s="521"/>
      <c r="D70" s="521"/>
      <c r="E70" s="521"/>
      <c r="F70" s="521"/>
      <c r="G70" s="521"/>
      <c r="H70" s="521"/>
      <c r="I70" s="521"/>
      <c r="J70" s="521"/>
      <c r="K70" s="521"/>
      <c r="L70" s="521"/>
      <c r="M70" s="521"/>
      <c r="N70" s="521"/>
      <c r="O70" s="521"/>
      <c r="P70" s="521"/>
      <c r="Q70" s="521"/>
      <c r="R70" s="521"/>
      <c r="S70" s="521"/>
      <c r="T70" s="521"/>
      <c r="U70" s="521"/>
      <c r="V70" s="521"/>
      <c r="W70" s="521"/>
      <c r="X70" s="521"/>
      <c r="Y70" s="521"/>
      <c r="Z70" s="521"/>
      <c r="AA70" s="521"/>
      <c r="AB70" s="521"/>
      <c r="AC70" s="521"/>
      <c r="AD70" s="521"/>
      <c r="AE70" s="521"/>
      <c r="AF70" s="521"/>
    </row>
    <row r="71" customFormat="false" ht="16.5" hidden="false" customHeight="false" outlineLevel="0" collapsed="false">
      <c r="A71" s="521"/>
      <c r="B71" s="521"/>
      <c r="C71" s="521"/>
      <c r="D71" s="521"/>
      <c r="E71" s="521"/>
      <c r="F71" s="521"/>
      <c r="G71" s="521"/>
      <c r="H71" s="521"/>
      <c r="I71" s="521"/>
      <c r="J71" s="521"/>
      <c r="K71" s="521"/>
      <c r="L71" s="521"/>
      <c r="M71" s="521"/>
      <c r="N71" s="521"/>
      <c r="O71" s="521"/>
      <c r="P71" s="521"/>
      <c r="Q71" s="521"/>
      <c r="R71" s="521"/>
      <c r="S71" s="521"/>
      <c r="T71" s="521"/>
      <c r="U71" s="521"/>
      <c r="V71" s="521"/>
      <c r="W71" s="521"/>
      <c r="X71" s="521"/>
      <c r="Y71" s="521"/>
      <c r="Z71" s="521"/>
      <c r="AA71" s="521"/>
      <c r="AB71" s="521"/>
      <c r="AC71" s="521"/>
      <c r="AD71" s="521"/>
      <c r="AE71" s="521"/>
      <c r="AF71" s="521"/>
    </row>
    <row r="72" customFormat="false" ht="16.5" hidden="false" customHeight="false" outlineLevel="0" collapsed="false">
      <c r="A72" s="521"/>
      <c r="B72" s="521"/>
      <c r="C72" s="521"/>
      <c r="D72" s="521"/>
      <c r="E72" s="521"/>
      <c r="F72" s="521"/>
      <c r="G72" s="521"/>
      <c r="H72" s="521"/>
      <c r="I72" s="521"/>
      <c r="J72" s="521"/>
      <c r="K72" s="521"/>
      <c r="L72" s="521"/>
      <c r="M72" s="521"/>
      <c r="N72" s="521"/>
      <c r="O72" s="521"/>
      <c r="P72" s="521"/>
      <c r="Q72" s="521"/>
      <c r="R72" s="521"/>
      <c r="S72" s="521"/>
      <c r="T72" s="521"/>
      <c r="U72" s="521"/>
      <c r="V72" s="521"/>
      <c r="W72" s="521"/>
      <c r="X72" s="521"/>
      <c r="Y72" s="521"/>
      <c r="Z72" s="521"/>
      <c r="AA72" s="521"/>
      <c r="AB72" s="521"/>
      <c r="AC72" s="521"/>
      <c r="AD72" s="521"/>
      <c r="AE72" s="521"/>
      <c r="AF72" s="521"/>
    </row>
    <row r="73" customFormat="false" ht="16.5" hidden="false" customHeight="false" outlineLevel="0" collapsed="false">
      <c r="A73" s="521"/>
      <c r="B73" s="521"/>
      <c r="C73" s="521"/>
      <c r="D73" s="521"/>
      <c r="E73" s="521"/>
      <c r="F73" s="521"/>
      <c r="G73" s="521"/>
      <c r="H73" s="521"/>
      <c r="I73" s="521"/>
      <c r="J73" s="521"/>
      <c r="K73" s="521"/>
      <c r="L73" s="521"/>
      <c r="M73" s="521"/>
      <c r="N73" s="521"/>
      <c r="O73" s="521"/>
      <c r="P73" s="521"/>
      <c r="Q73" s="521"/>
      <c r="R73" s="521"/>
      <c r="S73" s="521"/>
      <c r="T73" s="521"/>
      <c r="U73" s="521"/>
      <c r="V73" s="521"/>
      <c r="W73" s="521"/>
      <c r="X73" s="521"/>
      <c r="Y73" s="521"/>
      <c r="Z73" s="521"/>
      <c r="AA73" s="521"/>
      <c r="AB73" s="521"/>
      <c r="AC73" s="521"/>
      <c r="AD73" s="521"/>
      <c r="AE73" s="521"/>
      <c r="AF73" s="521"/>
    </row>
    <row r="74" customFormat="false" ht="16.5" hidden="false" customHeight="false" outlineLevel="0" collapsed="false">
      <c r="A74" s="521"/>
      <c r="B74" s="521"/>
      <c r="C74" s="521"/>
      <c r="D74" s="521"/>
      <c r="E74" s="521"/>
      <c r="F74" s="521"/>
      <c r="G74" s="521"/>
      <c r="H74" s="521"/>
      <c r="I74" s="521"/>
      <c r="J74" s="521"/>
      <c r="K74" s="521"/>
      <c r="L74" s="521"/>
      <c r="M74" s="521"/>
      <c r="N74" s="521"/>
      <c r="O74" s="521"/>
      <c r="P74" s="521"/>
      <c r="Q74" s="521"/>
      <c r="R74" s="521"/>
      <c r="S74" s="521"/>
      <c r="T74" s="521"/>
      <c r="U74" s="521"/>
      <c r="V74" s="521"/>
      <c r="W74" s="521"/>
      <c r="X74" s="521"/>
      <c r="Y74" s="521"/>
      <c r="Z74" s="521"/>
      <c r="AA74" s="521"/>
      <c r="AB74" s="521"/>
      <c r="AC74" s="521"/>
      <c r="AD74" s="521"/>
      <c r="AE74" s="521"/>
      <c r="AF74" s="521"/>
    </row>
    <row r="75" customFormat="false" ht="16.5" hidden="false" customHeight="false" outlineLevel="0" collapsed="false">
      <c r="A75" s="521"/>
      <c r="B75" s="521"/>
      <c r="C75" s="521"/>
      <c r="D75" s="521"/>
      <c r="E75" s="521"/>
      <c r="F75" s="521"/>
      <c r="G75" s="521"/>
      <c r="H75" s="521"/>
      <c r="I75" s="521"/>
      <c r="J75" s="521"/>
      <c r="K75" s="521"/>
      <c r="L75" s="521"/>
      <c r="M75" s="521"/>
      <c r="N75" s="521"/>
      <c r="O75" s="521"/>
      <c r="P75" s="521"/>
      <c r="Q75" s="521"/>
      <c r="R75" s="521"/>
      <c r="S75" s="521"/>
      <c r="T75" s="521"/>
      <c r="U75" s="521"/>
      <c r="V75" s="521"/>
      <c r="W75" s="521"/>
      <c r="X75" s="521"/>
      <c r="Y75" s="521"/>
      <c r="Z75" s="521"/>
      <c r="AA75" s="521"/>
      <c r="AB75" s="521"/>
      <c r="AC75" s="521"/>
      <c r="AD75" s="521"/>
      <c r="AE75" s="521"/>
      <c r="AF75" s="521"/>
    </row>
    <row r="76" customFormat="false" ht="16.5" hidden="false" customHeight="false" outlineLevel="0" collapsed="false">
      <c r="A76" s="521"/>
      <c r="B76" s="521"/>
      <c r="C76" s="521"/>
      <c r="D76" s="521"/>
      <c r="E76" s="521"/>
      <c r="F76" s="521"/>
      <c r="G76" s="521"/>
      <c r="H76" s="521"/>
      <c r="I76" s="521"/>
      <c r="J76" s="521"/>
      <c r="K76" s="521"/>
      <c r="L76" s="521"/>
      <c r="M76" s="521"/>
      <c r="N76" s="521"/>
      <c r="O76" s="521"/>
      <c r="P76" s="521"/>
      <c r="Q76" s="521"/>
      <c r="R76" s="521"/>
      <c r="S76" s="521"/>
      <c r="T76" s="521"/>
      <c r="U76" s="521"/>
      <c r="V76" s="521"/>
      <c r="W76" s="521"/>
      <c r="X76" s="521"/>
      <c r="Y76" s="521"/>
      <c r="Z76" s="521"/>
      <c r="AA76" s="521"/>
      <c r="AB76" s="521"/>
      <c r="AC76" s="521"/>
      <c r="AD76" s="521"/>
      <c r="AE76" s="521"/>
      <c r="AF76" s="521"/>
    </row>
    <row r="77" customFormat="false" ht="16.5" hidden="false" customHeight="false" outlineLevel="0" collapsed="false">
      <c r="A77" s="521"/>
      <c r="B77" s="521"/>
      <c r="C77" s="521"/>
      <c r="D77" s="521"/>
      <c r="E77" s="521"/>
      <c r="F77" s="521"/>
      <c r="G77" s="521"/>
      <c r="H77" s="521"/>
      <c r="I77" s="521"/>
      <c r="J77" s="521"/>
      <c r="K77" s="521"/>
      <c r="L77" s="521"/>
      <c r="M77" s="521"/>
      <c r="N77" s="521"/>
      <c r="O77" s="521"/>
      <c r="P77" s="521"/>
      <c r="Q77" s="521"/>
      <c r="R77" s="521"/>
      <c r="S77" s="521"/>
      <c r="T77" s="521"/>
      <c r="U77" s="521"/>
      <c r="V77" s="521"/>
      <c r="W77" s="521"/>
      <c r="X77" s="521"/>
      <c r="Y77" s="521"/>
      <c r="Z77" s="521"/>
      <c r="AA77" s="521"/>
      <c r="AB77" s="521"/>
      <c r="AC77" s="521"/>
      <c r="AD77" s="521"/>
      <c r="AE77" s="521"/>
      <c r="AF77" s="521"/>
    </row>
    <row r="78" customFormat="false" ht="16.5" hidden="false" customHeight="false" outlineLevel="0" collapsed="false">
      <c r="A78" s="521"/>
      <c r="B78" s="521"/>
      <c r="C78" s="521"/>
      <c r="D78" s="521"/>
      <c r="E78" s="521"/>
      <c r="F78" s="521"/>
      <c r="G78" s="521"/>
      <c r="H78" s="521"/>
      <c r="I78" s="521"/>
      <c r="J78" s="521"/>
      <c r="K78" s="521"/>
      <c r="L78" s="521"/>
      <c r="M78" s="521"/>
      <c r="N78" s="521"/>
      <c r="O78" s="521"/>
      <c r="P78" s="521"/>
      <c r="Q78" s="521"/>
      <c r="R78" s="521"/>
      <c r="S78" s="521"/>
      <c r="T78" s="521"/>
      <c r="U78" s="521"/>
      <c r="V78" s="521"/>
      <c r="W78" s="521"/>
      <c r="X78" s="521"/>
      <c r="Y78" s="521"/>
      <c r="Z78" s="521"/>
      <c r="AA78" s="521"/>
      <c r="AB78" s="521"/>
      <c r="AC78" s="521"/>
      <c r="AD78" s="521"/>
      <c r="AE78" s="521"/>
      <c r="AF78" s="521"/>
    </row>
    <row r="79" customFormat="false" ht="16.5" hidden="false" customHeight="false" outlineLevel="0" collapsed="false">
      <c r="A79" s="521"/>
      <c r="B79" s="521"/>
      <c r="C79" s="521"/>
      <c r="D79" s="521"/>
      <c r="E79" s="521"/>
      <c r="F79" s="521"/>
      <c r="G79" s="521"/>
      <c r="H79" s="521"/>
      <c r="I79" s="521"/>
      <c r="J79" s="521"/>
      <c r="K79" s="521"/>
      <c r="L79" s="521"/>
      <c r="M79" s="521"/>
      <c r="N79" s="521"/>
      <c r="O79" s="521"/>
      <c r="P79" s="521"/>
      <c r="Q79" s="521"/>
      <c r="R79" s="521"/>
      <c r="S79" s="521"/>
      <c r="T79" s="521"/>
      <c r="U79" s="521"/>
      <c r="V79" s="521"/>
      <c r="W79" s="521"/>
      <c r="X79" s="521"/>
      <c r="Y79" s="521"/>
      <c r="Z79" s="521"/>
      <c r="AA79" s="521"/>
      <c r="AB79" s="521"/>
      <c r="AC79" s="521"/>
      <c r="AD79" s="521"/>
      <c r="AE79" s="521"/>
      <c r="AF79" s="521"/>
    </row>
    <row r="80" customFormat="false" ht="16.5" hidden="false" customHeight="false" outlineLevel="0" collapsed="false">
      <c r="A80" s="521"/>
      <c r="B80" s="521"/>
      <c r="C80" s="521"/>
      <c r="D80" s="521"/>
      <c r="E80" s="521"/>
      <c r="F80" s="521"/>
      <c r="G80" s="521"/>
      <c r="H80" s="521"/>
      <c r="I80" s="521"/>
      <c r="J80" s="521"/>
      <c r="K80" s="521"/>
      <c r="L80" s="521"/>
      <c r="M80" s="521"/>
      <c r="N80" s="521"/>
      <c r="O80" s="521"/>
      <c r="P80" s="521"/>
      <c r="Q80" s="521"/>
      <c r="R80" s="521"/>
      <c r="S80" s="521"/>
      <c r="T80" s="521"/>
      <c r="U80" s="521"/>
      <c r="V80" s="521"/>
      <c r="W80" s="521"/>
      <c r="X80" s="521"/>
      <c r="Y80" s="521"/>
      <c r="Z80" s="521"/>
      <c r="AA80" s="521"/>
      <c r="AB80" s="521"/>
      <c r="AC80" s="521"/>
      <c r="AD80" s="521"/>
      <c r="AE80" s="521"/>
      <c r="AF80" s="521"/>
    </row>
    <row r="81" customFormat="false" ht="16.5" hidden="false" customHeight="false" outlineLevel="0" collapsed="false">
      <c r="A81" s="521"/>
      <c r="B81" s="521"/>
      <c r="C81" s="521"/>
      <c r="D81" s="521"/>
      <c r="E81" s="521"/>
      <c r="F81" s="521"/>
      <c r="G81" s="521"/>
      <c r="H81" s="521"/>
      <c r="I81" s="521"/>
      <c r="J81" s="521"/>
      <c r="K81" s="521"/>
      <c r="L81" s="521"/>
      <c r="M81" s="521"/>
      <c r="N81" s="521"/>
      <c r="O81" s="521"/>
      <c r="P81" s="521"/>
      <c r="Q81" s="521"/>
      <c r="R81" s="521"/>
      <c r="S81" s="521"/>
      <c r="T81" s="521"/>
      <c r="U81" s="521"/>
      <c r="V81" s="521"/>
      <c r="W81" s="521"/>
      <c r="X81" s="521"/>
      <c r="Y81" s="521"/>
      <c r="Z81" s="521"/>
      <c r="AA81" s="521"/>
      <c r="AB81" s="521"/>
      <c r="AC81" s="521"/>
      <c r="AD81" s="521"/>
      <c r="AE81" s="521"/>
      <c r="AF81" s="521"/>
    </row>
    <row r="82" customFormat="false" ht="16.5" hidden="false" customHeight="false" outlineLevel="0" collapsed="false">
      <c r="A82" s="521"/>
      <c r="B82" s="521"/>
      <c r="C82" s="521"/>
      <c r="D82" s="521"/>
      <c r="E82" s="521"/>
      <c r="F82" s="521"/>
      <c r="G82" s="521"/>
      <c r="H82" s="521"/>
      <c r="I82" s="521"/>
      <c r="J82" s="521"/>
      <c r="K82" s="521"/>
      <c r="L82" s="521"/>
      <c r="M82" s="521"/>
      <c r="N82" s="521"/>
      <c r="O82" s="521"/>
      <c r="P82" s="521"/>
      <c r="Q82" s="521"/>
      <c r="R82" s="521"/>
      <c r="S82" s="521"/>
      <c r="T82" s="521"/>
      <c r="U82" s="521"/>
      <c r="V82" s="521"/>
      <c r="W82" s="521"/>
      <c r="X82" s="521"/>
      <c r="Y82" s="521"/>
      <c r="Z82" s="521"/>
      <c r="AA82" s="521"/>
      <c r="AB82" s="521"/>
      <c r="AC82" s="521"/>
      <c r="AD82" s="521"/>
      <c r="AE82" s="521"/>
      <c r="AF82" s="521"/>
    </row>
    <row r="83" customFormat="false" ht="16.5" hidden="false" customHeight="false" outlineLevel="0" collapsed="false">
      <c r="A83" s="521"/>
      <c r="B83" s="521"/>
      <c r="C83" s="521"/>
      <c r="D83" s="521"/>
      <c r="E83" s="521"/>
      <c r="F83" s="521"/>
      <c r="G83" s="521"/>
      <c r="H83" s="521"/>
      <c r="I83" s="521"/>
      <c r="J83" s="521"/>
      <c r="K83" s="521"/>
      <c r="L83" s="521"/>
      <c r="M83" s="521"/>
      <c r="N83" s="521"/>
      <c r="O83" s="521"/>
      <c r="P83" s="521"/>
      <c r="Q83" s="521"/>
      <c r="R83" s="521"/>
      <c r="S83" s="521"/>
      <c r="T83" s="521"/>
      <c r="U83" s="521"/>
      <c r="V83" s="521"/>
      <c r="W83" s="521"/>
      <c r="X83" s="521"/>
      <c r="Y83" s="521"/>
      <c r="Z83" s="521"/>
      <c r="AA83" s="521"/>
      <c r="AB83" s="521"/>
      <c r="AC83" s="521"/>
      <c r="AD83" s="521"/>
      <c r="AE83" s="521"/>
      <c r="AF83" s="521"/>
    </row>
    <row r="84" customFormat="false" ht="16.5" hidden="false" customHeight="false" outlineLevel="0" collapsed="false">
      <c r="A84" s="521"/>
      <c r="B84" s="521"/>
      <c r="C84" s="521"/>
      <c r="D84" s="521"/>
      <c r="E84" s="521"/>
      <c r="F84" s="521"/>
      <c r="G84" s="521"/>
      <c r="H84" s="521"/>
      <c r="I84" s="521"/>
      <c r="J84" s="521"/>
      <c r="K84" s="521"/>
      <c r="L84" s="521"/>
      <c r="M84" s="521"/>
      <c r="N84" s="521"/>
      <c r="O84" s="521"/>
      <c r="P84" s="521"/>
      <c r="Q84" s="521"/>
      <c r="R84" s="521"/>
      <c r="S84" s="521"/>
      <c r="T84" s="521"/>
      <c r="U84" s="521"/>
      <c r="V84" s="521"/>
      <c r="W84" s="521"/>
      <c r="X84" s="521"/>
      <c r="Y84" s="521"/>
      <c r="Z84" s="521"/>
      <c r="AA84" s="521"/>
      <c r="AB84" s="521"/>
      <c r="AC84" s="521"/>
      <c r="AD84" s="521"/>
      <c r="AE84" s="521"/>
      <c r="AF84" s="521"/>
    </row>
    <row r="85" customFormat="false" ht="16.5" hidden="false" customHeight="false" outlineLevel="0" collapsed="false">
      <c r="A85" s="521"/>
      <c r="B85" s="521"/>
      <c r="C85" s="521"/>
      <c r="D85" s="521"/>
      <c r="E85" s="521"/>
      <c r="F85" s="521"/>
      <c r="G85" s="521"/>
      <c r="H85" s="521"/>
      <c r="I85" s="521"/>
      <c r="J85" s="521"/>
      <c r="K85" s="521"/>
      <c r="L85" s="521"/>
      <c r="M85" s="521"/>
      <c r="N85" s="521"/>
      <c r="O85" s="521"/>
      <c r="P85" s="521"/>
      <c r="Q85" s="521"/>
      <c r="R85" s="521"/>
      <c r="S85" s="521"/>
      <c r="T85" s="521"/>
      <c r="U85" s="521"/>
      <c r="V85" s="521"/>
      <c r="W85" s="521"/>
      <c r="X85" s="521"/>
      <c r="Y85" s="521"/>
      <c r="Z85" s="521"/>
      <c r="AA85" s="521"/>
      <c r="AB85" s="521"/>
      <c r="AC85" s="521"/>
      <c r="AD85" s="521"/>
      <c r="AE85" s="521"/>
      <c r="AF85" s="521"/>
    </row>
    <row r="86" customFormat="false" ht="16.5" hidden="false" customHeight="false" outlineLevel="0" collapsed="false">
      <c r="A86" s="521"/>
      <c r="B86" s="521"/>
      <c r="C86" s="521"/>
      <c r="D86" s="521"/>
      <c r="E86" s="521"/>
      <c r="F86" s="521"/>
      <c r="G86" s="521"/>
      <c r="H86" s="521"/>
      <c r="I86" s="521"/>
      <c r="J86" s="521"/>
      <c r="K86" s="521"/>
      <c r="L86" s="521"/>
      <c r="M86" s="521"/>
      <c r="N86" s="521"/>
      <c r="O86" s="521"/>
      <c r="P86" s="521"/>
      <c r="Q86" s="521"/>
      <c r="R86" s="521"/>
      <c r="S86" s="521"/>
      <c r="T86" s="521"/>
      <c r="U86" s="521"/>
      <c r="V86" s="521"/>
      <c r="W86" s="521"/>
      <c r="X86" s="521"/>
      <c r="Y86" s="521"/>
      <c r="Z86" s="521"/>
      <c r="AA86" s="521"/>
      <c r="AB86" s="521"/>
      <c r="AC86" s="521"/>
      <c r="AD86" s="521"/>
      <c r="AE86" s="521"/>
      <c r="AF86" s="521"/>
    </row>
    <row r="87" customFormat="false" ht="16.5" hidden="false" customHeight="false" outlineLevel="0" collapsed="false">
      <c r="A87" s="521"/>
      <c r="B87" s="521"/>
      <c r="C87" s="521"/>
      <c r="D87" s="521"/>
      <c r="E87" s="521"/>
      <c r="F87" s="521"/>
      <c r="G87" s="521"/>
      <c r="H87" s="521"/>
      <c r="I87" s="521"/>
      <c r="J87" s="521"/>
      <c r="K87" s="521"/>
      <c r="L87" s="521"/>
      <c r="M87" s="521"/>
      <c r="N87" s="521"/>
      <c r="O87" s="521"/>
      <c r="P87" s="521"/>
      <c r="Q87" s="521"/>
      <c r="R87" s="521"/>
      <c r="S87" s="521"/>
      <c r="T87" s="521"/>
      <c r="U87" s="521"/>
      <c r="V87" s="521"/>
      <c r="W87" s="521"/>
      <c r="X87" s="521"/>
      <c r="Y87" s="521"/>
      <c r="Z87" s="521"/>
      <c r="AA87" s="521"/>
      <c r="AB87" s="521"/>
      <c r="AC87" s="521"/>
      <c r="AD87" s="521"/>
      <c r="AE87" s="521"/>
      <c r="AF87" s="521"/>
    </row>
    <row r="88" customFormat="false" ht="16.5" hidden="false" customHeight="false" outlineLevel="0" collapsed="false">
      <c r="A88" s="521"/>
      <c r="B88" s="521"/>
      <c r="C88" s="521"/>
      <c r="D88" s="521"/>
      <c r="E88" s="521"/>
      <c r="F88" s="521"/>
      <c r="G88" s="521"/>
      <c r="H88" s="521"/>
      <c r="I88" s="521"/>
      <c r="J88" s="521"/>
      <c r="K88" s="521"/>
      <c r="L88" s="521"/>
      <c r="M88" s="521"/>
      <c r="N88" s="521"/>
      <c r="O88" s="521"/>
      <c r="P88" s="521"/>
      <c r="Q88" s="521"/>
      <c r="R88" s="521"/>
      <c r="S88" s="521"/>
      <c r="T88" s="521"/>
      <c r="U88" s="521"/>
      <c r="V88" s="521"/>
      <c r="W88" s="521"/>
      <c r="X88" s="521"/>
      <c r="Y88" s="521"/>
      <c r="Z88" s="521"/>
      <c r="AA88" s="521"/>
      <c r="AB88" s="521"/>
      <c r="AC88" s="521"/>
      <c r="AD88" s="521"/>
      <c r="AE88" s="521"/>
      <c r="AF88" s="52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88"/>
  <sheetViews>
    <sheetView showFormulas="false" showGridLines="true" showRowColHeaders="true" showZeros="true" rightToLeft="false" tabSelected="false" showOutlineSymbols="true" defaultGridColor="true" view="normal" topLeftCell="B1" colorId="64" zoomScale="140" zoomScaleNormal="140" zoomScalePageLayoutView="100" workbookViewId="0">
      <selection pane="topLeft" activeCell="G40" activeCellId="0" sqref="G40"/>
    </sheetView>
  </sheetViews>
  <sheetFormatPr defaultColWidth="8.859375" defaultRowHeight="15" zeroHeight="false" outlineLevelRow="0" outlineLevelCol="0"/>
  <cols>
    <col collapsed="false" customWidth="true" hidden="false" outlineLevel="0" max="1" min="1" style="624" width="3"/>
    <col collapsed="false" customWidth="true" hidden="false" outlineLevel="0" max="2" min="2" style="624" width="21"/>
    <col collapsed="false" customWidth="true" hidden="false" outlineLevel="0" max="9" min="3" style="624" width="23.71"/>
    <col collapsed="false" customWidth="true" hidden="false" outlineLevel="0" max="10" min="10" style="624" width="24.43"/>
    <col collapsed="false" customWidth="true" hidden="false" outlineLevel="0" max="11" min="11" style="624" width="1.86"/>
    <col collapsed="false" customWidth="true" hidden="false" outlineLevel="0" max="12" min="12" style="624" width="33"/>
    <col collapsed="false" customWidth="true" hidden="false" outlineLevel="0" max="14" min="13" style="624" width="23.28"/>
    <col collapsed="false" customWidth="false" hidden="false" outlineLevel="0" max="16384" min="15" style="624" width="8.86"/>
  </cols>
  <sheetData>
    <row r="1" customFormat="false" ht="23.25" hidden="false" customHeight="true" outlineLevel="0" collapsed="false">
      <c r="A1" s="625"/>
      <c r="B1" s="625"/>
      <c r="C1" s="626" t="s">
        <v>0</v>
      </c>
      <c r="D1" s="627" t="n">
        <v>158.97</v>
      </c>
      <c r="E1" s="625"/>
      <c r="F1" s="628"/>
      <c r="G1" s="625"/>
      <c r="H1" s="625"/>
      <c r="I1" s="625"/>
      <c r="J1" s="625"/>
      <c r="K1" s="625"/>
      <c r="L1" s="625"/>
      <c r="M1" s="625"/>
      <c r="N1" s="625"/>
      <c r="O1" s="625"/>
      <c r="P1" s="625"/>
      <c r="Q1" s="625"/>
      <c r="R1" s="625"/>
      <c r="S1" s="625"/>
      <c r="T1" s="625"/>
      <c r="U1" s="625"/>
      <c r="V1" s="625"/>
      <c r="W1" s="625"/>
      <c r="X1" s="625"/>
      <c r="Y1" s="625"/>
      <c r="Z1" s="625"/>
      <c r="AA1" s="625"/>
      <c r="AB1" s="625"/>
      <c r="AC1" s="625"/>
      <c r="AD1" s="625"/>
      <c r="AE1" s="625"/>
      <c r="AF1" s="625"/>
    </row>
    <row r="2" customFormat="false" ht="23.25" hidden="false" customHeight="true" outlineLevel="0" collapsed="false">
      <c r="A2" s="625"/>
      <c r="B2" s="629" t="s">
        <v>245</v>
      </c>
      <c r="C2" s="6" t="s">
        <v>1</v>
      </c>
      <c r="D2" s="7" t="n">
        <f aca="false">J8+J16+J24+J32+J40+J48</f>
        <v>72.62</v>
      </c>
      <c r="E2" s="8" t="s">
        <v>2</v>
      </c>
      <c r="F2" s="9" t="n">
        <f aca="false">J9+J17+J25+J33+J41+J49</f>
        <v>5.83</v>
      </c>
      <c r="G2" s="8" t="s">
        <v>3</v>
      </c>
      <c r="H2" s="9" t="n">
        <f aca="false">J10+J18+J26+J34+J42+J50</f>
        <v>7.7</v>
      </c>
      <c r="I2" s="630"/>
      <c r="J2" s="631" t="s">
        <v>4</v>
      </c>
      <c r="K2" s="632"/>
      <c r="L2" s="631"/>
      <c r="M2" s="625"/>
      <c r="N2" s="625"/>
      <c r="O2" s="625"/>
      <c r="P2" s="625"/>
      <c r="Q2" s="625"/>
      <c r="R2" s="625"/>
      <c r="S2" s="625"/>
      <c r="T2" s="625"/>
      <c r="U2" s="625"/>
      <c r="V2" s="625"/>
      <c r="W2" s="625"/>
      <c r="X2" s="625"/>
      <c r="Y2" s="625"/>
      <c r="Z2" s="625"/>
      <c r="AA2" s="625"/>
      <c r="AB2" s="625"/>
      <c r="AC2" s="625"/>
      <c r="AD2" s="625"/>
      <c r="AE2" s="625"/>
      <c r="AF2" s="625"/>
    </row>
    <row r="3" customFormat="false" ht="23.25" hidden="false" customHeight="true" outlineLevel="0" collapsed="false">
      <c r="A3" s="625"/>
      <c r="B3" s="13" t="s">
        <v>5</v>
      </c>
      <c r="C3" s="14" t="s">
        <v>6</v>
      </c>
      <c r="D3" s="15" t="s">
        <v>7</v>
      </c>
      <c r="E3" s="16" t="s">
        <v>8</v>
      </c>
      <c r="F3" s="17" t="s">
        <v>9</v>
      </c>
      <c r="G3" s="15" t="s">
        <v>10</v>
      </c>
      <c r="H3" s="15" t="s">
        <v>11</v>
      </c>
      <c r="I3" s="18" t="s">
        <v>12</v>
      </c>
      <c r="J3" s="631" t="s">
        <v>13</v>
      </c>
      <c r="K3" s="633"/>
      <c r="L3" s="631"/>
      <c r="M3" s="625"/>
      <c r="N3" s="625"/>
      <c r="O3" s="625"/>
      <c r="P3" s="625"/>
      <c r="Q3" s="625"/>
      <c r="R3" s="625"/>
      <c r="S3" s="625"/>
      <c r="T3" s="625"/>
      <c r="U3" s="625"/>
      <c r="V3" s="625"/>
      <c r="W3" s="625"/>
      <c r="X3" s="625"/>
      <c r="Y3" s="625"/>
      <c r="Z3" s="625"/>
      <c r="AA3" s="625"/>
      <c r="AB3" s="625"/>
      <c r="AC3" s="625"/>
      <c r="AD3" s="625"/>
      <c r="AE3" s="625"/>
      <c r="AF3" s="625"/>
    </row>
    <row r="4" customFormat="false" ht="23.25" hidden="false" customHeight="true" outlineLevel="0" collapsed="false">
      <c r="A4" s="625"/>
      <c r="B4" s="20" t="s">
        <v>14</v>
      </c>
      <c r="C4" s="21" t="s">
        <v>4</v>
      </c>
      <c r="D4" s="21" t="s">
        <v>4</v>
      </c>
      <c r="E4" s="21" t="s">
        <v>4</v>
      </c>
      <c r="F4" s="21" t="s">
        <v>4</v>
      </c>
      <c r="G4" s="21" t="s">
        <v>4</v>
      </c>
      <c r="H4" s="22" t="s">
        <v>4</v>
      </c>
      <c r="I4" s="23" t="n">
        <v>1</v>
      </c>
      <c r="J4" s="631" t="s">
        <v>15</v>
      </c>
      <c r="K4" s="633"/>
      <c r="L4" s="634"/>
      <c r="M4" s="625"/>
      <c r="N4" s="625"/>
      <c r="O4" s="625"/>
      <c r="P4" s="625"/>
      <c r="Q4" s="625"/>
      <c r="R4" s="625"/>
      <c r="S4" s="625"/>
      <c r="T4" s="625"/>
      <c r="U4" s="625"/>
      <c r="V4" s="625"/>
      <c r="W4" s="625"/>
      <c r="X4" s="625"/>
      <c r="Y4" s="625"/>
      <c r="Z4" s="625"/>
      <c r="AA4" s="625"/>
      <c r="AB4" s="625"/>
      <c r="AC4" s="625"/>
      <c r="AD4" s="625"/>
      <c r="AE4" s="625"/>
      <c r="AF4" s="625"/>
    </row>
    <row r="5" customFormat="false" ht="23.25" hidden="false" customHeight="true" outlineLevel="0" collapsed="false">
      <c r="A5" s="625"/>
      <c r="B5" s="25" t="s">
        <v>16</v>
      </c>
      <c r="C5" s="26"/>
      <c r="D5" s="27"/>
      <c r="E5" s="28"/>
      <c r="F5" s="27"/>
      <c r="G5" s="27"/>
      <c r="H5" s="27"/>
      <c r="I5" s="29" t="s">
        <v>45</v>
      </c>
      <c r="J5" s="631" t="s">
        <v>17</v>
      </c>
      <c r="K5" s="633"/>
      <c r="L5" s="635"/>
      <c r="M5" s="625"/>
      <c r="N5" s="625"/>
      <c r="O5" s="625"/>
      <c r="P5" s="625"/>
      <c r="Q5" s="625"/>
      <c r="R5" s="625"/>
      <c r="S5" s="625"/>
      <c r="T5" s="625"/>
      <c r="U5" s="625"/>
      <c r="V5" s="625"/>
      <c r="W5" s="625"/>
      <c r="X5" s="625"/>
      <c r="Y5" s="625"/>
      <c r="Z5" s="625"/>
      <c r="AA5" s="625"/>
      <c r="AB5" s="625"/>
      <c r="AC5" s="625"/>
      <c r="AD5" s="625"/>
      <c r="AE5" s="625"/>
      <c r="AF5" s="625"/>
    </row>
    <row r="6" customFormat="false" ht="23.25" hidden="false" customHeight="true" outlineLevel="0" collapsed="false">
      <c r="A6" s="625"/>
      <c r="B6" s="31" t="s">
        <v>18</v>
      </c>
      <c r="C6" s="32" t="s">
        <v>4</v>
      </c>
      <c r="D6" s="32" t="s">
        <v>4</v>
      </c>
      <c r="E6" s="33" t="s">
        <v>4</v>
      </c>
      <c r="F6" s="33" t="s">
        <v>4</v>
      </c>
      <c r="G6" s="34" t="s">
        <v>4</v>
      </c>
      <c r="H6" s="35" t="s">
        <v>4</v>
      </c>
      <c r="I6" s="36" t="n">
        <v>0.06</v>
      </c>
      <c r="J6" s="636"/>
      <c r="K6" s="633"/>
      <c r="L6" s="625"/>
      <c r="M6" s="625"/>
      <c r="N6" s="625"/>
      <c r="O6" s="625"/>
      <c r="P6" s="625"/>
      <c r="Q6" s="625"/>
      <c r="R6" s="625"/>
      <c r="S6" s="625"/>
      <c r="T6" s="625"/>
      <c r="U6" s="625"/>
      <c r="V6" s="625"/>
      <c r="W6" s="625"/>
      <c r="X6" s="625"/>
      <c r="Y6" s="625"/>
      <c r="Z6" s="625"/>
      <c r="AA6" s="625"/>
      <c r="AB6" s="625"/>
      <c r="AC6" s="625"/>
      <c r="AD6" s="625"/>
      <c r="AE6" s="625"/>
      <c r="AF6" s="625"/>
    </row>
    <row r="7" customFormat="false" ht="23.25" hidden="false" customHeight="true" outlineLevel="0" collapsed="false">
      <c r="A7" s="625"/>
      <c r="B7" s="25" t="s">
        <v>19</v>
      </c>
      <c r="C7" s="38"/>
      <c r="D7" s="39"/>
      <c r="E7" s="40"/>
      <c r="F7" s="39"/>
      <c r="G7" s="39"/>
      <c r="H7" s="39"/>
      <c r="I7" s="41" t="s">
        <v>54</v>
      </c>
      <c r="J7" s="637" t="s">
        <v>20</v>
      </c>
      <c r="K7" s="633"/>
      <c r="L7" s="638"/>
      <c r="M7" s="625"/>
      <c r="N7" s="625"/>
      <c r="O7" s="625"/>
      <c r="P7" s="625"/>
      <c r="Q7" s="625"/>
      <c r="R7" s="625"/>
      <c r="S7" s="625"/>
      <c r="T7" s="625"/>
      <c r="U7" s="625"/>
      <c r="V7" s="625"/>
      <c r="W7" s="625"/>
      <c r="X7" s="625"/>
      <c r="Y7" s="625"/>
      <c r="Z7" s="625"/>
      <c r="AA7" s="625"/>
      <c r="AB7" s="625"/>
      <c r="AC7" s="625"/>
      <c r="AD7" s="625"/>
      <c r="AE7" s="625"/>
      <c r="AF7" s="625"/>
    </row>
    <row r="8" customFormat="false" ht="23.25" hidden="false" customHeight="true" outlineLevel="0" collapsed="false">
      <c r="A8" s="625"/>
      <c r="B8" s="20" t="s">
        <v>21</v>
      </c>
      <c r="C8" s="44"/>
      <c r="D8" s="45"/>
      <c r="E8" s="46"/>
      <c r="F8" s="45"/>
      <c r="G8" s="45"/>
      <c r="H8" s="45"/>
      <c r="I8" s="47" t="n">
        <v>9.2</v>
      </c>
      <c r="J8" s="639" t="n">
        <f aca="false" t="array" ref="J8:J8">SUM(IF(ISNUMBER(C8:I8), C8:I8, 0))</f>
        <v>9.2</v>
      </c>
      <c r="K8" s="633"/>
      <c r="L8" s="640" t="s">
        <v>22</v>
      </c>
      <c r="M8" s="625"/>
      <c r="N8" s="625"/>
      <c r="O8" s="625"/>
      <c r="P8" s="625"/>
      <c r="Q8" s="625"/>
      <c r="R8" s="625"/>
      <c r="S8" s="625"/>
      <c r="T8" s="625"/>
      <c r="U8" s="625"/>
      <c r="V8" s="625"/>
      <c r="W8" s="625"/>
      <c r="X8" s="625"/>
      <c r="Y8" s="625"/>
      <c r="Z8" s="625"/>
      <c r="AA8" s="625"/>
      <c r="AB8" s="625"/>
      <c r="AC8" s="625"/>
      <c r="AD8" s="625"/>
      <c r="AE8" s="625"/>
      <c r="AF8" s="625"/>
    </row>
    <row r="9" customFormat="false" ht="23.25" hidden="false" customHeight="true" outlineLevel="0" collapsed="false">
      <c r="A9" s="625"/>
      <c r="B9" s="20" t="s">
        <v>23</v>
      </c>
      <c r="C9" s="44"/>
      <c r="D9" s="45"/>
      <c r="E9" s="46"/>
      <c r="F9" s="45"/>
      <c r="G9" s="45"/>
      <c r="H9" s="45"/>
      <c r="I9" s="47" t="n">
        <v>0.8</v>
      </c>
      <c r="J9" s="639" t="n">
        <f aca="false" t="array" ref="J9:J9">SUM(IF(ISNUMBER(B9:I9), B9:I9, 0))</f>
        <v>0.8</v>
      </c>
      <c r="K9" s="633"/>
      <c r="L9" s="640" t="s">
        <v>24</v>
      </c>
      <c r="M9" s="625"/>
      <c r="N9" s="625"/>
      <c r="O9" s="625"/>
      <c r="P9" s="625"/>
      <c r="Q9" s="625"/>
      <c r="R9" s="625"/>
      <c r="S9" s="625"/>
      <c r="T9" s="625"/>
      <c r="U9" s="625"/>
      <c r="V9" s="625"/>
      <c r="W9" s="625"/>
      <c r="X9" s="625"/>
      <c r="Y9" s="625"/>
      <c r="Z9" s="625"/>
      <c r="AA9" s="625"/>
      <c r="AB9" s="625"/>
      <c r="AC9" s="625"/>
      <c r="AD9" s="625"/>
      <c r="AE9" s="625"/>
      <c r="AF9" s="625"/>
    </row>
    <row r="10" customFormat="false" ht="23.25" hidden="false" customHeight="true" outlineLevel="0" collapsed="false">
      <c r="A10" s="625"/>
      <c r="B10" s="20" t="s">
        <v>25</v>
      </c>
      <c r="C10" s="44"/>
      <c r="D10" s="45"/>
      <c r="E10" s="46"/>
      <c r="F10" s="45"/>
      <c r="G10" s="45"/>
      <c r="H10" s="45"/>
      <c r="I10" s="47" t="n">
        <f aca="false">0.8</f>
        <v>0.8</v>
      </c>
      <c r="J10" s="641" t="n">
        <f aca="false" t="array" ref="J10:J10">SUM(IF(ISNUMBER(B10:I10), B10:I10, 0))</f>
        <v>0.8</v>
      </c>
      <c r="K10" s="633"/>
      <c r="L10" s="640" t="s">
        <v>26</v>
      </c>
      <c r="M10" s="625"/>
      <c r="N10" s="625"/>
      <c r="O10" s="625"/>
      <c r="P10" s="625"/>
      <c r="Q10" s="625"/>
      <c r="R10" s="625"/>
      <c r="S10" s="625"/>
      <c r="T10" s="625"/>
      <c r="U10" s="625"/>
      <c r="V10" s="625"/>
      <c r="W10" s="625"/>
      <c r="X10" s="625"/>
      <c r="Y10" s="625"/>
      <c r="Z10" s="625"/>
      <c r="AA10" s="625"/>
      <c r="AB10" s="625"/>
      <c r="AC10" s="625"/>
      <c r="AD10" s="625"/>
      <c r="AE10" s="625"/>
      <c r="AF10" s="625"/>
    </row>
    <row r="11" customFormat="false" ht="23.25" hidden="false" customHeight="true" outlineLevel="0" collapsed="false">
      <c r="A11" s="625"/>
      <c r="B11" s="52" t="s">
        <v>27</v>
      </c>
      <c r="C11" s="53" t="s">
        <v>4</v>
      </c>
      <c r="D11" s="54" t="s">
        <v>4</v>
      </c>
      <c r="E11" s="55" t="s">
        <v>4</v>
      </c>
      <c r="F11" s="56" t="s">
        <v>4</v>
      </c>
      <c r="G11" s="57" t="s">
        <v>4</v>
      </c>
      <c r="H11" s="58" t="s">
        <v>4</v>
      </c>
      <c r="I11" s="59" t="s">
        <v>246</v>
      </c>
      <c r="J11" s="641" t="n">
        <v>8.47</v>
      </c>
      <c r="K11" s="633"/>
      <c r="L11" s="640" t="s">
        <v>28</v>
      </c>
      <c r="M11" s="625"/>
      <c r="N11" s="625"/>
      <c r="O11" s="625"/>
      <c r="P11" s="625"/>
      <c r="Q11" s="625"/>
      <c r="R11" s="625"/>
      <c r="S11" s="625"/>
      <c r="T11" s="625"/>
      <c r="U11" s="625"/>
      <c r="V11" s="625"/>
      <c r="W11" s="625"/>
      <c r="X11" s="625"/>
      <c r="Y11" s="625"/>
      <c r="Z11" s="625"/>
      <c r="AA11" s="625"/>
      <c r="AB11" s="625"/>
      <c r="AC11" s="625"/>
      <c r="AD11" s="625"/>
      <c r="AE11" s="625"/>
      <c r="AF11" s="625"/>
    </row>
    <row r="12" customFormat="false" ht="23.25" hidden="false" customHeight="true" outlineLevel="0" collapsed="false">
      <c r="A12" s="625"/>
      <c r="B12" s="625" t="s">
        <v>4</v>
      </c>
      <c r="C12" s="60" t="n">
        <v>2</v>
      </c>
      <c r="D12" s="60" t="n">
        <v>3</v>
      </c>
      <c r="E12" s="60" t="n">
        <v>4</v>
      </c>
      <c r="F12" s="61" t="n">
        <v>5</v>
      </c>
      <c r="G12" s="62" t="n">
        <v>6</v>
      </c>
      <c r="H12" s="63" t="n">
        <v>7</v>
      </c>
      <c r="I12" s="23" t="n">
        <v>8</v>
      </c>
      <c r="J12" s="642"/>
      <c r="K12" s="633"/>
      <c r="L12" s="643"/>
      <c r="M12" s="625"/>
      <c r="N12" s="625"/>
      <c r="O12" s="625"/>
      <c r="P12" s="625"/>
      <c r="Q12" s="625"/>
      <c r="R12" s="625"/>
      <c r="S12" s="625"/>
      <c r="T12" s="625"/>
      <c r="U12" s="625"/>
      <c r="V12" s="625"/>
      <c r="W12" s="625"/>
      <c r="X12" s="625"/>
      <c r="Y12" s="625"/>
      <c r="Z12" s="625"/>
      <c r="AA12" s="625"/>
      <c r="AB12" s="625"/>
      <c r="AC12" s="625"/>
      <c r="AD12" s="625"/>
      <c r="AE12" s="625"/>
      <c r="AF12" s="625"/>
    </row>
    <row r="13" customFormat="false" ht="23.25" hidden="false" customHeight="true" outlineLevel="0" collapsed="false">
      <c r="A13" s="625"/>
      <c r="B13" s="625"/>
      <c r="C13" s="26" t="s">
        <v>209</v>
      </c>
      <c r="D13" s="27" t="s">
        <v>247</v>
      </c>
      <c r="E13" s="28" t="s">
        <v>247</v>
      </c>
      <c r="F13" s="27" t="s">
        <v>43</v>
      </c>
      <c r="G13" s="39" t="s">
        <v>247</v>
      </c>
      <c r="H13" s="66" t="s">
        <v>248</v>
      </c>
      <c r="I13" s="67" t="s">
        <v>45</v>
      </c>
      <c r="J13" s="642"/>
      <c r="K13" s="633"/>
      <c r="L13" s="643"/>
      <c r="M13" s="625"/>
      <c r="N13" s="625"/>
      <c r="O13" s="625"/>
      <c r="P13" s="625"/>
      <c r="Q13" s="625"/>
      <c r="R13" s="625"/>
      <c r="S13" s="625"/>
      <c r="T13" s="625"/>
      <c r="U13" s="625"/>
      <c r="V13" s="625"/>
      <c r="W13" s="625"/>
      <c r="X13" s="625"/>
      <c r="Y13" s="625"/>
      <c r="Z13" s="625"/>
      <c r="AA13" s="625"/>
      <c r="AB13" s="625"/>
      <c r="AC13" s="625"/>
      <c r="AD13" s="625"/>
      <c r="AE13" s="625"/>
      <c r="AF13" s="625"/>
    </row>
    <row r="14" customFormat="false" ht="23.25" hidden="false" customHeight="true" outlineLevel="0" collapsed="false">
      <c r="A14" s="625"/>
      <c r="B14" s="625"/>
      <c r="C14" s="68" t="n">
        <v>0.12</v>
      </c>
      <c r="D14" s="35" t="n">
        <v>0.21</v>
      </c>
      <c r="E14" s="32" t="n">
        <v>0.31</v>
      </c>
      <c r="F14" s="33" t="n">
        <v>0.42</v>
      </c>
      <c r="G14" s="33" t="n">
        <v>0.54</v>
      </c>
      <c r="H14" s="69" t="n">
        <v>0.64</v>
      </c>
      <c r="I14" s="70" t="n">
        <v>0.74</v>
      </c>
      <c r="J14" s="633"/>
      <c r="K14" s="633"/>
      <c r="L14" s="643"/>
      <c r="M14" s="625"/>
      <c r="N14" s="625"/>
      <c r="O14" s="625"/>
      <c r="P14" s="625"/>
      <c r="Q14" s="625"/>
      <c r="R14" s="625"/>
      <c r="S14" s="625"/>
      <c r="T14" s="625"/>
      <c r="U14" s="625"/>
      <c r="V14" s="625"/>
      <c r="W14" s="625"/>
      <c r="X14" s="625"/>
      <c r="Y14" s="625"/>
      <c r="Z14" s="625"/>
      <c r="AA14" s="625"/>
      <c r="AB14" s="625"/>
      <c r="AC14" s="625"/>
      <c r="AD14" s="625"/>
      <c r="AE14" s="625"/>
      <c r="AF14" s="625"/>
    </row>
    <row r="15" customFormat="false" ht="23.25" hidden="false" customHeight="true" outlineLevel="0" collapsed="false">
      <c r="A15" s="625"/>
      <c r="B15" s="625"/>
      <c r="C15" s="38" t="s">
        <v>62</v>
      </c>
      <c r="D15" s="39" t="s">
        <v>169</v>
      </c>
      <c r="E15" s="39" t="s">
        <v>62</v>
      </c>
      <c r="F15" s="39" t="s">
        <v>169</v>
      </c>
      <c r="G15" s="39" t="s">
        <v>54</v>
      </c>
      <c r="H15" s="66" t="s">
        <v>54</v>
      </c>
      <c r="I15" s="71" t="s">
        <v>54</v>
      </c>
      <c r="J15" s="637" t="s">
        <v>29</v>
      </c>
      <c r="K15" s="633"/>
      <c r="L15" s="643"/>
      <c r="M15" s="625"/>
      <c r="N15" s="625"/>
      <c r="O15" s="625"/>
      <c r="P15" s="625"/>
      <c r="Q15" s="625"/>
      <c r="R15" s="625"/>
      <c r="S15" s="625"/>
      <c r="T15" s="625"/>
      <c r="U15" s="625"/>
      <c r="V15" s="625"/>
      <c r="W15" s="625"/>
      <c r="X15" s="625"/>
      <c r="Y15" s="625"/>
      <c r="Z15" s="625"/>
      <c r="AA15" s="625"/>
      <c r="AB15" s="625"/>
      <c r="AC15" s="625"/>
      <c r="AD15" s="625"/>
      <c r="AE15" s="625"/>
      <c r="AF15" s="625"/>
    </row>
    <row r="16" customFormat="false" ht="23.25" hidden="false" customHeight="true" outlineLevel="0" collapsed="false">
      <c r="A16" s="625"/>
      <c r="B16" s="625"/>
      <c r="C16" s="44" t="n">
        <v>1.6</v>
      </c>
      <c r="D16" s="45" t="s">
        <v>249</v>
      </c>
      <c r="E16" s="45" t="n">
        <v>5.4</v>
      </c>
      <c r="F16" s="45" t="s">
        <v>249</v>
      </c>
      <c r="G16" s="45" t="s">
        <v>249</v>
      </c>
      <c r="H16" s="45" t="s">
        <v>249</v>
      </c>
      <c r="I16" s="45" t="s">
        <v>250</v>
      </c>
      <c r="J16" s="639" t="n">
        <f aca="false" t="array" ref="J16:J16">SUM(IF(ISNUMBER(B16:I16), B16:I16, 0))</f>
        <v>7</v>
      </c>
      <c r="K16" s="633"/>
      <c r="L16" s="644" t="s">
        <v>22</v>
      </c>
      <c r="M16" s="625"/>
      <c r="N16" s="625"/>
      <c r="O16" s="625"/>
      <c r="P16" s="625"/>
      <c r="Q16" s="625"/>
      <c r="R16" s="625"/>
      <c r="S16" s="625"/>
      <c r="T16" s="625"/>
      <c r="U16" s="625"/>
      <c r="V16" s="625"/>
      <c r="W16" s="625"/>
      <c r="X16" s="625"/>
      <c r="Y16" s="625"/>
      <c r="Z16" s="625"/>
      <c r="AA16" s="625"/>
      <c r="AB16" s="625"/>
      <c r="AC16" s="625"/>
      <c r="AD16" s="625"/>
      <c r="AE16" s="625"/>
      <c r="AF16" s="625"/>
    </row>
    <row r="17" customFormat="false" ht="23.25" hidden="false" customHeight="true" outlineLevel="0" collapsed="false">
      <c r="A17" s="625"/>
      <c r="B17" s="625"/>
      <c r="C17" s="44" t="n">
        <v>0.6</v>
      </c>
      <c r="D17" s="45" t="n">
        <v>0</v>
      </c>
      <c r="E17" s="45" t="n">
        <v>0</v>
      </c>
      <c r="F17" s="45" t="n">
        <v>0</v>
      </c>
      <c r="G17" s="45" t="n">
        <v>0</v>
      </c>
      <c r="H17" s="45" t="n">
        <v>0</v>
      </c>
      <c r="I17" s="47" t="n">
        <v>0</v>
      </c>
      <c r="J17" s="639" t="n">
        <f aca="false" t="array" ref="J17:J17">SUM(IF(ISNUMBER(B17:I17), B17:I17, 0))</f>
        <v>0.6</v>
      </c>
      <c r="K17" s="633"/>
      <c r="L17" s="644" t="s">
        <v>24</v>
      </c>
      <c r="M17" s="625"/>
      <c r="N17" s="625"/>
      <c r="O17" s="625"/>
      <c r="P17" s="625"/>
      <c r="Q17" s="625"/>
      <c r="R17" s="625"/>
      <c r="S17" s="625"/>
      <c r="T17" s="625"/>
      <c r="U17" s="625"/>
      <c r="V17" s="625"/>
      <c r="W17" s="625"/>
      <c r="X17" s="625"/>
      <c r="Y17" s="625"/>
      <c r="Z17" s="625"/>
      <c r="AA17" s="625"/>
      <c r="AB17" s="625"/>
      <c r="AC17" s="625"/>
      <c r="AD17" s="625"/>
      <c r="AE17" s="625"/>
      <c r="AF17" s="625"/>
    </row>
    <row r="18" customFormat="false" ht="23.25" hidden="false" customHeight="true" outlineLevel="0" collapsed="false">
      <c r="A18" s="625"/>
      <c r="B18" s="625"/>
      <c r="C18" s="44" t="n">
        <v>0</v>
      </c>
      <c r="D18" s="45" t="n">
        <v>0</v>
      </c>
      <c r="E18" s="45" t="n">
        <v>0.8</v>
      </c>
      <c r="F18" s="45" t="n">
        <v>0</v>
      </c>
      <c r="G18" s="45" t="n">
        <v>0</v>
      </c>
      <c r="H18" s="45" t="n">
        <v>0</v>
      </c>
      <c r="I18" s="47" t="n">
        <v>0</v>
      </c>
      <c r="J18" s="641" t="n">
        <f aca="false" t="array" ref="J18:J18">SUM(IF(ISNUMBER(B18:I18), B18:I18, 0))</f>
        <v>0.8</v>
      </c>
      <c r="K18" s="633"/>
      <c r="L18" s="644" t="s">
        <v>26</v>
      </c>
      <c r="M18" s="625"/>
      <c r="N18" s="625"/>
      <c r="O18" s="625"/>
      <c r="P18" s="625"/>
      <c r="Q18" s="625"/>
      <c r="R18" s="625"/>
      <c r="S18" s="625"/>
      <c r="T18" s="625"/>
      <c r="U18" s="625"/>
      <c r="V18" s="625"/>
      <c r="W18" s="625"/>
      <c r="X18" s="625"/>
      <c r="Y18" s="625"/>
      <c r="Z18" s="625"/>
      <c r="AA18" s="625"/>
      <c r="AB18" s="625"/>
      <c r="AC18" s="625"/>
      <c r="AD18" s="625"/>
      <c r="AE18" s="625"/>
      <c r="AF18" s="625"/>
    </row>
    <row r="19" customFormat="false" ht="23.25" hidden="false" customHeight="true" outlineLevel="0" collapsed="false">
      <c r="A19" s="625"/>
      <c r="B19" s="625"/>
      <c r="C19" s="73" t="s">
        <v>251</v>
      </c>
      <c r="D19" s="74" t="s">
        <v>252</v>
      </c>
      <c r="E19" s="54" t="s">
        <v>253</v>
      </c>
      <c r="F19" s="57" t="s">
        <v>254</v>
      </c>
      <c r="G19" s="75" t="s">
        <v>255</v>
      </c>
      <c r="H19" s="76" t="s">
        <v>256</v>
      </c>
      <c r="I19" s="59" t="s">
        <v>257</v>
      </c>
      <c r="J19" s="641" t="n">
        <v>24.83</v>
      </c>
      <c r="K19" s="633"/>
      <c r="L19" s="640" t="s">
        <v>28</v>
      </c>
      <c r="M19" s="625"/>
      <c r="N19" s="625"/>
      <c r="O19" s="625"/>
      <c r="P19" s="625"/>
      <c r="Q19" s="625"/>
      <c r="R19" s="625"/>
      <c r="S19" s="625"/>
      <c r="T19" s="625"/>
      <c r="U19" s="625"/>
      <c r="V19" s="625"/>
      <c r="W19" s="625"/>
      <c r="X19" s="625"/>
      <c r="Y19" s="625"/>
      <c r="Z19" s="625"/>
      <c r="AA19" s="625"/>
      <c r="AB19" s="625"/>
      <c r="AC19" s="625"/>
      <c r="AD19" s="625"/>
      <c r="AE19" s="625"/>
      <c r="AF19" s="625"/>
    </row>
    <row r="20" customFormat="false" ht="23.25" hidden="false" customHeight="true" outlineLevel="0" collapsed="false">
      <c r="A20" s="625"/>
      <c r="B20" s="625"/>
      <c r="C20" s="77" t="n">
        <v>9</v>
      </c>
      <c r="D20" s="77" t="n">
        <v>10</v>
      </c>
      <c r="E20" s="78" t="n">
        <v>11</v>
      </c>
      <c r="F20" s="23" t="n">
        <v>12</v>
      </c>
      <c r="G20" s="23" t="n">
        <v>13</v>
      </c>
      <c r="H20" s="23" t="n">
        <v>14</v>
      </c>
      <c r="I20" s="23" t="n">
        <v>15</v>
      </c>
      <c r="J20" s="642"/>
      <c r="K20" s="633"/>
      <c r="L20" s="643"/>
      <c r="M20" s="625"/>
      <c r="N20" s="625"/>
      <c r="O20" s="625"/>
      <c r="P20" s="625"/>
      <c r="Q20" s="625"/>
      <c r="R20" s="625"/>
      <c r="S20" s="625"/>
      <c r="T20" s="625"/>
      <c r="U20" s="625"/>
      <c r="V20" s="625"/>
      <c r="W20" s="625"/>
      <c r="X20" s="625"/>
      <c r="Y20" s="625"/>
      <c r="Z20" s="625"/>
      <c r="AA20" s="625"/>
      <c r="AB20" s="625"/>
      <c r="AC20" s="625"/>
      <c r="AD20" s="625"/>
      <c r="AE20" s="625"/>
      <c r="AF20" s="625"/>
    </row>
    <row r="21" customFormat="false" ht="23.25" hidden="false" customHeight="true" outlineLevel="0" collapsed="false">
      <c r="A21" s="625"/>
      <c r="B21" s="625"/>
      <c r="C21" s="38" t="s">
        <v>216</v>
      </c>
      <c r="D21" s="645"/>
      <c r="E21" s="645"/>
      <c r="F21" s="645"/>
      <c r="G21" s="645"/>
      <c r="H21" s="645"/>
      <c r="I21" s="646"/>
      <c r="J21" s="642"/>
      <c r="K21" s="633"/>
      <c r="L21" s="643"/>
      <c r="M21" s="625"/>
      <c r="N21" s="625"/>
      <c r="O21" s="625"/>
      <c r="P21" s="625"/>
      <c r="Q21" s="625"/>
      <c r="R21" s="625"/>
      <c r="S21" s="625"/>
      <c r="T21" s="625"/>
      <c r="U21" s="625"/>
      <c r="V21" s="625"/>
      <c r="W21" s="625"/>
      <c r="X21" s="625"/>
      <c r="Y21" s="625"/>
      <c r="Z21" s="625"/>
      <c r="AA21" s="625"/>
      <c r="AB21" s="625"/>
      <c r="AC21" s="625"/>
      <c r="AD21" s="625"/>
      <c r="AE21" s="625"/>
      <c r="AF21" s="625"/>
    </row>
    <row r="22" customFormat="false" ht="23.25" hidden="false" customHeight="true" outlineLevel="0" collapsed="false">
      <c r="A22" s="625"/>
      <c r="B22" s="625"/>
      <c r="C22" s="80" t="n">
        <v>0.83</v>
      </c>
      <c r="D22" s="33" t="n">
        <v>0.9</v>
      </c>
      <c r="E22" s="33" t="n">
        <v>0.95</v>
      </c>
      <c r="F22" s="33" t="n">
        <v>0.98</v>
      </c>
      <c r="G22" s="34" t="n">
        <v>1</v>
      </c>
      <c r="H22" s="35" t="n">
        <v>1</v>
      </c>
      <c r="I22" s="36" t="n">
        <v>0.97</v>
      </c>
      <c r="J22" s="633"/>
      <c r="K22" s="633"/>
      <c r="L22" s="643"/>
      <c r="M22" s="625"/>
      <c r="N22" s="625"/>
      <c r="O22" s="625"/>
      <c r="P22" s="625"/>
      <c r="Q22" s="625"/>
      <c r="R22" s="625"/>
      <c r="S22" s="625"/>
      <c r="T22" s="625"/>
      <c r="U22" s="625"/>
      <c r="V22" s="625"/>
      <c r="W22" s="625"/>
      <c r="X22" s="625"/>
      <c r="Y22" s="625"/>
      <c r="Z22" s="625"/>
      <c r="AA22" s="625"/>
      <c r="AB22" s="625"/>
      <c r="AC22" s="625"/>
      <c r="AD22" s="625"/>
      <c r="AE22" s="625"/>
      <c r="AF22" s="625"/>
    </row>
    <row r="23" customFormat="false" ht="23.25" hidden="false" customHeight="true" outlineLevel="0" collapsed="false">
      <c r="A23" s="625"/>
      <c r="B23" s="625"/>
      <c r="C23" s="38" t="s">
        <v>62</v>
      </c>
      <c r="D23" s="645"/>
      <c r="E23" s="645"/>
      <c r="F23" s="645"/>
      <c r="G23" s="645"/>
      <c r="H23" s="645"/>
      <c r="I23" s="646"/>
      <c r="J23" s="647" t="s">
        <v>30</v>
      </c>
      <c r="K23" s="633"/>
      <c r="L23" s="643"/>
      <c r="M23" s="625"/>
      <c r="N23" s="625"/>
      <c r="O23" s="625"/>
      <c r="P23" s="625"/>
      <c r="Q23" s="625"/>
      <c r="R23" s="625"/>
      <c r="S23" s="625"/>
      <c r="T23" s="625"/>
      <c r="U23" s="625"/>
      <c r="V23" s="625"/>
      <c r="W23" s="625"/>
      <c r="X23" s="625"/>
      <c r="Y23" s="625"/>
      <c r="Z23" s="625"/>
      <c r="AA23" s="625"/>
      <c r="AB23" s="625"/>
      <c r="AC23" s="625"/>
      <c r="AD23" s="625"/>
      <c r="AE23" s="625"/>
      <c r="AF23" s="625"/>
    </row>
    <row r="24" customFormat="false" ht="23.25" hidden="false" customHeight="true" outlineLevel="0" collapsed="false">
      <c r="A24" s="625"/>
      <c r="B24" s="625"/>
      <c r="C24" s="44" t="s">
        <v>250</v>
      </c>
      <c r="D24" s="82"/>
      <c r="E24" s="45"/>
      <c r="F24" s="45"/>
      <c r="G24" s="45"/>
      <c r="H24" s="83"/>
      <c r="I24" s="84"/>
      <c r="J24" s="648" t="n">
        <f aca="false" t="array" ref="J24:J24">SUM(IF(ISNUMBER(B24:I24), B24:I24, 0))</f>
        <v>0</v>
      </c>
      <c r="K24" s="633"/>
      <c r="L24" s="644" t="s">
        <v>22</v>
      </c>
      <c r="M24" s="625"/>
      <c r="N24" s="625"/>
      <c r="O24" s="625"/>
      <c r="P24" s="625"/>
      <c r="Q24" s="625"/>
      <c r="R24" s="625"/>
      <c r="S24" s="625"/>
      <c r="T24" s="625"/>
      <c r="U24" s="625"/>
      <c r="V24" s="625"/>
      <c r="W24" s="625"/>
      <c r="X24" s="625"/>
      <c r="Y24" s="625"/>
      <c r="Z24" s="625"/>
      <c r="AA24" s="625"/>
      <c r="AB24" s="625"/>
      <c r="AC24" s="625"/>
      <c r="AD24" s="625"/>
      <c r="AE24" s="625"/>
      <c r="AF24" s="625"/>
    </row>
    <row r="25" customFormat="false" ht="23.25" hidden="false" customHeight="true" outlineLevel="0" collapsed="false">
      <c r="A25" s="625"/>
      <c r="B25" s="625"/>
      <c r="C25" s="44" t="n">
        <v>0</v>
      </c>
      <c r="D25" s="82"/>
      <c r="E25" s="45"/>
      <c r="F25" s="45"/>
      <c r="G25" s="45"/>
      <c r="H25" s="83"/>
      <c r="I25" s="84"/>
      <c r="J25" s="648" t="n">
        <f aca="false" t="array" ref="J25:J25">SUM(IF(ISNUMBER(B25:I25), B25:I25, 0))</f>
        <v>0</v>
      </c>
      <c r="K25" s="633"/>
      <c r="L25" s="644" t="s">
        <v>24</v>
      </c>
      <c r="M25" s="625"/>
      <c r="N25" s="625"/>
      <c r="O25" s="625"/>
      <c r="P25" s="625"/>
      <c r="Q25" s="625"/>
      <c r="R25" s="625"/>
      <c r="S25" s="625"/>
      <c r="T25" s="625"/>
      <c r="U25" s="625"/>
      <c r="V25" s="625"/>
      <c r="W25" s="625"/>
      <c r="X25" s="625"/>
      <c r="Y25" s="625"/>
      <c r="Z25" s="625"/>
      <c r="AA25" s="625"/>
      <c r="AB25" s="625"/>
      <c r="AC25" s="625"/>
      <c r="AD25" s="625"/>
      <c r="AE25" s="625"/>
      <c r="AF25" s="625"/>
    </row>
    <row r="26" customFormat="false" ht="23.25" hidden="false" customHeight="true" outlineLevel="0" collapsed="false">
      <c r="A26" s="625"/>
      <c r="B26" s="625"/>
      <c r="C26" s="44" t="n">
        <v>0</v>
      </c>
      <c r="D26" s="83"/>
      <c r="E26" s="83"/>
      <c r="F26" s="83"/>
      <c r="G26" s="83"/>
      <c r="H26" s="83"/>
      <c r="I26" s="84"/>
      <c r="J26" s="649" t="n">
        <f aca="false" t="array" ref="J26:J26">SUM(IF(ISNUMBER(B26:I26), B26:I26, 0))</f>
        <v>0</v>
      </c>
      <c r="K26" s="633"/>
      <c r="L26" s="644" t="s">
        <v>26</v>
      </c>
      <c r="M26" s="625"/>
      <c r="N26" s="625"/>
      <c r="O26" s="625"/>
      <c r="P26" s="625"/>
      <c r="Q26" s="625"/>
      <c r="R26" s="625"/>
      <c r="S26" s="625"/>
      <c r="T26" s="625"/>
      <c r="U26" s="625"/>
      <c r="V26" s="625"/>
      <c r="W26" s="625"/>
      <c r="X26" s="625"/>
      <c r="Y26" s="625"/>
      <c r="Z26" s="625"/>
      <c r="AA26" s="625"/>
      <c r="AB26" s="625"/>
      <c r="AC26" s="625"/>
      <c r="AD26" s="625"/>
      <c r="AE26" s="625"/>
      <c r="AF26" s="625"/>
    </row>
    <row r="27" customFormat="false" ht="23.25" hidden="false" customHeight="true" outlineLevel="0" collapsed="false">
      <c r="A27" s="625"/>
      <c r="B27" s="625"/>
      <c r="C27" s="87" t="s">
        <v>258</v>
      </c>
      <c r="D27" s="54" t="s">
        <v>259</v>
      </c>
      <c r="E27" s="54" t="s">
        <v>260</v>
      </c>
      <c r="F27" s="88" t="s">
        <v>261</v>
      </c>
      <c r="G27" s="54" t="s">
        <v>262</v>
      </c>
      <c r="H27" s="54" t="s">
        <v>263</v>
      </c>
      <c r="I27" s="89" t="s">
        <v>264</v>
      </c>
      <c r="J27" s="641" t="n">
        <v>1.72</v>
      </c>
      <c r="K27" s="633"/>
      <c r="L27" s="640" t="s">
        <v>28</v>
      </c>
      <c r="M27" s="625"/>
      <c r="N27" s="625"/>
      <c r="O27" s="625"/>
      <c r="P27" s="625"/>
      <c r="Q27" s="625"/>
      <c r="R27" s="625"/>
      <c r="S27" s="625"/>
      <c r="T27" s="625"/>
      <c r="U27" s="625"/>
      <c r="V27" s="625"/>
      <c r="W27" s="625"/>
      <c r="X27" s="625"/>
      <c r="Y27" s="625"/>
      <c r="Z27" s="625"/>
      <c r="AA27" s="625"/>
      <c r="AB27" s="625"/>
      <c r="AC27" s="625"/>
      <c r="AD27" s="625"/>
      <c r="AE27" s="625"/>
      <c r="AF27" s="625"/>
    </row>
    <row r="28" customFormat="false" ht="23.25" hidden="false" customHeight="true" outlineLevel="0" collapsed="false">
      <c r="A28" s="625"/>
      <c r="B28" s="625"/>
      <c r="C28" s="60" t="n">
        <v>16</v>
      </c>
      <c r="D28" s="60" t="n">
        <v>17</v>
      </c>
      <c r="E28" s="60" t="n">
        <v>18</v>
      </c>
      <c r="F28" s="60" t="n">
        <v>19</v>
      </c>
      <c r="G28" s="60" t="n">
        <v>20</v>
      </c>
      <c r="H28" s="60" t="n">
        <v>21</v>
      </c>
      <c r="I28" s="60" t="n">
        <v>22</v>
      </c>
      <c r="J28" s="650"/>
      <c r="K28" s="633"/>
      <c r="L28" s="643"/>
      <c r="M28" s="625"/>
      <c r="N28" s="625"/>
      <c r="O28" s="625"/>
      <c r="P28" s="625"/>
      <c r="Q28" s="625"/>
      <c r="R28" s="625"/>
      <c r="S28" s="625"/>
      <c r="T28" s="625"/>
      <c r="U28" s="625"/>
      <c r="V28" s="625"/>
      <c r="W28" s="625"/>
      <c r="X28" s="625"/>
      <c r="Y28" s="625"/>
      <c r="Z28" s="625"/>
      <c r="AA28" s="625"/>
      <c r="AB28" s="625"/>
      <c r="AC28" s="625"/>
      <c r="AD28" s="625"/>
      <c r="AE28" s="625"/>
      <c r="AF28" s="625"/>
    </row>
    <row r="29" customFormat="false" ht="23.25" hidden="false" customHeight="true" outlineLevel="0" collapsed="false">
      <c r="A29" s="625"/>
      <c r="B29" s="625"/>
      <c r="C29" s="651"/>
      <c r="D29" s="27" t="s">
        <v>43</v>
      </c>
      <c r="E29" s="28" t="s">
        <v>216</v>
      </c>
      <c r="F29" s="27" t="s">
        <v>40</v>
      </c>
      <c r="G29" s="27" t="s">
        <v>247</v>
      </c>
      <c r="H29" s="27" t="s">
        <v>45</v>
      </c>
      <c r="I29" s="29" t="s">
        <v>216</v>
      </c>
      <c r="J29" s="642"/>
      <c r="K29" s="633"/>
      <c r="L29" s="643"/>
      <c r="M29" s="625"/>
      <c r="N29" s="625"/>
      <c r="O29" s="625"/>
      <c r="P29" s="625"/>
      <c r="Q29" s="625"/>
      <c r="R29" s="625"/>
      <c r="S29" s="625"/>
      <c r="T29" s="625"/>
      <c r="U29" s="625"/>
      <c r="V29" s="625"/>
      <c r="W29" s="625"/>
      <c r="X29" s="625"/>
      <c r="Y29" s="625"/>
      <c r="Z29" s="625"/>
      <c r="AA29" s="625"/>
      <c r="AB29" s="625"/>
      <c r="AC29" s="625"/>
      <c r="AD29" s="625"/>
      <c r="AE29" s="625"/>
      <c r="AF29" s="625"/>
    </row>
    <row r="30" customFormat="false" ht="23.25" hidden="false" customHeight="true" outlineLevel="0" collapsed="false">
      <c r="A30" s="625"/>
      <c r="B30" s="625"/>
      <c r="C30" s="80" t="n">
        <v>0.93</v>
      </c>
      <c r="D30" s="33" t="n">
        <v>0.88</v>
      </c>
      <c r="E30" s="33" t="n">
        <v>0.81</v>
      </c>
      <c r="F30" s="33" t="n">
        <v>0.73</v>
      </c>
      <c r="G30" s="33" t="n">
        <v>0.65</v>
      </c>
      <c r="H30" s="33" t="n">
        <v>0.55</v>
      </c>
      <c r="I30" s="36" t="n">
        <v>0.45</v>
      </c>
      <c r="J30" s="633"/>
      <c r="K30" s="633"/>
      <c r="L30" s="643"/>
      <c r="M30" s="625"/>
      <c r="N30" s="625"/>
      <c r="O30" s="625"/>
      <c r="P30" s="625"/>
      <c r="Q30" s="625"/>
      <c r="R30" s="625"/>
      <c r="S30" s="625"/>
      <c r="T30" s="625"/>
      <c r="U30" s="625"/>
      <c r="V30" s="625"/>
      <c r="W30" s="625"/>
      <c r="X30" s="625"/>
      <c r="Y30" s="625"/>
      <c r="Z30" s="625"/>
      <c r="AA30" s="625"/>
      <c r="AB30" s="625"/>
      <c r="AC30" s="625"/>
      <c r="AD30" s="625"/>
      <c r="AE30" s="625"/>
      <c r="AF30" s="625"/>
    </row>
    <row r="31" customFormat="false" ht="23.25" hidden="false" customHeight="true" outlineLevel="0" collapsed="false">
      <c r="A31" s="625"/>
      <c r="B31" s="625"/>
      <c r="C31" s="652"/>
      <c r="D31" s="39" t="s">
        <v>40</v>
      </c>
      <c r="E31" s="39" t="s">
        <v>40</v>
      </c>
      <c r="F31" s="39" t="s">
        <v>180</v>
      </c>
      <c r="G31" s="39" t="s">
        <v>54</v>
      </c>
      <c r="H31" s="39" t="s">
        <v>40</v>
      </c>
      <c r="I31" s="79" t="s">
        <v>40</v>
      </c>
      <c r="J31" s="647" t="s">
        <v>31</v>
      </c>
      <c r="K31" s="633"/>
      <c r="L31" s="643"/>
      <c r="M31" s="625"/>
      <c r="N31" s="625"/>
      <c r="O31" s="625"/>
      <c r="P31" s="625"/>
      <c r="Q31" s="625"/>
      <c r="R31" s="625"/>
      <c r="S31" s="625"/>
      <c r="T31" s="625"/>
      <c r="U31" s="625"/>
      <c r="V31" s="625"/>
      <c r="W31" s="625"/>
      <c r="X31" s="625"/>
      <c r="Y31" s="625"/>
      <c r="Z31" s="625"/>
      <c r="AA31" s="625"/>
      <c r="AB31" s="625"/>
      <c r="AC31" s="625"/>
      <c r="AD31" s="625"/>
      <c r="AE31" s="625"/>
      <c r="AF31" s="625"/>
    </row>
    <row r="32" customFormat="false" ht="23.25" hidden="false" customHeight="true" outlineLevel="0" collapsed="false">
      <c r="A32" s="625"/>
      <c r="B32" s="625"/>
      <c r="C32" s="44"/>
      <c r="D32" s="45" t="s">
        <v>249</v>
      </c>
      <c r="E32" s="45" t="s">
        <v>249</v>
      </c>
      <c r="F32" s="45" t="n">
        <v>0.67</v>
      </c>
      <c r="G32" s="45" t="n">
        <v>1.4</v>
      </c>
      <c r="H32" s="45" t="s">
        <v>249</v>
      </c>
      <c r="I32" s="91" t="s">
        <v>249</v>
      </c>
      <c r="J32" s="648" t="n">
        <f aca="false" t="array" ref="J32:J32">SUM(IF(ISNUMBER(B32:I32), B32:I32, 0))</f>
        <v>2.07</v>
      </c>
      <c r="K32" s="633"/>
      <c r="L32" s="644" t="s">
        <v>22</v>
      </c>
      <c r="M32" s="625"/>
      <c r="N32" s="625"/>
      <c r="O32" s="625"/>
      <c r="P32" s="625"/>
      <c r="Q32" s="625"/>
      <c r="R32" s="625"/>
      <c r="S32" s="625"/>
      <c r="T32" s="625"/>
      <c r="U32" s="625"/>
      <c r="V32" s="625"/>
      <c r="W32" s="625"/>
      <c r="X32" s="625"/>
      <c r="Y32" s="625"/>
      <c r="Z32" s="625"/>
      <c r="AA32" s="625"/>
      <c r="AB32" s="625"/>
      <c r="AC32" s="625"/>
      <c r="AD32" s="625"/>
      <c r="AE32" s="625"/>
      <c r="AF32" s="625"/>
    </row>
    <row r="33" customFormat="false" ht="23.25" hidden="false" customHeight="true" outlineLevel="0" collapsed="false">
      <c r="A33" s="625"/>
      <c r="B33" s="625"/>
      <c r="C33" s="44"/>
      <c r="D33" s="45"/>
      <c r="E33" s="45"/>
      <c r="F33" s="45" t="n">
        <v>0</v>
      </c>
      <c r="G33" s="47" t="n">
        <v>0</v>
      </c>
      <c r="H33" s="45" t="n">
        <v>0</v>
      </c>
      <c r="I33" s="91" t="n">
        <v>0</v>
      </c>
      <c r="J33" s="648" t="n">
        <f aca="false" t="array" ref="J33:J33">SUM(IF(ISNUMBER(B33:I33), B33:I33, 0))</f>
        <v>0</v>
      </c>
      <c r="K33" s="633"/>
      <c r="L33" s="644" t="s">
        <v>24</v>
      </c>
      <c r="M33" s="625"/>
      <c r="N33" s="625"/>
      <c r="O33" s="625"/>
      <c r="P33" s="625"/>
      <c r="Q33" s="625"/>
      <c r="R33" s="625"/>
      <c r="S33" s="625"/>
      <c r="T33" s="625"/>
      <c r="U33" s="625"/>
      <c r="V33" s="625"/>
      <c r="W33" s="625"/>
      <c r="X33" s="625"/>
      <c r="Y33" s="625"/>
      <c r="Z33" s="625"/>
      <c r="AA33" s="625"/>
      <c r="AB33" s="625"/>
      <c r="AC33" s="625"/>
      <c r="AD33" s="625"/>
      <c r="AE33" s="625"/>
      <c r="AF33" s="625"/>
    </row>
    <row r="34" customFormat="false" ht="23.25" hidden="false" customHeight="true" outlineLevel="0" collapsed="false">
      <c r="A34" s="625"/>
      <c r="B34" s="625"/>
      <c r="C34" s="44"/>
      <c r="D34" s="45"/>
      <c r="E34" s="45"/>
      <c r="F34" s="45" t="n">
        <v>0.3</v>
      </c>
      <c r="G34" s="47" t="n">
        <v>0</v>
      </c>
      <c r="H34" s="45" t="n">
        <v>0</v>
      </c>
      <c r="I34" s="91" t="n">
        <v>0</v>
      </c>
      <c r="J34" s="649" t="n">
        <f aca="false" t="array" ref="J34:J34">SUM(IF(ISNUMBER(B34:I34), B34:I34, 0))</f>
        <v>0.3</v>
      </c>
      <c r="K34" s="633"/>
      <c r="L34" s="644" t="s">
        <v>26</v>
      </c>
      <c r="M34" s="625"/>
      <c r="N34" s="625"/>
      <c r="O34" s="625"/>
      <c r="P34" s="625"/>
      <c r="Q34" s="625"/>
      <c r="R34" s="625"/>
      <c r="S34" s="625"/>
      <c r="T34" s="625"/>
      <c r="U34" s="625"/>
      <c r="V34" s="625"/>
      <c r="W34" s="625"/>
      <c r="X34" s="625"/>
      <c r="Y34" s="625"/>
      <c r="Z34" s="625"/>
      <c r="AA34" s="625"/>
      <c r="AB34" s="625"/>
      <c r="AC34" s="625"/>
      <c r="AD34" s="625"/>
      <c r="AE34" s="625"/>
      <c r="AF34" s="625"/>
    </row>
    <row r="35" customFormat="false" ht="23.25" hidden="false" customHeight="true" outlineLevel="0" collapsed="false">
      <c r="A35" s="625"/>
      <c r="B35" s="625"/>
      <c r="C35" s="73" t="s">
        <v>265</v>
      </c>
      <c r="D35" s="54" t="s">
        <v>266</v>
      </c>
      <c r="E35" s="54" t="s">
        <v>267</v>
      </c>
      <c r="F35" s="54" t="s">
        <v>268</v>
      </c>
      <c r="G35" s="54" t="s">
        <v>269</v>
      </c>
      <c r="H35" s="54" t="s">
        <v>270</v>
      </c>
      <c r="I35" s="93" t="s">
        <v>271</v>
      </c>
      <c r="J35" s="641" t="n">
        <v>50.28</v>
      </c>
      <c r="K35" s="633"/>
      <c r="L35" s="640" t="s">
        <v>28</v>
      </c>
      <c r="M35" s="625"/>
      <c r="N35" s="625"/>
      <c r="O35" s="625"/>
      <c r="P35" s="625"/>
      <c r="Q35" s="625"/>
      <c r="R35" s="625"/>
      <c r="S35" s="625"/>
      <c r="T35" s="625"/>
      <c r="U35" s="625"/>
      <c r="V35" s="625"/>
      <c r="W35" s="625"/>
      <c r="X35" s="625"/>
      <c r="Y35" s="625"/>
      <c r="Z35" s="625"/>
      <c r="AA35" s="625"/>
      <c r="AB35" s="625"/>
      <c r="AC35" s="625"/>
      <c r="AD35" s="625"/>
      <c r="AE35" s="625"/>
      <c r="AF35" s="625"/>
    </row>
    <row r="36" customFormat="false" ht="23.25" hidden="false" customHeight="true" outlineLevel="0" collapsed="false">
      <c r="A36" s="625"/>
      <c r="B36" s="625"/>
      <c r="C36" s="60" t="n">
        <v>23</v>
      </c>
      <c r="D36" s="60" t="n">
        <v>24</v>
      </c>
      <c r="E36" s="60" t="n">
        <v>25</v>
      </c>
      <c r="F36" s="60" t="n">
        <v>26</v>
      </c>
      <c r="G36" s="60" t="n">
        <v>27</v>
      </c>
      <c r="H36" s="60" t="n">
        <v>28</v>
      </c>
      <c r="I36" s="60" t="n">
        <v>29</v>
      </c>
      <c r="J36" s="650"/>
      <c r="K36" s="633"/>
      <c r="L36" s="643"/>
      <c r="M36" s="625"/>
      <c r="N36" s="625"/>
      <c r="O36" s="625"/>
      <c r="P36" s="625"/>
      <c r="Q36" s="625"/>
      <c r="R36" s="625"/>
      <c r="S36" s="625"/>
      <c r="T36" s="625"/>
      <c r="U36" s="625"/>
      <c r="V36" s="625"/>
      <c r="W36" s="625"/>
      <c r="X36" s="625"/>
      <c r="Y36" s="625"/>
      <c r="Z36" s="625"/>
      <c r="AA36" s="625"/>
      <c r="AB36" s="625"/>
      <c r="AC36" s="625"/>
      <c r="AD36" s="625"/>
      <c r="AE36" s="625"/>
      <c r="AF36" s="625"/>
    </row>
    <row r="37" customFormat="false" ht="23.25" hidden="false" customHeight="true" outlineLevel="0" collapsed="false">
      <c r="A37" s="625"/>
      <c r="B37" s="625"/>
      <c r="C37" s="94" t="s">
        <v>62</v>
      </c>
      <c r="D37" s="95" t="s">
        <v>43</v>
      </c>
      <c r="E37" s="95" t="s">
        <v>152</v>
      </c>
      <c r="F37" s="95" t="s">
        <v>43</v>
      </c>
      <c r="G37" s="95" t="s">
        <v>43</v>
      </c>
      <c r="H37" s="95" t="s">
        <v>247</v>
      </c>
      <c r="I37" s="29" t="s">
        <v>209</v>
      </c>
      <c r="J37" s="642"/>
      <c r="K37" s="633"/>
      <c r="L37" s="643"/>
      <c r="M37" s="625"/>
      <c r="N37" s="625"/>
      <c r="O37" s="625"/>
      <c r="P37" s="625"/>
      <c r="Q37" s="625"/>
      <c r="R37" s="625"/>
      <c r="S37" s="625"/>
      <c r="T37" s="625"/>
      <c r="U37" s="625"/>
      <c r="V37" s="625"/>
      <c r="W37" s="625"/>
      <c r="X37" s="625"/>
      <c r="Y37" s="625"/>
      <c r="Z37" s="625"/>
      <c r="AA37" s="625"/>
      <c r="AB37" s="625"/>
      <c r="AC37" s="625"/>
      <c r="AD37" s="625"/>
      <c r="AE37" s="625"/>
      <c r="AF37" s="625"/>
    </row>
    <row r="38" customFormat="false" ht="23.25" hidden="false" customHeight="true" outlineLevel="0" collapsed="false">
      <c r="A38" s="625"/>
      <c r="B38" s="625"/>
      <c r="C38" s="80" t="n">
        <v>0.35</v>
      </c>
      <c r="D38" s="33" t="n">
        <v>0.25</v>
      </c>
      <c r="E38" s="33" t="n">
        <v>0.16</v>
      </c>
      <c r="F38" s="33" t="n">
        <v>0.08</v>
      </c>
      <c r="G38" s="33" t="n">
        <v>0.03</v>
      </c>
      <c r="H38" s="33" t="n">
        <v>0</v>
      </c>
      <c r="I38" s="36" t="n">
        <v>0</v>
      </c>
      <c r="J38" s="633"/>
      <c r="K38" s="633"/>
      <c r="L38" s="643"/>
      <c r="M38" s="625"/>
      <c r="N38" s="625"/>
      <c r="O38" s="625"/>
      <c r="P38" s="625"/>
      <c r="Q38" s="625"/>
      <c r="R38" s="625"/>
      <c r="S38" s="625"/>
      <c r="T38" s="625"/>
      <c r="U38" s="625"/>
      <c r="V38" s="625"/>
      <c r="W38" s="625"/>
      <c r="X38" s="625"/>
      <c r="Y38" s="625"/>
      <c r="Z38" s="625"/>
      <c r="AA38" s="625"/>
      <c r="AB38" s="625"/>
      <c r="AC38" s="625"/>
      <c r="AD38" s="625"/>
      <c r="AE38" s="625"/>
      <c r="AF38" s="625"/>
    </row>
    <row r="39" customFormat="false" ht="23.25" hidden="false" customHeight="true" outlineLevel="0" collapsed="false">
      <c r="A39" s="625"/>
      <c r="B39" s="625"/>
      <c r="C39" s="38" t="s">
        <v>180</v>
      </c>
      <c r="D39" s="39" t="s">
        <v>169</v>
      </c>
      <c r="E39" s="39" t="s">
        <v>62</v>
      </c>
      <c r="F39" s="39" t="s">
        <v>54</v>
      </c>
      <c r="G39" s="39" t="s">
        <v>40</v>
      </c>
      <c r="H39" s="39" t="s">
        <v>169</v>
      </c>
      <c r="I39" s="41" t="s">
        <v>169</v>
      </c>
      <c r="J39" s="637" t="s">
        <v>32</v>
      </c>
      <c r="K39" s="633"/>
      <c r="L39" s="643"/>
      <c r="M39" s="625"/>
      <c r="N39" s="625"/>
      <c r="O39" s="625"/>
      <c r="P39" s="625"/>
      <c r="Q39" s="625"/>
      <c r="R39" s="625"/>
      <c r="S39" s="625"/>
      <c r="T39" s="625"/>
      <c r="U39" s="625"/>
      <c r="V39" s="625"/>
      <c r="W39" s="625"/>
      <c r="X39" s="625"/>
      <c r="Y39" s="625"/>
      <c r="Z39" s="625"/>
      <c r="AA39" s="625"/>
      <c r="AB39" s="625"/>
      <c r="AC39" s="625"/>
      <c r="AD39" s="625"/>
      <c r="AE39" s="625"/>
      <c r="AF39" s="625"/>
    </row>
    <row r="40" customFormat="false" ht="23.25" hidden="false" customHeight="true" outlineLevel="0" collapsed="false">
      <c r="A40" s="625"/>
      <c r="B40" s="625"/>
      <c r="C40" s="96" t="n">
        <v>2.3</v>
      </c>
      <c r="D40" s="83" t="n">
        <v>8.7</v>
      </c>
      <c r="E40" s="83" t="n">
        <v>8.5</v>
      </c>
      <c r="F40" s="83" t="n">
        <v>8.62</v>
      </c>
      <c r="G40" s="83" t="n">
        <v>8.5</v>
      </c>
      <c r="H40" s="83" t="n">
        <v>1.3</v>
      </c>
      <c r="I40" s="97" t="n">
        <v>8.5</v>
      </c>
      <c r="J40" s="639" t="n">
        <f aca="false" t="array" ref="J40:J40">SUM(IF(ISNUMBER(B40:I40), B40:I40, 0))</f>
        <v>46.42</v>
      </c>
      <c r="K40" s="633"/>
      <c r="L40" s="644" t="s">
        <v>22</v>
      </c>
      <c r="M40" s="625"/>
      <c r="N40" s="625"/>
      <c r="O40" s="625"/>
      <c r="P40" s="625"/>
      <c r="Q40" s="625"/>
      <c r="R40" s="625"/>
      <c r="S40" s="625"/>
      <c r="T40" s="625"/>
      <c r="U40" s="625"/>
      <c r="V40" s="625"/>
      <c r="W40" s="625"/>
      <c r="X40" s="625"/>
      <c r="Y40" s="625"/>
      <c r="Z40" s="625"/>
      <c r="AA40" s="625"/>
      <c r="AB40" s="625"/>
      <c r="AC40" s="625"/>
      <c r="AD40" s="625"/>
      <c r="AE40" s="625"/>
      <c r="AF40" s="625"/>
    </row>
    <row r="41" customFormat="false" ht="23.25" hidden="false" customHeight="true" outlineLevel="0" collapsed="false">
      <c r="A41" s="625"/>
      <c r="B41" s="625"/>
      <c r="C41" s="44" t="n">
        <v>0</v>
      </c>
      <c r="D41" s="45" t="n">
        <v>0.8</v>
      </c>
      <c r="E41" s="45" t="n">
        <v>0.8</v>
      </c>
      <c r="F41" s="45" t="n">
        <v>0.8</v>
      </c>
      <c r="G41" s="45" t="n">
        <v>0.8</v>
      </c>
      <c r="H41" s="45" t="n">
        <v>0</v>
      </c>
      <c r="I41" s="47" t="n">
        <v>0.6</v>
      </c>
      <c r="J41" s="639" t="n">
        <f aca="false" t="array" ref="J41:J41">SUM(IF(ISNUMBER(B41:I41), B41:I41, 0))</f>
        <v>3.8</v>
      </c>
      <c r="K41" s="633"/>
      <c r="L41" s="644" t="s">
        <v>24</v>
      </c>
      <c r="M41" s="625"/>
      <c r="N41" s="625"/>
      <c r="O41" s="625"/>
      <c r="P41" s="625"/>
      <c r="Q41" s="625"/>
      <c r="R41" s="625"/>
      <c r="S41" s="625"/>
      <c r="T41" s="625"/>
      <c r="U41" s="625"/>
      <c r="V41" s="625"/>
      <c r="W41" s="625"/>
      <c r="X41" s="625"/>
      <c r="Y41" s="625"/>
      <c r="Z41" s="625"/>
      <c r="AA41" s="625"/>
      <c r="AB41" s="625"/>
      <c r="AC41" s="625"/>
      <c r="AD41" s="625"/>
      <c r="AE41" s="625"/>
      <c r="AF41" s="625"/>
    </row>
    <row r="42" customFormat="false" ht="23.25" hidden="false" customHeight="true" outlineLevel="0" collapsed="false">
      <c r="A42" s="625"/>
      <c r="B42" s="625"/>
      <c r="C42" s="44" t="n">
        <v>0.8</v>
      </c>
      <c r="D42" s="45" t="n">
        <v>0.8</v>
      </c>
      <c r="E42" s="45" t="n">
        <v>0.8</v>
      </c>
      <c r="F42" s="45" t="n">
        <v>0.8</v>
      </c>
      <c r="G42" s="45" t="n">
        <v>0.8</v>
      </c>
      <c r="H42" s="45" t="n">
        <v>0.2</v>
      </c>
      <c r="I42" s="47" t="n">
        <v>0.8</v>
      </c>
      <c r="J42" s="641" t="n">
        <f aca="false" t="array" ref="J42:J42">SUM(IF(ISNUMBER(B42:I42), B42:I42, 0))</f>
        <v>5</v>
      </c>
      <c r="K42" s="633"/>
      <c r="L42" s="644" t="s">
        <v>26</v>
      </c>
      <c r="M42" s="625"/>
      <c r="N42" s="625"/>
      <c r="O42" s="625"/>
      <c r="P42" s="625"/>
      <c r="Q42" s="625"/>
      <c r="R42" s="625"/>
      <c r="S42" s="625"/>
      <c r="T42" s="625"/>
      <c r="U42" s="625"/>
      <c r="V42" s="625"/>
      <c r="W42" s="625"/>
      <c r="X42" s="625"/>
      <c r="Y42" s="625"/>
      <c r="Z42" s="625"/>
      <c r="AA42" s="625"/>
      <c r="AB42" s="625"/>
      <c r="AC42" s="625"/>
      <c r="AD42" s="625"/>
      <c r="AE42" s="625"/>
      <c r="AF42" s="625"/>
    </row>
    <row r="43" customFormat="false" ht="23.25" hidden="false" customHeight="true" outlineLevel="0" collapsed="false">
      <c r="A43" s="625"/>
      <c r="B43" s="625"/>
      <c r="C43" s="98" t="s">
        <v>272</v>
      </c>
      <c r="D43" s="57" t="s">
        <v>273</v>
      </c>
      <c r="E43" s="88" t="s">
        <v>274</v>
      </c>
      <c r="F43" s="54" t="s">
        <v>275</v>
      </c>
      <c r="G43" s="54" t="s">
        <v>276</v>
      </c>
      <c r="H43" s="54" t="s">
        <v>277</v>
      </c>
      <c r="I43" s="89" t="s">
        <v>278</v>
      </c>
      <c r="J43" s="641" t="n">
        <v>60.02</v>
      </c>
      <c r="K43" s="633"/>
      <c r="L43" s="640" t="s">
        <v>28</v>
      </c>
      <c r="M43" s="625"/>
      <c r="N43" s="625"/>
      <c r="O43" s="625"/>
      <c r="P43" s="625"/>
      <c r="Q43" s="625"/>
      <c r="R43" s="625"/>
      <c r="S43" s="625"/>
      <c r="T43" s="625"/>
      <c r="U43" s="625"/>
      <c r="V43" s="625"/>
      <c r="W43" s="625"/>
      <c r="X43" s="625"/>
      <c r="Y43" s="625"/>
      <c r="Z43" s="625"/>
      <c r="AA43" s="625"/>
      <c r="AB43" s="625"/>
      <c r="AC43" s="625"/>
      <c r="AD43" s="625"/>
      <c r="AE43" s="625"/>
      <c r="AF43" s="625"/>
    </row>
    <row r="44" customFormat="false" ht="23.25" hidden="false" customHeight="true" outlineLevel="0" collapsed="false">
      <c r="A44" s="625"/>
      <c r="B44" s="625"/>
      <c r="C44" s="23" t="n">
        <v>30</v>
      </c>
      <c r="D44" s="99" t="n">
        <v>31</v>
      </c>
      <c r="E44" s="650"/>
      <c r="F44" s="633"/>
      <c r="G44" s="633"/>
      <c r="H44" s="633"/>
      <c r="I44" s="633"/>
      <c r="J44" s="633"/>
      <c r="K44" s="633"/>
      <c r="L44" s="638"/>
      <c r="M44" s="625"/>
      <c r="N44" s="625"/>
      <c r="O44" s="625"/>
      <c r="P44" s="625"/>
      <c r="Q44" s="625"/>
      <c r="R44" s="625"/>
      <c r="S44" s="625"/>
      <c r="T44" s="625"/>
      <c r="U44" s="625"/>
      <c r="V44" s="625"/>
      <c r="W44" s="625"/>
      <c r="X44" s="625"/>
      <c r="Y44" s="625"/>
      <c r="Z44" s="625"/>
      <c r="AA44" s="625"/>
      <c r="AB44" s="625"/>
      <c r="AC44" s="625"/>
      <c r="AD44" s="625"/>
      <c r="AE44" s="625"/>
      <c r="AF44" s="625"/>
    </row>
    <row r="45" customFormat="false" ht="23.25" hidden="false" customHeight="true" outlineLevel="0" collapsed="false">
      <c r="A45" s="625"/>
      <c r="B45" s="625"/>
      <c r="C45" s="38" t="s">
        <v>209</v>
      </c>
      <c r="D45" s="79" t="s">
        <v>152</v>
      </c>
      <c r="E45" s="642"/>
      <c r="F45" s="633"/>
      <c r="G45" s="633"/>
      <c r="H45" s="633"/>
      <c r="I45" s="633"/>
      <c r="J45" s="633"/>
      <c r="K45" s="633"/>
      <c r="L45" s="625"/>
      <c r="M45" s="625"/>
      <c r="N45" s="625"/>
      <c r="O45" s="625"/>
      <c r="P45" s="625"/>
      <c r="Q45" s="625"/>
      <c r="R45" s="625"/>
      <c r="S45" s="625"/>
      <c r="T45" s="625"/>
      <c r="U45" s="625"/>
      <c r="V45" s="625"/>
      <c r="W45" s="625"/>
      <c r="X45" s="625"/>
      <c r="Y45" s="625"/>
      <c r="Z45" s="625"/>
      <c r="AA45" s="625"/>
      <c r="AB45" s="625"/>
      <c r="AC45" s="625"/>
      <c r="AD45" s="625"/>
      <c r="AE45" s="625"/>
      <c r="AF45" s="625"/>
    </row>
    <row r="46" customFormat="false" ht="23.25" hidden="false" customHeight="true" outlineLevel="0" collapsed="false">
      <c r="A46" s="625"/>
      <c r="B46" s="625"/>
      <c r="C46" s="100" t="n">
        <v>0.04</v>
      </c>
      <c r="D46" s="101" t="n">
        <v>0.1</v>
      </c>
      <c r="E46" s="633"/>
      <c r="F46" s="633"/>
      <c r="G46" s="633"/>
      <c r="H46" s="633"/>
      <c r="I46" s="633"/>
      <c r="J46" s="633"/>
      <c r="K46" s="633"/>
      <c r="L46" s="625"/>
      <c r="M46" s="625"/>
      <c r="N46" s="625"/>
      <c r="O46" s="625"/>
      <c r="P46" s="625"/>
      <c r="Q46" s="625"/>
      <c r="R46" s="625"/>
      <c r="S46" s="625"/>
      <c r="T46" s="625"/>
      <c r="U46" s="625"/>
      <c r="V46" s="625"/>
      <c r="W46" s="625"/>
      <c r="X46" s="625"/>
      <c r="Y46" s="625"/>
      <c r="Z46" s="625"/>
      <c r="AA46" s="625"/>
      <c r="AB46" s="625"/>
      <c r="AC46" s="625"/>
      <c r="AD46" s="625"/>
      <c r="AE46" s="625"/>
      <c r="AF46" s="625"/>
    </row>
    <row r="47" customFormat="false" ht="23.25" hidden="false" customHeight="true" outlineLevel="0" collapsed="false">
      <c r="A47" s="625"/>
      <c r="B47" s="625"/>
      <c r="C47" s="38" t="s">
        <v>62</v>
      </c>
      <c r="D47" s="79" t="s">
        <v>169</v>
      </c>
      <c r="E47" s="633"/>
      <c r="G47" s="633"/>
      <c r="H47" s="633"/>
      <c r="I47" s="633"/>
      <c r="J47" s="637" t="s">
        <v>33</v>
      </c>
      <c r="K47" s="653"/>
      <c r="L47" s="625"/>
      <c r="M47" s="625"/>
      <c r="N47" s="625"/>
      <c r="O47" s="625"/>
      <c r="P47" s="625"/>
      <c r="Q47" s="625"/>
      <c r="R47" s="625"/>
      <c r="S47" s="625"/>
      <c r="T47" s="625"/>
      <c r="U47" s="625"/>
      <c r="V47" s="625"/>
      <c r="W47" s="625"/>
      <c r="X47" s="625"/>
      <c r="Y47" s="625"/>
      <c r="Z47" s="625"/>
      <c r="AA47" s="625"/>
      <c r="AB47" s="625"/>
      <c r="AC47" s="625"/>
      <c r="AD47" s="625"/>
      <c r="AE47" s="625"/>
      <c r="AF47" s="625"/>
    </row>
    <row r="48" customFormat="false" ht="23.25" hidden="false" customHeight="true" outlineLevel="0" collapsed="false">
      <c r="A48" s="625"/>
      <c r="B48" s="625"/>
      <c r="C48" s="96" t="n">
        <v>7.93</v>
      </c>
      <c r="D48" s="101" t="s">
        <v>210</v>
      </c>
      <c r="E48" s="633"/>
      <c r="G48" s="633"/>
      <c r="H48" s="633"/>
      <c r="I48" s="633"/>
      <c r="J48" s="639" t="n">
        <f aca="false" t="array" ref="J48:J48">SUM(IF(ISNUMBER(B48:D48), B48:D48, 0))</f>
        <v>7.93</v>
      </c>
      <c r="L48" s="644" t="s">
        <v>22</v>
      </c>
      <c r="M48" s="625"/>
      <c r="N48" s="625"/>
      <c r="O48" s="625"/>
      <c r="P48" s="625"/>
      <c r="Q48" s="625"/>
      <c r="R48" s="625"/>
      <c r="S48" s="625"/>
      <c r="T48" s="625"/>
      <c r="U48" s="625"/>
      <c r="V48" s="625"/>
      <c r="W48" s="625"/>
      <c r="X48" s="625"/>
      <c r="Y48" s="625"/>
      <c r="Z48" s="625"/>
      <c r="AA48" s="625"/>
      <c r="AB48" s="625"/>
      <c r="AC48" s="625"/>
      <c r="AD48" s="625"/>
      <c r="AE48" s="625"/>
      <c r="AF48" s="625"/>
    </row>
    <row r="49" customFormat="false" ht="23.25" hidden="false" customHeight="true" outlineLevel="0" collapsed="false">
      <c r="A49" s="625"/>
      <c r="B49" s="625"/>
      <c r="C49" s="44" t="n">
        <v>0.63</v>
      </c>
      <c r="D49" s="101"/>
      <c r="E49" s="633"/>
      <c r="G49" s="633"/>
      <c r="H49" s="633"/>
      <c r="I49" s="633"/>
      <c r="J49" s="639" t="n">
        <f aca="false" t="array" ref="J49:J49">SUM(IF(ISNUMBER(B49:D49), B49:D49, 0))</f>
        <v>0.63</v>
      </c>
      <c r="L49" s="644" t="s">
        <v>24</v>
      </c>
      <c r="M49" s="625"/>
      <c r="N49" s="625"/>
      <c r="O49" s="625"/>
      <c r="P49" s="625"/>
      <c r="Q49" s="625"/>
      <c r="R49" s="625"/>
      <c r="S49" s="625"/>
      <c r="T49" s="625"/>
      <c r="U49" s="625"/>
      <c r="V49" s="625"/>
      <c r="W49" s="625"/>
      <c r="X49" s="625"/>
      <c r="Y49" s="625"/>
      <c r="Z49" s="625"/>
      <c r="AA49" s="625"/>
      <c r="AB49" s="625"/>
      <c r="AC49" s="625"/>
      <c r="AD49" s="625"/>
      <c r="AE49" s="625"/>
      <c r="AF49" s="625"/>
    </row>
    <row r="50" customFormat="false" ht="23.25" hidden="false" customHeight="true" outlineLevel="0" collapsed="false">
      <c r="A50" s="625"/>
      <c r="B50" s="625"/>
      <c r="C50" s="44" t="n">
        <v>0.8</v>
      </c>
      <c r="D50" s="101"/>
      <c r="E50" s="633"/>
      <c r="G50" s="633"/>
      <c r="H50" s="633"/>
      <c r="I50" s="633"/>
      <c r="J50" s="641" t="n">
        <f aca="false" t="array" ref="J50:J50">SUM(IF(ISNUMBER(B50:D50), B50:D50, 0))</f>
        <v>0.8</v>
      </c>
      <c r="L50" s="644" t="s">
        <v>26</v>
      </c>
      <c r="M50" s="625"/>
      <c r="N50" s="625"/>
      <c r="O50" s="625"/>
      <c r="P50" s="625"/>
      <c r="Q50" s="625"/>
      <c r="R50" s="625"/>
      <c r="S50" s="625"/>
      <c r="T50" s="625"/>
      <c r="U50" s="625"/>
      <c r="V50" s="625"/>
      <c r="W50" s="625"/>
      <c r="X50" s="625"/>
      <c r="Y50" s="625"/>
      <c r="Z50" s="625"/>
      <c r="AA50" s="625"/>
      <c r="AB50" s="625"/>
      <c r="AC50" s="625"/>
      <c r="AD50" s="625"/>
      <c r="AE50" s="625"/>
      <c r="AF50" s="625"/>
    </row>
    <row r="51" customFormat="false" ht="23.25" hidden="false" customHeight="true" outlineLevel="0" collapsed="false">
      <c r="A51" s="625"/>
      <c r="B51" s="625"/>
      <c r="C51" s="73" t="s">
        <v>279</v>
      </c>
      <c r="D51" s="89" t="s">
        <v>280</v>
      </c>
      <c r="E51" s="624" t="s">
        <v>4</v>
      </c>
      <c r="F51" s="624" t="s">
        <v>4</v>
      </c>
      <c r="G51" s="633" t="s">
        <v>4</v>
      </c>
      <c r="H51" s="633" t="s">
        <v>4</v>
      </c>
      <c r="I51" s="633" t="s">
        <v>4</v>
      </c>
      <c r="J51" s="641" t="n">
        <v>13.65</v>
      </c>
      <c r="L51" s="640" t="s">
        <v>28</v>
      </c>
      <c r="M51" s="625"/>
      <c r="N51" s="625"/>
      <c r="O51" s="625"/>
      <c r="P51" s="625"/>
      <c r="Q51" s="625"/>
      <c r="R51" s="625"/>
      <c r="S51" s="625"/>
      <c r="T51" s="625"/>
      <c r="U51" s="625"/>
      <c r="V51" s="625"/>
      <c r="W51" s="625"/>
      <c r="X51" s="625"/>
      <c r="Y51" s="625"/>
      <c r="Z51" s="625"/>
      <c r="AA51" s="625"/>
      <c r="AB51" s="625"/>
      <c r="AC51" s="625"/>
      <c r="AD51" s="625"/>
      <c r="AE51" s="625"/>
      <c r="AF51" s="625"/>
    </row>
    <row r="52" customFormat="false" ht="23.25" hidden="false" customHeight="true" outlineLevel="0" collapsed="false">
      <c r="A52" s="625"/>
      <c r="B52" s="625"/>
      <c r="C52" s="633"/>
      <c r="D52" s="633"/>
      <c r="E52" s="633"/>
      <c r="F52" s="633"/>
      <c r="G52" s="633"/>
      <c r="H52" s="633"/>
      <c r="I52" s="633"/>
      <c r="J52" s="633"/>
      <c r="K52" s="633"/>
      <c r="L52" s="625"/>
      <c r="M52" s="625"/>
      <c r="N52" s="625"/>
      <c r="O52" s="625"/>
      <c r="P52" s="625"/>
      <c r="Q52" s="625"/>
      <c r="R52" s="625"/>
      <c r="S52" s="625"/>
      <c r="T52" s="625"/>
      <c r="U52" s="625"/>
      <c r="V52" s="625"/>
      <c r="W52" s="625"/>
      <c r="X52" s="625"/>
      <c r="Y52" s="625"/>
      <c r="Z52" s="625"/>
      <c r="AA52" s="625"/>
      <c r="AB52" s="625"/>
      <c r="AC52" s="625"/>
      <c r="AD52" s="625"/>
      <c r="AE52" s="625"/>
      <c r="AF52" s="625"/>
    </row>
    <row r="53" customFormat="false" ht="22.5" hidden="false" customHeight="true" outlineLevel="0" collapsed="false">
      <c r="A53" s="625"/>
      <c r="B53" s="625"/>
      <c r="C53" s="625"/>
      <c r="D53" s="625"/>
      <c r="E53" s="625"/>
      <c r="F53" s="625"/>
      <c r="G53" s="625"/>
      <c r="H53" s="625"/>
      <c r="I53" s="625"/>
      <c r="J53" s="625"/>
      <c r="K53" s="625"/>
      <c r="L53" s="625"/>
      <c r="M53" s="625"/>
      <c r="N53" s="625"/>
      <c r="O53" s="625"/>
      <c r="P53" s="625"/>
      <c r="Q53" s="625"/>
      <c r="R53" s="625"/>
      <c r="S53" s="625"/>
      <c r="T53" s="625"/>
      <c r="U53" s="625"/>
      <c r="V53" s="625"/>
      <c r="W53" s="625"/>
      <c r="X53" s="625"/>
      <c r="Y53" s="625"/>
      <c r="Z53" s="625"/>
      <c r="AA53" s="625"/>
      <c r="AB53" s="625"/>
      <c r="AC53" s="625"/>
      <c r="AD53" s="625"/>
      <c r="AE53" s="625"/>
      <c r="AF53" s="625"/>
    </row>
    <row r="54" customFormat="false" ht="16.5" hidden="false" customHeight="false" outlineLevel="0" collapsed="false">
      <c r="A54" s="625"/>
      <c r="B54" s="625"/>
      <c r="C54" s="625"/>
      <c r="D54" s="625"/>
      <c r="E54" s="625"/>
      <c r="F54" s="625"/>
      <c r="G54" s="625"/>
      <c r="H54" s="625"/>
      <c r="I54" s="625"/>
      <c r="J54" s="625"/>
      <c r="K54" s="625"/>
      <c r="L54" s="625"/>
      <c r="M54" s="625"/>
      <c r="N54" s="625"/>
      <c r="O54" s="625"/>
      <c r="P54" s="625"/>
      <c r="Q54" s="625"/>
      <c r="R54" s="625"/>
      <c r="S54" s="625"/>
      <c r="T54" s="625"/>
      <c r="U54" s="625"/>
      <c r="V54" s="625"/>
      <c r="W54" s="625"/>
      <c r="X54" s="625"/>
      <c r="Y54" s="625"/>
      <c r="Z54" s="625"/>
      <c r="AA54" s="625"/>
      <c r="AB54" s="625"/>
      <c r="AC54" s="625"/>
      <c r="AD54" s="625"/>
      <c r="AE54" s="625"/>
      <c r="AF54" s="625"/>
    </row>
    <row r="55" customFormat="false" ht="16.5" hidden="false" customHeight="false" outlineLevel="0" collapsed="false">
      <c r="A55" s="625"/>
      <c r="B55" s="625"/>
      <c r="C55" s="625"/>
      <c r="D55" s="625"/>
      <c r="E55" s="625"/>
      <c r="F55" s="625"/>
      <c r="G55" s="625"/>
      <c r="H55" s="625"/>
      <c r="I55" s="625"/>
      <c r="J55" s="625"/>
      <c r="K55" s="625"/>
      <c r="L55" s="625"/>
      <c r="M55" s="625"/>
      <c r="N55" s="625"/>
      <c r="O55" s="625"/>
      <c r="P55" s="625"/>
      <c r="Q55" s="625"/>
      <c r="R55" s="625"/>
      <c r="S55" s="625"/>
      <c r="T55" s="625"/>
      <c r="U55" s="625"/>
      <c r="V55" s="625"/>
      <c r="W55" s="625"/>
      <c r="X55" s="625"/>
      <c r="Y55" s="625"/>
      <c r="Z55" s="625"/>
      <c r="AA55" s="625"/>
      <c r="AB55" s="625"/>
      <c r="AC55" s="625"/>
      <c r="AD55" s="625"/>
      <c r="AE55" s="625"/>
      <c r="AF55" s="625"/>
    </row>
    <row r="56" customFormat="false" ht="16.5" hidden="false" customHeight="false" outlineLevel="0" collapsed="false">
      <c r="A56" s="625"/>
      <c r="B56" s="625"/>
      <c r="C56" s="625"/>
      <c r="D56" s="625"/>
      <c r="E56" s="625"/>
      <c r="F56" s="625"/>
      <c r="G56" s="625"/>
      <c r="H56" s="625"/>
      <c r="I56" s="625"/>
      <c r="J56" s="625"/>
      <c r="K56" s="625"/>
      <c r="L56" s="625"/>
      <c r="M56" s="625"/>
      <c r="N56" s="625"/>
      <c r="O56" s="625"/>
      <c r="P56" s="625"/>
      <c r="Q56" s="625"/>
      <c r="R56" s="625"/>
      <c r="S56" s="625"/>
      <c r="T56" s="625"/>
      <c r="U56" s="625"/>
      <c r="V56" s="625"/>
      <c r="W56" s="625"/>
      <c r="X56" s="625"/>
      <c r="Y56" s="625"/>
      <c r="Z56" s="625"/>
      <c r="AA56" s="625"/>
      <c r="AB56" s="625"/>
      <c r="AC56" s="625"/>
      <c r="AD56" s="625"/>
      <c r="AE56" s="625"/>
      <c r="AF56" s="625"/>
    </row>
    <row r="57" customFormat="false" ht="16.5" hidden="false" customHeight="false" outlineLevel="0" collapsed="false">
      <c r="A57" s="625"/>
      <c r="B57" s="625"/>
      <c r="C57" s="625"/>
      <c r="D57" s="625"/>
      <c r="E57" s="625"/>
      <c r="F57" s="625"/>
      <c r="G57" s="625"/>
      <c r="H57" s="625"/>
      <c r="I57" s="625"/>
      <c r="J57" s="625"/>
      <c r="K57" s="625"/>
      <c r="L57" s="625"/>
      <c r="M57" s="625"/>
      <c r="N57" s="625"/>
      <c r="O57" s="625"/>
      <c r="P57" s="625"/>
      <c r="Q57" s="625"/>
      <c r="R57" s="625"/>
      <c r="S57" s="625"/>
      <c r="T57" s="625"/>
      <c r="U57" s="625"/>
      <c r="V57" s="625"/>
      <c r="W57" s="625"/>
      <c r="X57" s="625"/>
      <c r="Y57" s="625"/>
      <c r="Z57" s="625"/>
      <c r="AA57" s="625"/>
      <c r="AB57" s="625"/>
      <c r="AC57" s="625"/>
      <c r="AD57" s="625"/>
      <c r="AE57" s="625"/>
      <c r="AF57" s="625"/>
    </row>
    <row r="58" customFormat="false" ht="16.5" hidden="false" customHeight="false" outlineLevel="0" collapsed="false">
      <c r="A58" s="625"/>
      <c r="B58" s="625"/>
      <c r="C58" s="625"/>
      <c r="D58" s="625"/>
      <c r="E58" s="625"/>
      <c r="F58" s="625"/>
      <c r="G58" s="625"/>
      <c r="H58" s="625"/>
      <c r="I58" s="625"/>
      <c r="J58" s="625"/>
      <c r="K58" s="625"/>
      <c r="L58" s="625"/>
      <c r="M58" s="625"/>
      <c r="N58" s="625"/>
      <c r="O58" s="625"/>
      <c r="P58" s="625"/>
      <c r="Q58" s="625"/>
      <c r="R58" s="625"/>
      <c r="S58" s="625"/>
      <c r="T58" s="625"/>
      <c r="U58" s="625"/>
      <c r="V58" s="625"/>
      <c r="W58" s="625"/>
      <c r="X58" s="625"/>
      <c r="Y58" s="625"/>
      <c r="Z58" s="625"/>
      <c r="AA58" s="625"/>
      <c r="AB58" s="625"/>
      <c r="AC58" s="625"/>
      <c r="AD58" s="625"/>
      <c r="AE58" s="625"/>
      <c r="AF58" s="625"/>
    </row>
    <row r="59" customFormat="false" ht="16.5" hidden="false" customHeight="false" outlineLevel="0" collapsed="false">
      <c r="A59" s="625"/>
      <c r="B59" s="625"/>
      <c r="C59" s="625"/>
      <c r="D59" s="625"/>
      <c r="E59" s="625"/>
      <c r="F59" s="625"/>
      <c r="G59" s="625"/>
      <c r="H59" s="625"/>
      <c r="I59" s="625"/>
      <c r="J59" s="625"/>
      <c r="K59" s="625"/>
      <c r="L59" s="625"/>
      <c r="M59" s="625"/>
      <c r="N59" s="625"/>
      <c r="O59" s="625"/>
      <c r="P59" s="625"/>
      <c r="Q59" s="625"/>
      <c r="R59" s="625"/>
      <c r="S59" s="625"/>
      <c r="T59" s="625"/>
      <c r="U59" s="625"/>
      <c r="V59" s="625"/>
      <c r="W59" s="625"/>
      <c r="X59" s="625"/>
      <c r="Y59" s="625"/>
      <c r="Z59" s="625"/>
      <c r="AA59" s="625"/>
      <c r="AB59" s="625"/>
      <c r="AC59" s="625"/>
      <c r="AD59" s="625"/>
      <c r="AE59" s="625"/>
      <c r="AF59" s="625"/>
    </row>
    <row r="60" customFormat="false" ht="16.5" hidden="false" customHeight="false" outlineLevel="0" collapsed="false">
      <c r="A60" s="625"/>
      <c r="B60" s="625"/>
      <c r="C60" s="625"/>
      <c r="D60" s="625"/>
      <c r="E60" s="625"/>
      <c r="F60" s="625"/>
      <c r="G60" s="625"/>
      <c r="H60" s="625"/>
      <c r="I60" s="625"/>
      <c r="J60" s="625"/>
      <c r="K60" s="625"/>
      <c r="L60" s="625"/>
      <c r="M60" s="625"/>
      <c r="N60" s="625"/>
      <c r="O60" s="625"/>
      <c r="P60" s="625"/>
      <c r="Q60" s="625"/>
      <c r="R60" s="625"/>
      <c r="S60" s="625"/>
      <c r="T60" s="625"/>
      <c r="U60" s="625"/>
      <c r="V60" s="625"/>
      <c r="W60" s="625"/>
      <c r="X60" s="625"/>
      <c r="Y60" s="625"/>
      <c r="Z60" s="625"/>
      <c r="AA60" s="625"/>
      <c r="AB60" s="625"/>
      <c r="AC60" s="625"/>
      <c r="AD60" s="625"/>
      <c r="AE60" s="625"/>
      <c r="AF60" s="625"/>
    </row>
    <row r="61" customFormat="false" ht="16.5" hidden="false" customHeight="false" outlineLevel="0" collapsed="false">
      <c r="A61" s="625"/>
      <c r="B61" s="625"/>
      <c r="C61" s="625"/>
      <c r="D61" s="625"/>
      <c r="E61" s="625"/>
      <c r="F61" s="625"/>
      <c r="G61" s="625"/>
      <c r="H61" s="625"/>
      <c r="I61" s="625"/>
      <c r="J61" s="625"/>
      <c r="K61" s="625"/>
      <c r="L61" s="625"/>
      <c r="M61" s="625"/>
      <c r="N61" s="625"/>
      <c r="O61" s="625"/>
      <c r="P61" s="625"/>
      <c r="Q61" s="625"/>
      <c r="R61" s="625"/>
      <c r="S61" s="625"/>
      <c r="T61" s="625"/>
      <c r="U61" s="625"/>
      <c r="V61" s="625"/>
      <c r="W61" s="625"/>
      <c r="X61" s="625"/>
      <c r="Y61" s="625"/>
      <c r="Z61" s="625"/>
      <c r="AA61" s="625"/>
      <c r="AB61" s="625"/>
      <c r="AC61" s="625"/>
      <c r="AD61" s="625"/>
      <c r="AE61" s="625"/>
      <c r="AF61" s="625"/>
    </row>
    <row r="62" customFormat="false" ht="16.5" hidden="false" customHeight="false" outlineLevel="0" collapsed="false">
      <c r="A62" s="625"/>
      <c r="B62" s="625"/>
      <c r="C62" s="625"/>
      <c r="D62" s="625"/>
      <c r="E62" s="625"/>
      <c r="F62" s="625"/>
      <c r="G62" s="625"/>
      <c r="H62" s="625"/>
      <c r="I62" s="625"/>
      <c r="J62" s="625"/>
      <c r="K62" s="625"/>
      <c r="L62" s="625"/>
      <c r="M62" s="625"/>
      <c r="N62" s="625"/>
      <c r="O62" s="625"/>
      <c r="P62" s="625"/>
      <c r="Q62" s="625"/>
      <c r="R62" s="625"/>
      <c r="S62" s="625"/>
      <c r="T62" s="625"/>
      <c r="U62" s="625"/>
      <c r="V62" s="625"/>
      <c r="W62" s="625"/>
      <c r="X62" s="625"/>
      <c r="Y62" s="625"/>
      <c r="Z62" s="625"/>
      <c r="AA62" s="625"/>
      <c r="AB62" s="625"/>
      <c r="AC62" s="625"/>
      <c r="AD62" s="625"/>
      <c r="AE62" s="625"/>
      <c r="AF62" s="625"/>
    </row>
    <row r="63" customFormat="false" ht="16.5" hidden="false" customHeight="false" outlineLevel="0" collapsed="false">
      <c r="A63" s="625"/>
      <c r="B63" s="625"/>
      <c r="C63" s="625"/>
      <c r="D63" s="625"/>
      <c r="E63" s="625"/>
      <c r="F63" s="625"/>
      <c r="G63" s="625"/>
      <c r="H63" s="625"/>
      <c r="I63" s="625"/>
      <c r="J63" s="625"/>
      <c r="K63" s="625"/>
      <c r="L63" s="625"/>
      <c r="M63" s="625"/>
      <c r="N63" s="625"/>
      <c r="O63" s="625"/>
      <c r="P63" s="625"/>
      <c r="Q63" s="625"/>
      <c r="R63" s="625"/>
      <c r="S63" s="625"/>
      <c r="T63" s="625"/>
      <c r="U63" s="625"/>
      <c r="V63" s="625"/>
      <c r="W63" s="625"/>
      <c r="X63" s="625"/>
      <c r="Y63" s="625"/>
      <c r="Z63" s="625"/>
      <c r="AA63" s="625"/>
      <c r="AB63" s="625"/>
      <c r="AC63" s="625"/>
      <c r="AD63" s="625"/>
      <c r="AE63" s="625"/>
      <c r="AF63" s="625"/>
    </row>
    <row r="64" customFormat="false" ht="16.5" hidden="false" customHeight="false" outlineLevel="0" collapsed="false">
      <c r="A64" s="625"/>
      <c r="B64" s="625"/>
      <c r="C64" s="625"/>
      <c r="D64" s="625"/>
      <c r="E64" s="625"/>
      <c r="F64" s="625"/>
      <c r="G64" s="625"/>
      <c r="H64" s="625"/>
      <c r="I64" s="625"/>
      <c r="J64" s="625"/>
      <c r="K64" s="625"/>
      <c r="L64" s="625"/>
      <c r="M64" s="625"/>
      <c r="N64" s="625"/>
      <c r="O64" s="625"/>
      <c r="P64" s="625"/>
      <c r="Q64" s="625"/>
      <c r="R64" s="625"/>
      <c r="S64" s="625"/>
      <c r="T64" s="625"/>
      <c r="U64" s="625"/>
      <c r="V64" s="625"/>
      <c r="W64" s="625"/>
      <c r="X64" s="625"/>
      <c r="Y64" s="625"/>
      <c r="Z64" s="625"/>
      <c r="AA64" s="625"/>
      <c r="AB64" s="625"/>
      <c r="AC64" s="625"/>
      <c r="AD64" s="625"/>
      <c r="AE64" s="625"/>
      <c r="AF64" s="625"/>
    </row>
    <row r="65" customFormat="false" ht="16.5" hidden="false" customHeight="false" outlineLevel="0" collapsed="false">
      <c r="A65" s="625"/>
      <c r="B65" s="625"/>
      <c r="C65" s="625"/>
      <c r="D65" s="625"/>
      <c r="E65" s="625"/>
      <c r="F65" s="625"/>
      <c r="G65" s="625"/>
      <c r="H65" s="625"/>
      <c r="I65" s="625"/>
      <c r="J65" s="625"/>
      <c r="K65" s="625"/>
      <c r="L65" s="625"/>
      <c r="M65" s="625"/>
      <c r="N65" s="625"/>
      <c r="O65" s="625"/>
      <c r="P65" s="625"/>
      <c r="Q65" s="625"/>
      <c r="R65" s="625"/>
      <c r="S65" s="625"/>
      <c r="T65" s="625"/>
      <c r="U65" s="625"/>
      <c r="V65" s="625"/>
      <c r="W65" s="625"/>
      <c r="X65" s="625"/>
      <c r="Y65" s="625"/>
      <c r="Z65" s="625"/>
      <c r="AA65" s="625"/>
      <c r="AB65" s="625"/>
      <c r="AC65" s="625"/>
      <c r="AD65" s="625"/>
      <c r="AE65" s="625"/>
      <c r="AF65" s="625"/>
    </row>
    <row r="66" customFormat="false" ht="16.5" hidden="false" customHeight="false" outlineLevel="0" collapsed="false">
      <c r="A66" s="625"/>
      <c r="B66" s="625"/>
      <c r="C66" s="625"/>
      <c r="D66" s="625"/>
      <c r="E66" s="625"/>
      <c r="F66" s="625"/>
      <c r="G66" s="625"/>
      <c r="H66" s="625"/>
      <c r="I66" s="625"/>
      <c r="J66" s="625"/>
      <c r="K66" s="625"/>
      <c r="L66" s="625"/>
      <c r="M66" s="625"/>
      <c r="N66" s="625"/>
      <c r="O66" s="625"/>
      <c r="P66" s="625"/>
      <c r="Q66" s="625"/>
      <c r="R66" s="625"/>
      <c r="S66" s="625"/>
      <c r="T66" s="625"/>
      <c r="U66" s="625"/>
      <c r="V66" s="625"/>
      <c r="W66" s="625"/>
      <c r="X66" s="625"/>
      <c r="Y66" s="625"/>
      <c r="Z66" s="625"/>
      <c r="AA66" s="625"/>
      <c r="AB66" s="625"/>
      <c r="AC66" s="625"/>
      <c r="AD66" s="625"/>
      <c r="AE66" s="625"/>
      <c r="AF66" s="625"/>
    </row>
    <row r="67" customFormat="false" ht="16.5" hidden="false" customHeight="false" outlineLevel="0" collapsed="false">
      <c r="A67" s="625"/>
      <c r="B67" s="625"/>
      <c r="C67" s="625"/>
      <c r="D67" s="625"/>
      <c r="E67" s="625"/>
      <c r="F67" s="625"/>
      <c r="G67" s="625"/>
      <c r="H67" s="625"/>
      <c r="I67" s="625"/>
      <c r="J67" s="625"/>
      <c r="K67" s="625"/>
      <c r="L67" s="625"/>
      <c r="M67" s="625"/>
      <c r="N67" s="625"/>
      <c r="O67" s="625"/>
      <c r="P67" s="625"/>
      <c r="Q67" s="625"/>
      <c r="R67" s="625"/>
      <c r="S67" s="625"/>
      <c r="T67" s="625"/>
      <c r="U67" s="625"/>
      <c r="V67" s="625"/>
      <c r="W67" s="625"/>
      <c r="X67" s="625"/>
      <c r="Y67" s="625"/>
      <c r="Z67" s="625"/>
      <c r="AA67" s="625"/>
      <c r="AB67" s="625"/>
      <c r="AC67" s="625"/>
      <c r="AD67" s="625"/>
      <c r="AE67" s="625"/>
      <c r="AF67" s="625"/>
    </row>
    <row r="68" customFormat="false" ht="16.5" hidden="false" customHeight="false" outlineLevel="0" collapsed="false">
      <c r="A68" s="625"/>
      <c r="B68" s="625"/>
      <c r="C68" s="625"/>
      <c r="D68" s="625"/>
      <c r="E68" s="625"/>
      <c r="F68" s="625"/>
      <c r="G68" s="625"/>
      <c r="H68" s="625"/>
      <c r="I68" s="625"/>
      <c r="J68" s="625"/>
      <c r="K68" s="625"/>
      <c r="L68" s="625"/>
      <c r="M68" s="625"/>
      <c r="N68" s="625"/>
      <c r="O68" s="625"/>
      <c r="P68" s="625"/>
      <c r="Q68" s="625"/>
      <c r="R68" s="625"/>
      <c r="S68" s="625"/>
      <c r="T68" s="625"/>
      <c r="U68" s="625"/>
      <c r="V68" s="625"/>
      <c r="W68" s="625"/>
      <c r="X68" s="625"/>
      <c r="Y68" s="625"/>
      <c r="Z68" s="625"/>
      <c r="AA68" s="625"/>
      <c r="AB68" s="625"/>
      <c r="AC68" s="625"/>
      <c r="AD68" s="625"/>
      <c r="AE68" s="625"/>
      <c r="AF68" s="625"/>
    </row>
    <row r="69" customFormat="false" ht="16.5" hidden="false" customHeight="false" outlineLevel="0" collapsed="false">
      <c r="A69" s="625"/>
      <c r="B69" s="625"/>
      <c r="C69" s="625"/>
      <c r="D69" s="625"/>
      <c r="E69" s="625"/>
      <c r="F69" s="625"/>
      <c r="G69" s="625"/>
      <c r="H69" s="625"/>
      <c r="I69" s="625"/>
      <c r="J69" s="625"/>
      <c r="K69" s="625"/>
      <c r="L69" s="625"/>
      <c r="M69" s="625"/>
      <c r="N69" s="625"/>
      <c r="O69" s="625"/>
      <c r="P69" s="625"/>
      <c r="Q69" s="625"/>
      <c r="R69" s="625"/>
      <c r="S69" s="625"/>
      <c r="T69" s="625"/>
      <c r="U69" s="625"/>
      <c r="V69" s="625"/>
      <c r="W69" s="625"/>
      <c r="X69" s="625"/>
      <c r="Y69" s="625"/>
      <c r="Z69" s="625"/>
      <c r="AA69" s="625"/>
      <c r="AB69" s="625"/>
      <c r="AC69" s="625"/>
      <c r="AD69" s="625"/>
      <c r="AE69" s="625"/>
      <c r="AF69" s="625"/>
    </row>
    <row r="70" customFormat="false" ht="16.5" hidden="false" customHeight="false" outlineLevel="0" collapsed="false">
      <c r="A70" s="625"/>
      <c r="B70" s="625"/>
      <c r="C70" s="625"/>
      <c r="D70" s="625"/>
      <c r="E70" s="625"/>
      <c r="F70" s="625"/>
      <c r="G70" s="625"/>
      <c r="H70" s="625"/>
      <c r="I70" s="625"/>
      <c r="J70" s="625"/>
      <c r="K70" s="625"/>
      <c r="L70" s="625"/>
      <c r="M70" s="625"/>
      <c r="N70" s="625"/>
      <c r="O70" s="625"/>
      <c r="P70" s="625"/>
      <c r="Q70" s="625"/>
      <c r="R70" s="625"/>
      <c r="S70" s="625"/>
      <c r="T70" s="625"/>
      <c r="U70" s="625"/>
      <c r="V70" s="625"/>
      <c r="W70" s="625"/>
      <c r="X70" s="625"/>
      <c r="Y70" s="625"/>
      <c r="Z70" s="625"/>
      <c r="AA70" s="625"/>
      <c r="AB70" s="625"/>
      <c r="AC70" s="625"/>
      <c r="AD70" s="625"/>
      <c r="AE70" s="625"/>
      <c r="AF70" s="625"/>
    </row>
    <row r="71" customFormat="false" ht="16.5" hidden="false" customHeight="false" outlineLevel="0" collapsed="false">
      <c r="A71" s="625"/>
      <c r="B71" s="625"/>
      <c r="C71" s="625"/>
      <c r="D71" s="625"/>
      <c r="E71" s="625"/>
      <c r="F71" s="625"/>
      <c r="G71" s="625"/>
      <c r="H71" s="625"/>
      <c r="I71" s="625"/>
      <c r="J71" s="625"/>
      <c r="K71" s="625"/>
      <c r="L71" s="625"/>
      <c r="M71" s="625"/>
      <c r="N71" s="625"/>
      <c r="O71" s="625"/>
      <c r="P71" s="625"/>
      <c r="Q71" s="625"/>
      <c r="R71" s="625"/>
      <c r="S71" s="625"/>
      <c r="T71" s="625"/>
      <c r="U71" s="625"/>
      <c r="V71" s="625"/>
      <c r="W71" s="625"/>
      <c r="X71" s="625"/>
      <c r="Y71" s="625"/>
      <c r="Z71" s="625"/>
      <c r="AA71" s="625"/>
      <c r="AB71" s="625"/>
      <c r="AC71" s="625"/>
      <c r="AD71" s="625"/>
      <c r="AE71" s="625"/>
      <c r="AF71" s="625"/>
    </row>
    <row r="72" customFormat="false" ht="16.5" hidden="false" customHeight="false" outlineLevel="0" collapsed="false">
      <c r="A72" s="625"/>
      <c r="B72" s="625"/>
      <c r="C72" s="625"/>
      <c r="D72" s="625"/>
      <c r="E72" s="625"/>
      <c r="F72" s="625"/>
      <c r="G72" s="625"/>
      <c r="H72" s="625"/>
      <c r="I72" s="625"/>
      <c r="J72" s="625"/>
      <c r="K72" s="625"/>
      <c r="L72" s="625"/>
      <c r="M72" s="625"/>
      <c r="N72" s="625"/>
      <c r="O72" s="625"/>
      <c r="P72" s="625"/>
      <c r="Q72" s="625"/>
      <c r="R72" s="625"/>
      <c r="S72" s="625"/>
      <c r="T72" s="625"/>
      <c r="U72" s="625"/>
      <c r="V72" s="625"/>
      <c r="W72" s="625"/>
      <c r="X72" s="625"/>
      <c r="Y72" s="625"/>
      <c r="Z72" s="625"/>
      <c r="AA72" s="625"/>
      <c r="AB72" s="625"/>
      <c r="AC72" s="625"/>
      <c r="AD72" s="625"/>
      <c r="AE72" s="625"/>
      <c r="AF72" s="625"/>
    </row>
    <row r="73" customFormat="false" ht="16.5" hidden="false" customHeight="false" outlineLevel="0" collapsed="false">
      <c r="A73" s="625"/>
      <c r="B73" s="625"/>
      <c r="C73" s="625"/>
      <c r="D73" s="625"/>
      <c r="E73" s="625"/>
      <c r="F73" s="625"/>
      <c r="G73" s="625"/>
      <c r="H73" s="625"/>
      <c r="I73" s="625"/>
      <c r="J73" s="625"/>
      <c r="K73" s="625"/>
      <c r="L73" s="625"/>
      <c r="M73" s="625"/>
      <c r="N73" s="625"/>
      <c r="O73" s="625"/>
      <c r="P73" s="625"/>
      <c r="Q73" s="625"/>
      <c r="R73" s="625"/>
      <c r="S73" s="625"/>
      <c r="T73" s="625"/>
      <c r="U73" s="625"/>
      <c r="V73" s="625"/>
      <c r="W73" s="625"/>
      <c r="X73" s="625"/>
      <c r="Y73" s="625"/>
      <c r="Z73" s="625"/>
      <c r="AA73" s="625"/>
      <c r="AB73" s="625"/>
      <c r="AC73" s="625"/>
      <c r="AD73" s="625"/>
      <c r="AE73" s="625"/>
      <c r="AF73" s="625"/>
    </row>
    <row r="74" customFormat="false" ht="16.5" hidden="false" customHeight="false" outlineLevel="0" collapsed="false">
      <c r="A74" s="625"/>
      <c r="B74" s="625"/>
      <c r="C74" s="625"/>
      <c r="D74" s="625"/>
      <c r="E74" s="625"/>
      <c r="F74" s="625"/>
      <c r="G74" s="625"/>
      <c r="H74" s="625"/>
      <c r="I74" s="625"/>
      <c r="J74" s="625"/>
      <c r="K74" s="625"/>
      <c r="L74" s="625"/>
      <c r="M74" s="625"/>
      <c r="N74" s="625"/>
      <c r="O74" s="625"/>
      <c r="P74" s="625"/>
      <c r="Q74" s="625"/>
      <c r="R74" s="625"/>
      <c r="S74" s="625"/>
      <c r="T74" s="625"/>
      <c r="U74" s="625"/>
      <c r="V74" s="625"/>
      <c r="W74" s="625"/>
      <c r="X74" s="625"/>
      <c r="Y74" s="625"/>
      <c r="Z74" s="625"/>
      <c r="AA74" s="625"/>
      <c r="AB74" s="625"/>
      <c r="AC74" s="625"/>
      <c r="AD74" s="625"/>
      <c r="AE74" s="625"/>
      <c r="AF74" s="625"/>
    </row>
    <row r="75" customFormat="false" ht="16.5" hidden="false" customHeight="false" outlineLevel="0" collapsed="false">
      <c r="A75" s="625"/>
      <c r="B75" s="625"/>
      <c r="C75" s="625"/>
      <c r="D75" s="625"/>
      <c r="E75" s="625"/>
      <c r="F75" s="625"/>
      <c r="G75" s="625"/>
      <c r="H75" s="625"/>
      <c r="I75" s="625"/>
      <c r="J75" s="625"/>
      <c r="K75" s="625"/>
      <c r="L75" s="625"/>
      <c r="M75" s="625"/>
      <c r="N75" s="625"/>
      <c r="O75" s="625"/>
      <c r="P75" s="625"/>
      <c r="Q75" s="625"/>
      <c r="R75" s="625"/>
      <c r="S75" s="625"/>
      <c r="T75" s="625"/>
      <c r="U75" s="625"/>
      <c r="V75" s="625"/>
      <c r="W75" s="625"/>
      <c r="X75" s="625"/>
      <c r="Y75" s="625"/>
      <c r="Z75" s="625"/>
      <c r="AA75" s="625"/>
      <c r="AB75" s="625"/>
      <c r="AC75" s="625"/>
      <c r="AD75" s="625"/>
      <c r="AE75" s="625"/>
      <c r="AF75" s="625"/>
    </row>
    <row r="76" customFormat="false" ht="16.5" hidden="false" customHeight="false" outlineLevel="0" collapsed="false">
      <c r="A76" s="625"/>
      <c r="B76" s="625"/>
      <c r="C76" s="625"/>
      <c r="D76" s="625"/>
      <c r="E76" s="625"/>
      <c r="F76" s="625"/>
      <c r="G76" s="625"/>
      <c r="H76" s="625"/>
      <c r="I76" s="625"/>
      <c r="J76" s="625"/>
      <c r="K76" s="625"/>
      <c r="L76" s="625"/>
      <c r="M76" s="625"/>
      <c r="N76" s="625"/>
      <c r="O76" s="625"/>
      <c r="P76" s="625"/>
      <c r="Q76" s="625"/>
      <c r="R76" s="625"/>
      <c r="S76" s="625"/>
      <c r="T76" s="625"/>
      <c r="U76" s="625"/>
      <c r="V76" s="625"/>
      <c r="W76" s="625"/>
      <c r="X76" s="625"/>
      <c r="Y76" s="625"/>
      <c r="Z76" s="625"/>
      <c r="AA76" s="625"/>
      <c r="AB76" s="625"/>
      <c r="AC76" s="625"/>
      <c r="AD76" s="625"/>
      <c r="AE76" s="625"/>
      <c r="AF76" s="625"/>
    </row>
    <row r="77" customFormat="false" ht="16.5" hidden="false" customHeight="false" outlineLevel="0" collapsed="false">
      <c r="A77" s="625"/>
      <c r="B77" s="625"/>
      <c r="C77" s="625"/>
      <c r="D77" s="625"/>
      <c r="E77" s="625"/>
      <c r="F77" s="625"/>
      <c r="G77" s="625"/>
      <c r="H77" s="625"/>
      <c r="I77" s="625"/>
      <c r="J77" s="625"/>
      <c r="K77" s="625"/>
      <c r="L77" s="625"/>
      <c r="M77" s="625"/>
      <c r="N77" s="625"/>
      <c r="O77" s="625"/>
      <c r="P77" s="625"/>
      <c r="Q77" s="625"/>
      <c r="R77" s="625"/>
      <c r="S77" s="625"/>
      <c r="T77" s="625"/>
      <c r="U77" s="625"/>
      <c r="V77" s="625"/>
      <c r="W77" s="625"/>
      <c r="X77" s="625"/>
      <c r="Y77" s="625"/>
      <c r="Z77" s="625"/>
      <c r="AA77" s="625"/>
      <c r="AB77" s="625"/>
      <c r="AC77" s="625"/>
      <c r="AD77" s="625"/>
      <c r="AE77" s="625"/>
      <c r="AF77" s="625"/>
    </row>
    <row r="78" customFormat="false" ht="16.5" hidden="false" customHeight="false" outlineLevel="0" collapsed="false">
      <c r="A78" s="625"/>
      <c r="B78" s="625"/>
      <c r="C78" s="625"/>
      <c r="D78" s="625"/>
      <c r="E78" s="625"/>
      <c r="F78" s="625"/>
      <c r="G78" s="625"/>
      <c r="H78" s="625"/>
      <c r="I78" s="625"/>
      <c r="J78" s="625"/>
      <c r="K78" s="625"/>
      <c r="L78" s="625"/>
      <c r="M78" s="625"/>
      <c r="N78" s="625"/>
      <c r="O78" s="625"/>
      <c r="P78" s="625"/>
      <c r="Q78" s="625"/>
      <c r="R78" s="625"/>
      <c r="S78" s="625"/>
      <c r="T78" s="625"/>
      <c r="U78" s="625"/>
      <c r="V78" s="625"/>
      <c r="W78" s="625"/>
      <c r="X78" s="625"/>
      <c r="Y78" s="625"/>
      <c r="Z78" s="625"/>
      <c r="AA78" s="625"/>
      <c r="AB78" s="625"/>
      <c r="AC78" s="625"/>
      <c r="AD78" s="625"/>
      <c r="AE78" s="625"/>
      <c r="AF78" s="625"/>
    </row>
    <row r="79" customFormat="false" ht="16.5" hidden="false" customHeight="false" outlineLevel="0" collapsed="false">
      <c r="A79" s="625"/>
      <c r="B79" s="625"/>
      <c r="C79" s="625"/>
      <c r="D79" s="625"/>
      <c r="E79" s="625"/>
      <c r="F79" s="625"/>
      <c r="G79" s="625"/>
      <c r="H79" s="625"/>
      <c r="I79" s="625"/>
      <c r="J79" s="625"/>
      <c r="K79" s="625"/>
      <c r="L79" s="625"/>
      <c r="M79" s="625"/>
      <c r="N79" s="625"/>
      <c r="O79" s="625"/>
      <c r="P79" s="625"/>
      <c r="Q79" s="625"/>
      <c r="R79" s="625"/>
      <c r="S79" s="625"/>
      <c r="T79" s="625"/>
      <c r="U79" s="625"/>
      <c r="V79" s="625"/>
      <c r="W79" s="625"/>
      <c r="X79" s="625"/>
      <c r="Y79" s="625"/>
      <c r="Z79" s="625"/>
      <c r="AA79" s="625"/>
      <c r="AB79" s="625"/>
      <c r="AC79" s="625"/>
      <c r="AD79" s="625"/>
      <c r="AE79" s="625"/>
      <c r="AF79" s="625"/>
    </row>
    <row r="80" customFormat="false" ht="16.5" hidden="false" customHeight="false" outlineLevel="0" collapsed="false">
      <c r="A80" s="625"/>
      <c r="B80" s="625"/>
      <c r="C80" s="625"/>
      <c r="D80" s="625"/>
      <c r="E80" s="625"/>
      <c r="F80" s="625"/>
      <c r="G80" s="625"/>
      <c r="H80" s="625"/>
      <c r="I80" s="625"/>
      <c r="J80" s="625"/>
      <c r="K80" s="625"/>
      <c r="L80" s="625"/>
      <c r="M80" s="625"/>
      <c r="N80" s="625"/>
      <c r="O80" s="625"/>
      <c r="P80" s="625"/>
      <c r="Q80" s="625"/>
      <c r="R80" s="625"/>
      <c r="S80" s="625"/>
      <c r="T80" s="625"/>
      <c r="U80" s="625"/>
      <c r="V80" s="625"/>
      <c r="W80" s="625"/>
      <c r="X80" s="625"/>
      <c r="Y80" s="625"/>
      <c r="Z80" s="625"/>
      <c r="AA80" s="625"/>
      <c r="AB80" s="625"/>
      <c r="AC80" s="625"/>
      <c r="AD80" s="625"/>
      <c r="AE80" s="625"/>
      <c r="AF80" s="625"/>
    </row>
    <row r="81" customFormat="false" ht="16.5" hidden="false" customHeight="false" outlineLevel="0" collapsed="false">
      <c r="A81" s="625"/>
      <c r="B81" s="625"/>
      <c r="C81" s="625"/>
      <c r="D81" s="625"/>
      <c r="E81" s="625"/>
      <c r="F81" s="625"/>
      <c r="G81" s="625"/>
      <c r="H81" s="625"/>
      <c r="I81" s="625"/>
      <c r="J81" s="625"/>
      <c r="K81" s="625"/>
      <c r="L81" s="625"/>
      <c r="M81" s="625"/>
      <c r="N81" s="625"/>
      <c r="O81" s="625"/>
      <c r="P81" s="625"/>
      <c r="Q81" s="625"/>
      <c r="R81" s="625"/>
      <c r="S81" s="625"/>
      <c r="T81" s="625"/>
      <c r="U81" s="625"/>
      <c r="V81" s="625"/>
      <c r="W81" s="625"/>
      <c r="X81" s="625"/>
      <c r="Y81" s="625"/>
      <c r="Z81" s="625"/>
      <c r="AA81" s="625"/>
      <c r="AB81" s="625"/>
      <c r="AC81" s="625"/>
      <c r="AD81" s="625"/>
      <c r="AE81" s="625"/>
      <c r="AF81" s="625"/>
    </row>
    <row r="82" customFormat="false" ht="16.5" hidden="false" customHeight="false" outlineLevel="0" collapsed="false">
      <c r="A82" s="625"/>
      <c r="B82" s="625"/>
      <c r="C82" s="625"/>
      <c r="D82" s="625"/>
      <c r="E82" s="625"/>
      <c r="F82" s="625"/>
      <c r="G82" s="625"/>
      <c r="H82" s="625"/>
      <c r="I82" s="625"/>
      <c r="J82" s="625"/>
      <c r="K82" s="625"/>
      <c r="L82" s="625"/>
      <c r="M82" s="625"/>
      <c r="N82" s="625"/>
      <c r="O82" s="625"/>
      <c r="P82" s="625"/>
      <c r="Q82" s="625"/>
      <c r="R82" s="625"/>
      <c r="S82" s="625"/>
      <c r="T82" s="625"/>
      <c r="U82" s="625"/>
      <c r="V82" s="625"/>
      <c r="W82" s="625"/>
      <c r="X82" s="625"/>
      <c r="Y82" s="625"/>
      <c r="Z82" s="625"/>
      <c r="AA82" s="625"/>
      <c r="AB82" s="625"/>
      <c r="AC82" s="625"/>
      <c r="AD82" s="625"/>
      <c r="AE82" s="625"/>
      <c r="AF82" s="625"/>
    </row>
    <row r="83" customFormat="false" ht="16.5" hidden="false" customHeight="false" outlineLevel="0" collapsed="false">
      <c r="A83" s="625"/>
      <c r="B83" s="625"/>
      <c r="C83" s="625"/>
      <c r="D83" s="625"/>
      <c r="E83" s="625"/>
      <c r="F83" s="625"/>
      <c r="G83" s="625"/>
      <c r="H83" s="625"/>
      <c r="I83" s="625"/>
      <c r="J83" s="625"/>
      <c r="K83" s="625"/>
      <c r="L83" s="625"/>
      <c r="M83" s="625"/>
      <c r="N83" s="625"/>
      <c r="O83" s="625"/>
      <c r="P83" s="625"/>
      <c r="Q83" s="625"/>
      <c r="R83" s="625"/>
      <c r="S83" s="625"/>
      <c r="T83" s="625"/>
      <c r="U83" s="625"/>
      <c r="V83" s="625"/>
      <c r="W83" s="625"/>
      <c r="X83" s="625"/>
      <c r="Y83" s="625"/>
      <c r="Z83" s="625"/>
      <c r="AA83" s="625"/>
      <c r="AB83" s="625"/>
      <c r="AC83" s="625"/>
      <c r="AD83" s="625"/>
      <c r="AE83" s="625"/>
      <c r="AF83" s="625"/>
    </row>
    <row r="84" customFormat="false" ht="16.5" hidden="false" customHeight="false" outlineLevel="0" collapsed="false">
      <c r="A84" s="625"/>
      <c r="B84" s="625"/>
      <c r="C84" s="625"/>
      <c r="D84" s="625"/>
      <c r="E84" s="625"/>
      <c r="F84" s="625"/>
      <c r="G84" s="625"/>
      <c r="H84" s="625"/>
      <c r="I84" s="625"/>
      <c r="J84" s="625"/>
      <c r="K84" s="625"/>
      <c r="L84" s="625"/>
      <c r="M84" s="625"/>
      <c r="N84" s="625"/>
      <c r="O84" s="625"/>
      <c r="P84" s="625"/>
      <c r="Q84" s="625"/>
      <c r="R84" s="625"/>
      <c r="S84" s="625"/>
      <c r="T84" s="625"/>
      <c r="U84" s="625"/>
      <c r="V84" s="625"/>
      <c r="W84" s="625"/>
      <c r="X84" s="625"/>
      <c r="Y84" s="625"/>
      <c r="Z84" s="625"/>
      <c r="AA84" s="625"/>
      <c r="AB84" s="625"/>
      <c r="AC84" s="625"/>
      <c r="AD84" s="625"/>
      <c r="AE84" s="625"/>
      <c r="AF84" s="625"/>
    </row>
    <row r="85" customFormat="false" ht="16.5" hidden="false" customHeight="false" outlineLevel="0" collapsed="false">
      <c r="A85" s="625"/>
      <c r="B85" s="625"/>
      <c r="C85" s="625"/>
      <c r="D85" s="625"/>
      <c r="E85" s="625"/>
      <c r="F85" s="625"/>
      <c r="G85" s="625"/>
      <c r="H85" s="625"/>
      <c r="I85" s="625"/>
      <c r="J85" s="625"/>
      <c r="K85" s="625"/>
      <c r="L85" s="625"/>
      <c r="M85" s="625"/>
      <c r="N85" s="625"/>
      <c r="O85" s="625"/>
      <c r="P85" s="625"/>
      <c r="Q85" s="625"/>
      <c r="R85" s="625"/>
      <c r="S85" s="625"/>
      <c r="T85" s="625"/>
      <c r="U85" s="625"/>
      <c r="V85" s="625"/>
      <c r="W85" s="625"/>
      <c r="X85" s="625"/>
      <c r="Y85" s="625"/>
      <c r="Z85" s="625"/>
      <c r="AA85" s="625"/>
      <c r="AB85" s="625"/>
      <c r="AC85" s="625"/>
      <c r="AD85" s="625"/>
      <c r="AE85" s="625"/>
      <c r="AF85" s="625"/>
    </row>
    <row r="86" customFormat="false" ht="16.5" hidden="false" customHeight="false" outlineLevel="0" collapsed="false">
      <c r="A86" s="625"/>
      <c r="B86" s="625"/>
      <c r="C86" s="625"/>
      <c r="D86" s="625"/>
      <c r="E86" s="625"/>
      <c r="F86" s="625"/>
      <c r="G86" s="625"/>
      <c r="H86" s="625"/>
      <c r="I86" s="625"/>
      <c r="J86" s="625"/>
      <c r="K86" s="625"/>
      <c r="L86" s="625"/>
      <c r="M86" s="625"/>
      <c r="N86" s="625"/>
      <c r="O86" s="625"/>
      <c r="P86" s="625"/>
      <c r="Q86" s="625"/>
      <c r="R86" s="625"/>
      <c r="S86" s="625"/>
      <c r="T86" s="625"/>
      <c r="U86" s="625"/>
      <c r="V86" s="625"/>
      <c r="W86" s="625"/>
      <c r="X86" s="625"/>
      <c r="Y86" s="625"/>
      <c r="Z86" s="625"/>
      <c r="AA86" s="625"/>
      <c r="AB86" s="625"/>
      <c r="AC86" s="625"/>
      <c r="AD86" s="625"/>
      <c r="AE86" s="625"/>
      <c r="AF86" s="625"/>
    </row>
    <row r="87" customFormat="false" ht="16.5" hidden="false" customHeight="false" outlineLevel="0" collapsed="false">
      <c r="A87" s="625"/>
      <c r="B87" s="625"/>
      <c r="C87" s="625"/>
      <c r="D87" s="625"/>
      <c r="E87" s="625"/>
      <c r="F87" s="625"/>
      <c r="G87" s="625"/>
      <c r="H87" s="625"/>
      <c r="I87" s="625"/>
      <c r="J87" s="625"/>
      <c r="K87" s="625"/>
      <c r="L87" s="625"/>
      <c r="M87" s="625"/>
      <c r="N87" s="625"/>
      <c r="O87" s="625"/>
      <c r="P87" s="625"/>
      <c r="Q87" s="625"/>
      <c r="R87" s="625"/>
      <c r="S87" s="625"/>
      <c r="T87" s="625"/>
      <c r="U87" s="625"/>
      <c r="V87" s="625"/>
      <c r="W87" s="625"/>
      <c r="X87" s="625"/>
      <c r="Y87" s="625"/>
      <c r="Z87" s="625"/>
      <c r="AA87" s="625"/>
      <c r="AB87" s="625"/>
      <c r="AC87" s="625"/>
      <c r="AD87" s="625"/>
      <c r="AE87" s="625"/>
      <c r="AF87" s="625"/>
    </row>
    <row r="88" customFormat="false" ht="16.5" hidden="false" customHeight="false" outlineLevel="0" collapsed="false">
      <c r="A88" s="625"/>
      <c r="B88" s="625"/>
      <c r="C88" s="625"/>
      <c r="D88" s="625"/>
      <c r="E88" s="625"/>
      <c r="F88" s="625"/>
      <c r="G88" s="625"/>
      <c r="H88" s="625"/>
      <c r="I88" s="625"/>
      <c r="J88" s="625"/>
      <c r="K88" s="625"/>
      <c r="L88" s="625"/>
      <c r="M88" s="625"/>
      <c r="N88" s="625"/>
      <c r="O88" s="625"/>
      <c r="P88" s="625"/>
      <c r="Q88" s="625"/>
      <c r="R88" s="625"/>
      <c r="S88" s="625"/>
      <c r="T88" s="625"/>
      <c r="U88" s="625"/>
      <c r="V88" s="625"/>
      <c r="W88" s="625"/>
      <c r="X88" s="625"/>
      <c r="Y88" s="625"/>
      <c r="Z88" s="625"/>
      <c r="AA88" s="625"/>
      <c r="AB88" s="625"/>
      <c r="AC88" s="625"/>
      <c r="AD88" s="625"/>
      <c r="AE88" s="625"/>
      <c r="AF88" s="6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88"/>
  <sheetViews>
    <sheetView showFormulas="false" showGridLines="true" showRowColHeaders="true" showZeros="true" rightToLeft="false" tabSelected="false" showOutlineSymbols="true" defaultGridColor="true" view="normal" topLeftCell="A19" colorId="64" zoomScale="140" zoomScaleNormal="140" zoomScalePageLayoutView="100" workbookViewId="0">
      <selection pane="topLeft" activeCell="H26" activeCellId="0" sqref="H26"/>
    </sheetView>
  </sheetViews>
  <sheetFormatPr defaultColWidth="8.57421875" defaultRowHeight="15" zeroHeight="false" outlineLevelRow="0" outlineLevelCol="0"/>
  <cols>
    <col collapsed="false" customWidth="true" hidden="false" outlineLevel="0" max="1" min="1" style="654" width="3"/>
    <col collapsed="false" customWidth="true" hidden="false" outlineLevel="0" max="2" min="2" style="654" width="21"/>
    <col collapsed="false" customWidth="true" hidden="false" outlineLevel="0" max="9" min="3" style="654" width="23.71"/>
    <col collapsed="false" customWidth="true" hidden="false" outlineLevel="0" max="10" min="10" style="654" width="24.43"/>
    <col collapsed="false" customWidth="true" hidden="false" outlineLevel="0" max="11" min="11" style="654" width="1.86"/>
    <col collapsed="false" customWidth="true" hidden="false" outlineLevel="0" max="12" min="12" style="654" width="33"/>
    <col collapsed="false" customWidth="true" hidden="false" outlineLevel="0" max="14" min="13" style="654" width="23.28"/>
    <col collapsed="false" customWidth="false" hidden="false" outlineLevel="0" max="16384" min="15" style="654" width="8.57"/>
  </cols>
  <sheetData>
    <row r="1" customFormat="false" ht="18" hidden="false" customHeight="false" outlineLevel="0" collapsed="false">
      <c r="A1" s="655"/>
      <c r="B1" s="655"/>
      <c r="C1" s="656" t="s">
        <v>0</v>
      </c>
      <c r="D1" s="657" t="n">
        <v>166.37</v>
      </c>
      <c r="E1" s="655"/>
      <c r="F1" s="658"/>
      <c r="G1" s="655"/>
      <c r="H1" s="655"/>
      <c r="I1" s="655"/>
      <c r="J1" s="655"/>
      <c r="K1" s="655"/>
      <c r="L1" s="655"/>
      <c r="M1" s="655"/>
      <c r="N1" s="655"/>
      <c r="O1" s="655"/>
      <c r="P1" s="655"/>
      <c r="Q1" s="655"/>
      <c r="R1" s="655"/>
      <c r="S1" s="655"/>
      <c r="T1" s="655"/>
      <c r="U1" s="655"/>
      <c r="V1" s="655"/>
      <c r="W1" s="655"/>
      <c r="X1" s="655"/>
      <c r="Y1" s="655"/>
      <c r="Z1" s="655"/>
      <c r="AA1" s="655"/>
      <c r="AB1" s="655"/>
      <c r="AC1" s="655"/>
      <c r="AD1" s="655"/>
      <c r="AE1" s="655"/>
      <c r="AF1" s="655"/>
    </row>
    <row r="2" customFormat="false" ht="18" hidden="false" customHeight="false" outlineLevel="0" collapsed="false">
      <c r="A2" s="655"/>
      <c r="B2" s="659" t="s">
        <v>281</v>
      </c>
      <c r="C2" s="660" t="s">
        <v>1</v>
      </c>
      <c r="D2" s="661" t="n">
        <f aca="false">J8+J16+J24+J32+J40+J48</f>
        <v>112.2</v>
      </c>
      <c r="E2" s="662" t="s">
        <v>2</v>
      </c>
      <c r="F2" s="663" t="n">
        <f aca="false">J9+J17+J25+J33+J41+J49</f>
        <v>10.3</v>
      </c>
      <c r="G2" s="662" t="s">
        <v>3</v>
      </c>
      <c r="H2" s="663" t="n">
        <f aca="false">J10+J18+J26+J34+J42+J50</f>
        <v>7.5</v>
      </c>
      <c r="I2" s="664"/>
      <c r="J2" s="665" t="s">
        <v>4</v>
      </c>
      <c r="K2" s="666"/>
      <c r="L2" s="665"/>
      <c r="M2" s="655"/>
      <c r="N2" s="655"/>
      <c r="O2" s="655"/>
      <c r="P2" s="655"/>
      <c r="Q2" s="655"/>
      <c r="R2" s="655"/>
      <c r="S2" s="655"/>
      <c r="T2" s="655"/>
      <c r="U2" s="655"/>
      <c r="V2" s="655"/>
      <c r="W2" s="655"/>
      <c r="X2" s="655"/>
      <c r="Y2" s="655"/>
      <c r="Z2" s="655"/>
      <c r="AA2" s="655"/>
      <c r="AB2" s="655"/>
      <c r="AC2" s="655"/>
      <c r="AD2" s="655"/>
      <c r="AE2" s="655"/>
      <c r="AF2" s="655"/>
    </row>
    <row r="3" customFormat="false" ht="18" hidden="false" customHeight="false" outlineLevel="0" collapsed="false">
      <c r="A3" s="655"/>
      <c r="B3" s="667" t="s">
        <v>5</v>
      </c>
      <c r="C3" s="668" t="s">
        <v>6</v>
      </c>
      <c r="D3" s="669" t="s">
        <v>7</v>
      </c>
      <c r="E3" s="670" t="s">
        <v>8</v>
      </c>
      <c r="F3" s="671" t="s">
        <v>9</v>
      </c>
      <c r="G3" s="669" t="s">
        <v>10</v>
      </c>
      <c r="H3" s="669" t="s">
        <v>11</v>
      </c>
      <c r="I3" s="672" t="s">
        <v>12</v>
      </c>
      <c r="J3" s="665" t="s">
        <v>13</v>
      </c>
      <c r="K3" s="673"/>
      <c r="L3" s="665"/>
      <c r="M3" s="655"/>
      <c r="N3" s="655"/>
      <c r="O3" s="655"/>
      <c r="P3" s="655"/>
      <c r="Q3" s="655"/>
      <c r="R3" s="655"/>
      <c r="S3" s="655"/>
      <c r="T3" s="655"/>
      <c r="U3" s="655"/>
      <c r="V3" s="655"/>
      <c r="W3" s="655"/>
      <c r="X3" s="655"/>
      <c r="Y3" s="655"/>
      <c r="Z3" s="655"/>
      <c r="AA3" s="655"/>
      <c r="AB3" s="655"/>
      <c r="AC3" s="655"/>
      <c r="AD3" s="655"/>
      <c r="AE3" s="655"/>
      <c r="AF3" s="655"/>
    </row>
    <row r="4" customFormat="false" ht="18" hidden="false" customHeight="false" outlineLevel="0" collapsed="false">
      <c r="A4" s="655"/>
      <c r="B4" s="674" t="s">
        <v>14</v>
      </c>
      <c r="C4" s="675" t="s">
        <v>4</v>
      </c>
      <c r="D4" s="675" t="s">
        <v>4</v>
      </c>
      <c r="E4" s="675" t="s">
        <v>4</v>
      </c>
      <c r="F4" s="675" t="s">
        <v>4</v>
      </c>
      <c r="G4" s="675" t="s">
        <v>4</v>
      </c>
      <c r="H4" s="676" t="s">
        <v>4</v>
      </c>
      <c r="I4" s="677" t="n">
        <v>1</v>
      </c>
      <c r="J4" s="665" t="s">
        <v>15</v>
      </c>
      <c r="K4" s="673"/>
      <c r="L4" s="678"/>
      <c r="M4" s="655"/>
      <c r="N4" s="655"/>
      <c r="O4" s="655"/>
      <c r="P4" s="655"/>
      <c r="Q4" s="655"/>
      <c r="R4" s="655"/>
      <c r="S4" s="655"/>
      <c r="T4" s="655"/>
      <c r="U4" s="655"/>
      <c r="V4" s="655"/>
      <c r="W4" s="655"/>
      <c r="X4" s="655"/>
      <c r="Y4" s="655"/>
      <c r="Z4" s="655"/>
      <c r="AA4" s="655"/>
      <c r="AB4" s="655"/>
      <c r="AC4" s="655"/>
      <c r="AD4" s="655"/>
      <c r="AE4" s="655"/>
      <c r="AF4" s="655"/>
    </row>
    <row r="5" customFormat="false" ht="17.25" hidden="false" customHeight="false" outlineLevel="0" collapsed="false">
      <c r="A5" s="655"/>
      <c r="B5" s="679" t="s">
        <v>16</v>
      </c>
      <c r="C5" s="680"/>
      <c r="D5" s="681"/>
      <c r="E5" s="682"/>
      <c r="F5" s="681"/>
      <c r="G5" s="681"/>
      <c r="H5" s="681"/>
      <c r="I5" s="683" t="s">
        <v>43</v>
      </c>
      <c r="J5" s="665" t="s">
        <v>17</v>
      </c>
      <c r="K5" s="673"/>
      <c r="L5" s="684"/>
      <c r="M5" s="655"/>
      <c r="N5" s="655"/>
      <c r="O5" s="655"/>
      <c r="P5" s="655"/>
      <c r="Q5" s="655"/>
      <c r="R5" s="655"/>
      <c r="S5" s="655"/>
      <c r="T5" s="655"/>
      <c r="U5" s="655"/>
      <c r="V5" s="655"/>
      <c r="W5" s="655"/>
      <c r="X5" s="655"/>
      <c r="Y5" s="655"/>
      <c r="Z5" s="655"/>
      <c r="AA5" s="655"/>
      <c r="AB5" s="655"/>
      <c r="AC5" s="655"/>
      <c r="AD5" s="655"/>
      <c r="AE5" s="655"/>
      <c r="AF5" s="655"/>
    </row>
    <row r="6" customFormat="false" ht="18" hidden="false" customHeight="false" outlineLevel="0" collapsed="false">
      <c r="A6" s="655"/>
      <c r="B6" s="685" t="s">
        <v>18</v>
      </c>
      <c r="C6" s="686" t="s">
        <v>4</v>
      </c>
      <c r="D6" s="686" t="s">
        <v>4</v>
      </c>
      <c r="E6" s="687" t="s">
        <v>4</v>
      </c>
      <c r="F6" s="687" t="s">
        <v>4</v>
      </c>
      <c r="G6" s="688" t="s">
        <v>4</v>
      </c>
      <c r="H6" s="689" t="s">
        <v>4</v>
      </c>
      <c r="I6" s="690" t="n">
        <v>0.15</v>
      </c>
      <c r="J6" s="691"/>
      <c r="K6" s="673"/>
      <c r="L6" s="655"/>
      <c r="M6" s="655"/>
      <c r="N6" s="655"/>
      <c r="O6" s="655"/>
      <c r="P6" s="655"/>
      <c r="Q6" s="655"/>
      <c r="R6" s="655"/>
      <c r="S6" s="655"/>
      <c r="T6" s="655"/>
      <c r="U6" s="655"/>
      <c r="V6" s="655"/>
      <c r="W6" s="655"/>
      <c r="X6" s="655"/>
      <c r="Y6" s="655"/>
      <c r="Z6" s="655"/>
      <c r="AA6" s="655"/>
      <c r="AB6" s="655"/>
      <c r="AC6" s="655"/>
      <c r="AD6" s="655"/>
      <c r="AE6" s="655"/>
      <c r="AF6" s="655"/>
    </row>
    <row r="7" customFormat="false" ht="17.25" hidden="false" customHeight="false" outlineLevel="0" collapsed="false">
      <c r="A7" s="655"/>
      <c r="B7" s="679" t="s">
        <v>19</v>
      </c>
      <c r="C7" s="692"/>
      <c r="D7" s="693"/>
      <c r="E7" s="694"/>
      <c r="F7" s="693"/>
      <c r="G7" s="693"/>
      <c r="H7" s="693"/>
      <c r="I7" s="695" t="s">
        <v>282</v>
      </c>
      <c r="J7" s="696" t="s">
        <v>20</v>
      </c>
      <c r="K7" s="673"/>
      <c r="L7" s="697"/>
      <c r="M7" s="655"/>
      <c r="N7" s="655"/>
      <c r="O7" s="655"/>
      <c r="P7" s="655"/>
      <c r="Q7" s="655"/>
      <c r="R7" s="655"/>
      <c r="S7" s="655"/>
      <c r="T7" s="655"/>
      <c r="U7" s="655"/>
      <c r="V7" s="655"/>
      <c r="W7" s="655"/>
      <c r="X7" s="655"/>
      <c r="Y7" s="655"/>
      <c r="Z7" s="655"/>
      <c r="AA7" s="655"/>
      <c r="AB7" s="655"/>
      <c r="AC7" s="655"/>
      <c r="AD7" s="655"/>
      <c r="AE7" s="655"/>
      <c r="AF7" s="655"/>
    </row>
    <row r="8" customFormat="false" ht="17.25" hidden="false" customHeight="false" outlineLevel="0" collapsed="false">
      <c r="A8" s="655"/>
      <c r="B8" s="674" t="s">
        <v>21</v>
      </c>
      <c r="C8" s="698"/>
      <c r="D8" s="699"/>
      <c r="E8" s="700"/>
      <c r="F8" s="699"/>
      <c r="G8" s="699"/>
      <c r="H8" s="699"/>
      <c r="I8" s="664" t="n">
        <v>9.5</v>
      </c>
      <c r="J8" s="701" t="n">
        <f aca="false">I8</f>
        <v>9.5</v>
      </c>
      <c r="K8" s="673"/>
      <c r="L8" s="702" t="s">
        <v>22</v>
      </c>
      <c r="M8" s="655"/>
      <c r="N8" s="655"/>
      <c r="O8" s="655"/>
      <c r="P8" s="655"/>
      <c r="Q8" s="655"/>
      <c r="R8" s="655"/>
      <c r="S8" s="655"/>
      <c r="T8" s="655"/>
      <c r="U8" s="655"/>
      <c r="V8" s="655"/>
      <c r="W8" s="655"/>
      <c r="X8" s="655"/>
      <c r="Y8" s="655"/>
      <c r="Z8" s="655"/>
      <c r="AA8" s="655"/>
      <c r="AB8" s="655"/>
      <c r="AC8" s="655"/>
      <c r="AD8" s="655"/>
      <c r="AE8" s="655"/>
      <c r="AF8" s="655"/>
    </row>
    <row r="9" customFormat="false" ht="17.25" hidden="false" customHeight="false" outlineLevel="0" collapsed="false">
      <c r="A9" s="655"/>
      <c r="B9" s="674" t="s">
        <v>23</v>
      </c>
      <c r="C9" s="698"/>
      <c r="D9" s="699"/>
      <c r="E9" s="700"/>
      <c r="F9" s="699"/>
      <c r="G9" s="699"/>
      <c r="H9" s="699"/>
      <c r="I9" s="664" t="n">
        <v>0.8</v>
      </c>
      <c r="J9" s="701" t="n">
        <f aca="false">I9</f>
        <v>0.8</v>
      </c>
      <c r="K9" s="673"/>
      <c r="L9" s="702" t="s">
        <v>24</v>
      </c>
      <c r="M9" s="655"/>
      <c r="N9" s="655"/>
      <c r="O9" s="655"/>
      <c r="P9" s="655"/>
      <c r="Q9" s="655"/>
      <c r="R9" s="655"/>
      <c r="S9" s="655"/>
      <c r="T9" s="655"/>
      <c r="U9" s="655"/>
      <c r="V9" s="655"/>
      <c r="W9" s="655"/>
      <c r="X9" s="655"/>
      <c r="Y9" s="655"/>
      <c r="Z9" s="655"/>
      <c r="AA9" s="655"/>
      <c r="AB9" s="655"/>
      <c r="AC9" s="655"/>
      <c r="AD9" s="655"/>
      <c r="AE9" s="655"/>
      <c r="AF9" s="655"/>
    </row>
    <row r="10" customFormat="false" ht="18" hidden="false" customHeight="false" outlineLevel="0" collapsed="false">
      <c r="A10" s="655"/>
      <c r="B10" s="674" t="s">
        <v>25</v>
      </c>
      <c r="C10" s="698"/>
      <c r="D10" s="699"/>
      <c r="E10" s="700"/>
      <c r="F10" s="699"/>
      <c r="G10" s="699"/>
      <c r="H10" s="699"/>
      <c r="I10" s="703" t="n">
        <v>0.3</v>
      </c>
      <c r="J10" s="704" t="n">
        <v>0.3</v>
      </c>
      <c r="K10" s="673"/>
      <c r="L10" s="702" t="s">
        <v>26</v>
      </c>
      <c r="M10" s="655"/>
      <c r="N10" s="655"/>
      <c r="O10" s="655"/>
      <c r="P10" s="655"/>
      <c r="Q10" s="655"/>
      <c r="R10" s="655"/>
      <c r="S10" s="655"/>
      <c r="T10" s="655"/>
      <c r="U10" s="655"/>
      <c r="V10" s="655"/>
      <c r="W10" s="655"/>
      <c r="X10" s="655"/>
      <c r="Y10" s="655"/>
      <c r="Z10" s="655"/>
      <c r="AA10" s="655"/>
      <c r="AB10" s="655"/>
      <c r="AC10" s="655"/>
      <c r="AD10" s="655"/>
      <c r="AE10" s="655"/>
      <c r="AF10" s="655"/>
    </row>
    <row r="11" customFormat="false" ht="18" hidden="false" customHeight="false" outlineLevel="0" collapsed="false">
      <c r="A11" s="655"/>
      <c r="B11" s="705" t="s">
        <v>27</v>
      </c>
      <c r="C11" s="706" t="s">
        <v>4</v>
      </c>
      <c r="D11" s="707" t="s">
        <v>4</v>
      </c>
      <c r="E11" s="708" t="s">
        <v>4</v>
      </c>
      <c r="F11" s="709" t="s">
        <v>4</v>
      </c>
      <c r="G11" s="710" t="s">
        <v>4</v>
      </c>
      <c r="H11" s="711" t="s">
        <v>4</v>
      </c>
      <c r="I11" s="712" t="s">
        <v>283</v>
      </c>
      <c r="J11" s="713" t="n">
        <v>7.9</v>
      </c>
      <c r="K11" s="673"/>
      <c r="L11" s="702" t="s">
        <v>28</v>
      </c>
      <c r="M11" s="655"/>
      <c r="N11" s="655"/>
      <c r="O11" s="655"/>
      <c r="P11" s="655"/>
      <c r="Q11" s="655"/>
      <c r="R11" s="655"/>
      <c r="S11" s="655"/>
      <c r="T11" s="655"/>
      <c r="U11" s="655"/>
      <c r="V11" s="655"/>
      <c r="W11" s="655"/>
      <c r="X11" s="655"/>
      <c r="Y11" s="655"/>
      <c r="Z11" s="655"/>
      <c r="AA11" s="655"/>
      <c r="AB11" s="655"/>
      <c r="AC11" s="655"/>
      <c r="AD11" s="655"/>
      <c r="AE11" s="655"/>
      <c r="AF11" s="655"/>
    </row>
    <row r="12" customFormat="false" ht="18" hidden="false" customHeight="false" outlineLevel="0" collapsed="false">
      <c r="A12" s="655"/>
      <c r="B12" s="655" t="s">
        <v>4</v>
      </c>
      <c r="C12" s="714" t="n">
        <v>2</v>
      </c>
      <c r="D12" s="714" t="n">
        <v>3</v>
      </c>
      <c r="E12" s="714" t="n">
        <v>4</v>
      </c>
      <c r="F12" s="715" t="n">
        <v>5</v>
      </c>
      <c r="G12" s="716" t="n">
        <v>6</v>
      </c>
      <c r="H12" s="717" t="n">
        <v>7</v>
      </c>
      <c r="I12" s="677" t="n">
        <v>8</v>
      </c>
      <c r="J12" s="718"/>
      <c r="K12" s="673"/>
      <c r="L12" s="719"/>
      <c r="M12" s="655"/>
      <c r="N12" s="655"/>
      <c r="O12" s="655"/>
      <c r="P12" s="655"/>
      <c r="Q12" s="655"/>
      <c r="R12" s="655"/>
      <c r="S12" s="655"/>
      <c r="T12" s="655"/>
      <c r="U12" s="655"/>
      <c r="V12" s="655"/>
      <c r="W12" s="655"/>
      <c r="X12" s="655"/>
      <c r="Y12" s="655"/>
      <c r="Z12" s="655"/>
      <c r="AA12" s="655"/>
      <c r="AB12" s="655"/>
      <c r="AC12" s="655"/>
      <c r="AD12" s="655"/>
      <c r="AE12" s="655"/>
      <c r="AF12" s="655"/>
    </row>
    <row r="13" customFormat="false" ht="17.25" hidden="false" customHeight="false" outlineLevel="0" collapsed="false">
      <c r="A13" s="655"/>
      <c r="B13" s="655"/>
      <c r="C13" s="680" t="s">
        <v>209</v>
      </c>
      <c r="D13" s="681" t="s">
        <v>152</v>
      </c>
      <c r="E13" s="682" t="s">
        <v>43</v>
      </c>
      <c r="F13" s="681" t="s">
        <v>43</v>
      </c>
      <c r="G13" s="693" t="s">
        <v>209</v>
      </c>
      <c r="H13" s="720" t="s">
        <v>216</v>
      </c>
      <c r="I13" s="721" t="s">
        <v>40</v>
      </c>
      <c r="J13" s="718"/>
      <c r="K13" s="673"/>
      <c r="L13" s="719"/>
      <c r="M13" s="655"/>
      <c r="N13" s="655"/>
      <c r="O13" s="655"/>
      <c r="P13" s="655"/>
      <c r="Q13" s="655"/>
      <c r="R13" s="655"/>
      <c r="S13" s="655"/>
      <c r="T13" s="655"/>
      <c r="U13" s="655"/>
      <c r="V13" s="655"/>
      <c r="W13" s="655"/>
      <c r="X13" s="655"/>
      <c r="Y13" s="655"/>
      <c r="Z13" s="655"/>
      <c r="AA13" s="655"/>
      <c r="AB13" s="655"/>
      <c r="AC13" s="655"/>
      <c r="AD13" s="655"/>
      <c r="AE13" s="655"/>
      <c r="AF13" s="655"/>
    </row>
    <row r="14" customFormat="false" ht="18" hidden="false" customHeight="false" outlineLevel="0" collapsed="false">
      <c r="A14" s="655"/>
      <c r="B14" s="655"/>
      <c r="C14" s="722" t="n">
        <v>0.24</v>
      </c>
      <c r="D14" s="689" t="n">
        <v>0.35</v>
      </c>
      <c r="E14" s="686" t="n">
        <v>0.46</v>
      </c>
      <c r="F14" s="687" t="n">
        <v>0.58</v>
      </c>
      <c r="G14" s="687" t="n">
        <v>0.68</v>
      </c>
      <c r="H14" s="723" t="n">
        <v>0.78</v>
      </c>
      <c r="I14" s="724" t="n">
        <v>0.86</v>
      </c>
      <c r="J14" s="673"/>
      <c r="K14" s="673"/>
      <c r="L14" s="719"/>
      <c r="M14" s="655"/>
      <c r="N14" s="655"/>
      <c r="O14" s="655"/>
      <c r="P14" s="655"/>
      <c r="Q14" s="655"/>
      <c r="R14" s="655"/>
      <c r="S14" s="655"/>
      <c r="T14" s="655"/>
      <c r="U14" s="655"/>
      <c r="V14" s="655"/>
      <c r="W14" s="655"/>
      <c r="X14" s="655"/>
      <c r="Y14" s="655"/>
      <c r="Z14" s="655"/>
      <c r="AA14" s="655"/>
      <c r="AB14" s="655"/>
      <c r="AC14" s="655"/>
      <c r="AD14" s="655"/>
      <c r="AE14" s="655"/>
      <c r="AF14" s="655"/>
    </row>
    <row r="15" customFormat="false" ht="17.25" hidden="false" customHeight="false" outlineLevel="0" collapsed="false">
      <c r="A15" s="655"/>
      <c r="B15" s="655"/>
      <c r="C15" s="692" t="s">
        <v>282</v>
      </c>
      <c r="D15" s="693" t="s">
        <v>40</v>
      </c>
      <c r="E15" s="693" t="s">
        <v>40</v>
      </c>
      <c r="F15" s="693" t="s">
        <v>40</v>
      </c>
      <c r="G15" s="693" t="s">
        <v>40</v>
      </c>
      <c r="H15" s="720" t="s">
        <v>40</v>
      </c>
      <c r="I15" s="725" t="s">
        <v>180</v>
      </c>
      <c r="J15" s="696" t="s">
        <v>29</v>
      </c>
      <c r="K15" s="673"/>
      <c r="L15" s="719"/>
      <c r="M15" s="655"/>
      <c r="N15" s="655"/>
      <c r="O15" s="655"/>
      <c r="P15" s="655"/>
      <c r="Q15" s="655"/>
      <c r="R15" s="655"/>
      <c r="S15" s="655"/>
      <c r="T15" s="655"/>
      <c r="U15" s="655"/>
      <c r="V15" s="655"/>
      <c r="W15" s="655"/>
      <c r="X15" s="655"/>
      <c r="Y15" s="655"/>
      <c r="Z15" s="655"/>
      <c r="AA15" s="655"/>
      <c r="AB15" s="655"/>
      <c r="AC15" s="655"/>
      <c r="AD15" s="655"/>
      <c r="AE15" s="655"/>
      <c r="AF15" s="655"/>
    </row>
    <row r="16" customFormat="false" ht="17.25" hidden="false" customHeight="false" outlineLevel="0" collapsed="false">
      <c r="A16" s="655"/>
      <c r="B16" s="655"/>
      <c r="C16" s="698" t="s">
        <v>249</v>
      </c>
      <c r="D16" s="699" t="n">
        <v>5.5</v>
      </c>
      <c r="E16" s="699" t="n">
        <v>0.5</v>
      </c>
      <c r="F16" s="699" t="n">
        <v>3.1</v>
      </c>
      <c r="G16" s="699" t="s">
        <v>249</v>
      </c>
      <c r="H16" s="699" t="s">
        <v>249</v>
      </c>
      <c r="I16" s="664" t="s">
        <v>249</v>
      </c>
      <c r="J16" s="701" t="n">
        <f aca="false">SUM(C16:I16)</f>
        <v>9.1</v>
      </c>
      <c r="K16" s="673"/>
      <c r="L16" s="726" t="s">
        <v>22</v>
      </c>
      <c r="M16" s="655"/>
      <c r="N16" s="655"/>
      <c r="O16" s="655"/>
      <c r="P16" s="655"/>
      <c r="Q16" s="655"/>
      <c r="R16" s="655"/>
      <c r="S16" s="655"/>
      <c r="T16" s="655"/>
      <c r="U16" s="655"/>
      <c r="V16" s="655"/>
      <c r="W16" s="655"/>
      <c r="X16" s="655"/>
      <c r="Y16" s="655"/>
      <c r="Z16" s="655"/>
      <c r="AA16" s="655"/>
      <c r="AB16" s="655"/>
      <c r="AC16" s="655"/>
      <c r="AD16" s="655"/>
      <c r="AE16" s="655"/>
      <c r="AF16" s="655"/>
    </row>
    <row r="17" customFormat="false" ht="17.25" hidden="false" customHeight="false" outlineLevel="0" collapsed="false">
      <c r="A17" s="655"/>
      <c r="B17" s="655"/>
      <c r="C17" s="698" t="n">
        <v>0</v>
      </c>
      <c r="D17" s="699" t="n">
        <v>0.7</v>
      </c>
      <c r="E17" s="699" t="n">
        <v>0</v>
      </c>
      <c r="F17" s="699" t="n">
        <v>0.8</v>
      </c>
      <c r="G17" s="699" t="n">
        <v>0</v>
      </c>
      <c r="H17" s="699" t="n">
        <v>0</v>
      </c>
      <c r="I17" s="664" t="n">
        <v>0</v>
      </c>
      <c r="J17" s="701" t="n">
        <f aca="false">SUM(C17:I17)</f>
        <v>1.5</v>
      </c>
      <c r="K17" s="673"/>
      <c r="L17" s="726" t="s">
        <v>24</v>
      </c>
      <c r="M17" s="655"/>
      <c r="N17" s="655"/>
      <c r="O17" s="655"/>
      <c r="P17" s="655"/>
      <c r="Q17" s="655"/>
      <c r="R17" s="655"/>
      <c r="S17" s="655"/>
      <c r="T17" s="655"/>
      <c r="U17" s="655"/>
      <c r="V17" s="655"/>
      <c r="W17" s="655"/>
      <c r="X17" s="655"/>
      <c r="Y17" s="655"/>
      <c r="Z17" s="655"/>
      <c r="AA17" s="655"/>
      <c r="AB17" s="655"/>
      <c r="AC17" s="655"/>
      <c r="AD17" s="655"/>
      <c r="AE17" s="655"/>
      <c r="AF17" s="655"/>
    </row>
    <row r="18" customFormat="false" ht="17.25" hidden="false" customHeight="false" outlineLevel="0" collapsed="false">
      <c r="A18" s="655"/>
      <c r="B18" s="655"/>
      <c r="C18" s="698" t="n">
        <v>0</v>
      </c>
      <c r="D18" s="699" t="n">
        <v>0</v>
      </c>
      <c r="E18" s="699" t="n">
        <v>0</v>
      </c>
      <c r="F18" s="699" t="n">
        <v>0</v>
      </c>
      <c r="G18" s="699" t="n">
        <v>0</v>
      </c>
      <c r="H18" s="699" t="n">
        <v>0</v>
      </c>
      <c r="I18" s="664" t="n">
        <v>0</v>
      </c>
      <c r="J18" s="713" t="n">
        <f aca="false">SUM(C18:I18)</f>
        <v>0</v>
      </c>
      <c r="K18" s="673"/>
      <c r="L18" s="726" t="s">
        <v>26</v>
      </c>
      <c r="M18" s="655"/>
      <c r="N18" s="655"/>
      <c r="O18" s="655"/>
      <c r="P18" s="655"/>
      <c r="Q18" s="655"/>
      <c r="R18" s="655"/>
      <c r="S18" s="655"/>
      <c r="T18" s="655"/>
      <c r="U18" s="655"/>
      <c r="V18" s="655"/>
      <c r="W18" s="655"/>
      <c r="X18" s="655"/>
      <c r="Y18" s="655"/>
      <c r="Z18" s="655"/>
      <c r="AA18" s="655"/>
      <c r="AB18" s="655"/>
      <c r="AC18" s="655"/>
      <c r="AD18" s="655"/>
      <c r="AE18" s="655"/>
      <c r="AF18" s="655"/>
    </row>
    <row r="19" customFormat="false" ht="18" hidden="false" customHeight="false" outlineLevel="0" collapsed="false">
      <c r="A19" s="655"/>
      <c r="B19" s="655"/>
      <c r="C19" s="727" t="s">
        <v>284</v>
      </c>
      <c r="D19" s="728" t="s">
        <v>285</v>
      </c>
      <c r="E19" s="707" t="s">
        <v>286</v>
      </c>
      <c r="F19" s="710" t="s">
        <v>287</v>
      </c>
      <c r="G19" s="729" t="s">
        <v>288</v>
      </c>
      <c r="H19" s="730" t="s">
        <v>289</v>
      </c>
      <c r="I19" s="712" t="s">
        <v>290</v>
      </c>
      <c r="J19" s="713" t="n">
        <v>24.72</v>
      </c>
      <c r="K19" s="673"/>
      <c r="L19" s="702" t="s">
        <v>28</v>
      </c>
      <c r="M19" s="655"/>
      <c r="N19" s="655"/>
      <c r="O19" s="655"/>
      <c r="P19" s="655"/>
      <c r="Q19" s="655"/>
      <c r="R19" s="655"/>
      <c r="S19" s="655"/>
      <c r="T19" s="655"/>
      <c r="U19" s="655"/>
      <c r="V19" s="655"/>
      <c r="W19" s="655"/>
      <c r="X19" s="655"/>
      <c r="Y19" s="655"/>
      <c r="Z19" s="655"/>
      <c r="AA19" s="655"/>
      <c r="AB19" s="655"/>
      <c r="AC19" s="655"/>
      <c r="AD19" s="655"/>
      <c r="AE19" s="655"/>
      <c r="AF19" s="655"/>
    </row>
    <row r="20" customFormat="false" ht="18" hidden="false" customHeight="false" outlineLevel="0" collapsed="false">
      <c r="A20" s="655"/>
      <c r="B20" s="655"/>
      <c r="C20" s="731" t="n">
        <v>9</v>
      </c>
      <c r="D20" s="731" t="n">
        <v>10</v>
      </c>
      <c r="E20" s="732" t="n">
        <v>11</v>
      </c>
      <c r="F20" s="677" t="n">
        <v>12</v>
      </c>
      <c r="G20" s="677" t="n">
        <v>13</v>
      </c>
      <c r="H20" s="677" t="n">
        <v>14</v>
      </c>
      <c r="I20" s="677" t="n">
        <v>15</v>
      </c>
      <c r="J20" s="718"/>
      <c r="K20" s="673"/>
      <c r="L20" s="719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55"/>
      <c r="AB20" s="655"/>
      <c r="AC20" s="655"/>
      <c r="AD20" s="655"/>
      <c r="AE20" s="655"/>
      <c r="AF20" s="655"/>
    </row>
    <row r="21" customFormat="false" ht="17.25" hidden="false" customHeight="false" outlineLevel="0" collapsed="false">
      <c r="A21" s="655"/>
      <c r="B21" s="655"/>
      <c r="C21" s="733"/>
      <c r="D21" s="734"/>
      <c r="E21" s="734"/>
      <c r="F21" s="734"/>
      <c r="G21" s="734"/>
      <c r="H21" s="734"/>
      <c r="I21" s="735" t="s">
        <v>45</v>
      </c>
      <c r="J21" s="718"/>
      <c r="K21" s="673"/>
      <c r="L21" s="719"/>
      <c r="M21" s="655"/>
      <c r="N21" s="655"/>
      <c r="O21" s="655"/>
      <c r="P21" s="655"/>
      <c r="Q21" s="655"/>
      <c r="R21" s="655"/>
      <c r="S21" s="655"/>
      <c r="T21" s="655"/>
      <c r="U21" s="655"/>
      <c r="V21" s="655"/>
      <c r="W21" s="655"/>
      <c r="X21" s="655"/>
      <c r="Y21" s="655"/>
      <c r="Z21" s="655"/>
      <c r="AA21" s="655"/>
      <c r="AB21" s="655"/>
      <c r="AC21" s="655"/>
      <c r="AD21" s="655"/>
      <c r="AE21" s="655"/>
      <c r="AF21" s="655"/>
    </row>
    <row r="22" customFormat="false" ht="18" hidden="false" customHeight="false" outlineLevel="0" collapsed="false">
      <c r="A22" s="655"/>
      <c r="B22" s="655"/>
      <c r="C22" s="736" t="n">
        <v>0.93</v>
      </c>
      <c r="D22" s="687" t="n">
        <v>0.97</v>
      </c>
      <c r="E22" s="687" t="n">
        <v>1</v>
      </c>
      <c r="F22" s="687" t="n">
        <v>1</v>
      </c>
      <c r="G22" s="688" t="n">
        <v>0.98</v>
      </c>
      <c r="H22" s="689" t="n">
        <v>0.94</v>
      </c>
      <c r="I22" s="690" t="n">
        <v>0.89</v>
      </c>
      <c r="J22" s="673"/>
      <c r="K22" s="673"/>
      <c r="L22" s="719"/>
      <c r="M22" s="655"/>
      <c r="N22" s="655"/>
      <c r="O22" s="655"/>
      <c r="P22" s="655"/>
      <c r="Q22" s="655"/>
      <c r="R22" s="655"/>
      <c r="S22" s="655"/>
      <c r="T22" s="655"/>
      <c r="U22" s="655"/>
      <c r="V22" s="655"/>
      <c r="W22" s="655"/>
      <c r="X22" s="655"/>
      <c r="Y22" s="655"/>
      <c r="Z22" s="655"/>
      <c r="AA22" s="655"/>
      <c r="AB22" s="655"/>
      <c r="AC22" s="655"/>
      <c r="AD22" s="655"/>
      <c r="AE22" s="655"/>
      <c r="AF22" s="655"/>
    </row>
    <row r="23" customFormat="false" ht="17.25" hidden="false" customHeight="false" outlineLevel="0" collapsed="false">
      <c r="A23" s="655"/>
      <c r="B23" s="655"/>
      <c r="C23" s="692"/>
      <c r="D23" s="693"/>
      <c r="E23" s="693"/>
      <c r="F23" s="693"/>
      <c r="G23" s="693"/>
      <c r="H23" s="693"/>
      <c r="I23" s="735" t="s">
        <v>169</v>
      </c>
      <c r="J23" s="737" t="s">
        <v>30</v>
      </c>
      <c r="K23" s="673"/>
      <c r="L23" s="719"/>
      <c r="M23" s="655"/>
      <c r="N23" s="655"/>
      <c r="O23" s="655"/>
      <c r="P23" s="655"/>
      <c r="Q23" s="655"/>
      <c r="R23" s="655"/>
      <c r="S23" s="655"/>
      <c r="T23" s="655"/>
      <c r="U23" s="655"/>
      <c r="V23" s="655"/>
      <c r="W23" s="655"/>
      <c r="X23" s="655"/>
      <c r="Y23" s="655"/>
      <c r="Z23" s="655"/>
      <c r="AA23" s="655"/>
      <c r="AB23" s="655"/>
      <c r="AC23" s="655"/>
      <c r="AD23" s="655"/>
      <c r="AE23" s="655"/>
      <c r="AF23" s="655"/>
    </row>
    <row r="24" customFormat="false" ht="17.25" hidden="false" customHeight="false" outlineLevel="0" collapsed="false">
      <c r="A24" s="655"/>
      <c r="B24" s="655"/>
      <c r="C24" s="698"/>
      <c r="D24" s="738"/>
      <c r="E24" s="699"/>
      <c r="F24" s="699"/>
      <c r="G24" s="699"/>
      <c r="H24" s="739"/>
      <c r="I24" s="699" t="s">
        <v>291</v>
      </c>
      <c r="J24" s="740" t="n">
        <f aca="false">SUM(C24:I24)</f>
        <v>0</v>
      </c>
      <c r="K24" s="673"/>
      <c r="L24" s="726" t="s">
        <v>22</v>
      </c>
      <c r="M24" s="655"/>
      <c r="N24" s="655"/>
      <c r="O24" s="655"/>
      <c r="P24" s="655"/>
      <c r="Q24" s="655"/>
      <c r="R24" s="655"/>
      <c r="S24" s="655"/>
      <c r="T24" s="655"/>
      <c r="U24" s="655"/>
      <c r="V24" s="655"/>
      <c r="W24" s="655"/>
      <c r="X24" s="655"/>
      <c r="Y24" s="655"/>
      <c r="Z24" s="655"/>
      <c r="AA24" s="655"/>
      <c r="AB24" s="655"/>
      <c r="AC24" s="655"/>
      <c r="AD24" s="655"/>
      <c r="AE24" s="655"/>
      <c r="AF24" s="655"/>
    </row>
    <row r="25" customFormat="false" ht="17.25" hidden="false" customHeight="false" outlineLevel="0" collapsed="false">
      <c r="A25" s="655"/>
      <c r="B25" s="655"/>
      <c r="C25" s="698"/>
      <c r="D25" s="738"/>
      <c r="E25" s="699"/>
      <c r="F25" s="699"/>
      <c r="G25" s="699"/>
      <c r="I25" s="699" t="n">
        <v>0</v>
      </c>
      <c r="J25" s="740" t="n">
        <f aca="false">SUM(C25:I25)</f>
        <v>0</v>
      </c>
      <c r="K25" s="673"/>
      <c r="L25" s="726" t="s">
        <v>24</v>
      </c>
      <c r="M25" s="655"/>
      <c r="N25" s="655"/>
      <c r="O25" s="655"/>
      <c r="P25" s="655"/>
      <c r="Q25" s="655"/>
      <c r="R25" s="655"/>
      <c r="S25" s="655"/>
      <c r="T25" s="655"/>
      <c r="U25" s="655"/>
      <c r="V25" s="655"/>
      <c r="W25" s="655"/>
      <c r="X25" s="655"/>
      <c r="Y25" s="655"/>
      <c r="Z25" s="655"/>
      <c r="AA25" s="655"/>
      <c r="AB25" s="655"/>
      <c r="AC25" s="655"/>
      <c r="AD25" s="655"/>
      <c r="AE25" s="655"/>
      <c r="AF25" s="655"/>
    </row>
    <row r="26" customFormat="false" ht="17.25" hidden="false" customHeight="false" outlineLevel="0" collapsed="false">
      <c r="A26" s="655"/>
      <c r="B26" s="655"/>
      <c r="C26" s="698"/>
      <c r="D26" s="739"/>
      <c r="E26" s="739"/>
      <c r="F26" s="739"/>
      <c r="G26" s="739"/>
      <c r="H26" s="739"/>
      <c r="I26" s="699" t="n">
        <v>0</v>
      </c>
      <c r="J26" s="740" t="n">
        <f aca="false">SUM(C26:I26)</f>
        <v>0</v>
      </c>
      <c r="K26" s="673"/>
      <c r="L26" s="726" t="s">
        <v>26</v>
      </c>
      <c r="M26" s="655"/>
      <c r="N26" s="655"/>
      <c r="O26" s="655"/>
      <c r="P26" s="655"/>
      <c r="Q26" s="655"/>
      <c r="R26" s="655"/>
      <c r="S26" s="655"/>
      <c r="T26" s="655"/>
      <c r="U26" s="655"/>
      <c r="V26" s="655"/>
      <c r="W26" s="655"/>
      <c r="X26" s="655"/>
      <c r="Y26" s="655"/>
      <c r="Z26" s="655"/>
      <c r="AA26" s="655"/>
      <c r="AB26" s="655"/>
      <c r="AC26" s="655"/>
      <c r="AD26" s="655"/>
      <c r="AE26" s="655"/>
      <c r="AF26" s="655"/>
    </row>
    <row r="27" customFormat="false" ht="18" hidden="false" customHeight="false" outlineLevel="0" collapsed="false">
      <c r="A27" s="655"/>
      <c r="B27" s="655"/>
      <c r="C27" s="741" t="s">
        <v>292</v>
      </c>
      <c r="D27" s="707" t="s">
        <v>293</v>
      </c>
      <c r="E27" s="707" t="s">
        <v>294</v>
      </c>
      <c r="F27" s="742" t="s">
        <v>295</v>
      </c>
      <c r="G27" s="707" t="s">
        <v>296</v>
      </c>
      <c r="H27" s="707" t="s">
        <v>297</v>
      </c>
      <c r="I27" s="743" t="s">
        <v>298</v>
      </c>
      <c r="J27" s="744" t="n">
        <v>7.7</v>
      </c>
      <c r="K27" s="673"/>
      <c r="L27" s="702" t="s">
        <v>28</v>
      </c>
      <c r="M27" s="655"/>
      <c r="N27" s="655"/>
      <c r="O27" s="655"/>
      <c r="P27" s="655"/>
      <c r="Q27" s="655"/>
      <c r="R27" s="655"/>
      <c r="S27" s="655"/>
      <c r="T27" s="655"/>
      <c r="U27" s="655"/>
      <c r="V27" s="655"/>
      <c r="W27" s="655"/>
      <c r="X27" s="655"/>
      <c r="Y27" s="655"/>
      <c r="Z27" s="655"/>
      <c r="AA27" s="655"/>
      <c r="AB27" s="655"/>
      <c r="AC27" s="655"/>
      <c r="AD27" s="655"/>
      <c r="AE27" s="655"/>
      <c r="AF27" s="655"/>
    </row>
    <row r="28" customFormat="false" ht="18" hidden="false" customHeight="false" outlineLevel="0" collapsed="false">
      <c r="A28" s="655"/>
      <c r="B28" s="655"/>
      <c r="C28" s="714" t="n">
        <v>16</v>
      </c>
      <c r="D28" s="714" t="n">
        <v>17</v>
      </c>
      <c r="E28" s="714" t="n">
        <v>18</v>
      </c>
      <c r="F28" s="714" t="n">
        <v>19</v>
      </c>
      <c r="G28" s="714" t="n">
        <v>20</v>
      </c>
      <c r="H28" s="714" t="n">
        <v>21</v>
      </c>
      <c r="I28" s="714" t="n">
        <v>22</v>
      </c>
      <c r="J28" s="745"/>
      <c r="K28" s="673"/>
      <c r="L28" s="719"/>
      <c r="M28" s="655"/>
      <c r="N28" s="655"/>
      <c r="O28" s="655"/>
      <c r="P28" s="655"/>
      <c r="Q28" s="655"/>
      <c r="R28" s="655"/>
      <c r="S28" s="655"/>
      <c r="T28" s="655"/>
      <c r="U28" s="655"/>
      <c r="V28" s="655"/>
      <c r="W28" s="655"/>
      <c r="X28" s="655"/>
      <c r="Y28" s="655"/>
      <c r="Z28" s="655"/>
      <c r="AA28" s="655"/>
      <c r="AB28" s="655"/>
      <c r="AC28" s="655"/>
      <c r="AD28" s="655"/>
      <c r="AE28" s="655"/>
      <c r="AF28" s="655"/>
    </row>
    <row r="29" customFormat="false" ht="17.25" hidden="false" customHeight="false" outlineLevel="0" collapsed="false">
      <c r="A29" s="655"/>
      <c r="B29" s="655"/>
      <c r="C29" s="680" t="s">
        <v>45</v>
      </c>
      <c r="D29" s="681" t="s">
        <v>43</v>
      </c>
      <c r="E29" s="682" t="s">
        <v>209</v>
      </c>
      <c r="F29" s="681" t="s">
        <v>216</v>
      </c>
      <c r="G29" s="681" t="s">
        <v>79</v>
      </c>
      <c r="H29" s="681" t="s">
        <v>54</v>
      </c>
      <c r="I29" s="683" t="s">
        <v>54</v>
      </c>
      <c r="J29" s="718"/>
      <c r="K29" s="673"/>
      <c r="L29" s="719"/>
      <c r="M29" s="655"/>
      <c r="N29" s="655"/>
      <c r="O29" s="655"/>
      <c r="P29" s="655"/>
      <c r="Q29" s="655"/>
      <c r="R29" s="655"/>
      <c r="S29" s="655"/>
      <c r="T29" s="655"/>
      <c r="U29" s="655"/>
      <c r="V29" s="655"/>
      <c r="W29" s="655"/>
      <c r="X29" s="655"/>
      <c r="Y29" s="655"/>
      <c r="Z29" s="655"/>
      <c r="AA29" s="655"/>
      <c r="AB29" s="655"/>
      <c r="AC29" s="655"/>
      <c r="AD29" s="655"/>
      <c r="AE29" s="655"/>
      <c r="AF29" s="655"/>
    </row>
    <row r="30" customFormat="false" ht="18" hidden="false" customHeight="false" outlineLevel="0" collapsed="false">
      <c r="A30" s="655"/>
      <c r="B30" s="655"/>
      <c r="C30" s="736" t="n">
        <v>0.83</v>
      </c>
      <c r="D30" s="687" t="n">
        <v>0.75</v>
      </c>
      <c r="E30" s="687" t="n">
        <v>0.66</v>
      </c>
      <c r="F30" s="687" t="n">
        <v>0.57</v>
      </c>
      <c r="G30" s="687" t="n">
        <v>0.48</v>
      </c>
      <c r="H30" s="687" t="n">
        <v>0.38</v>
      </c>
      <c r="I30" s="690" t="n">
        <v>0.28</v>
      </c>
      <c r="J30" s="673"/>
      <c r="K30" s="673"/>
      <c r="L30" s="719"/>
      <c r="M30" s="655"/>
      <c r="N30" s="655"/>
      <c r="O30" s="655"/>
      <c r="P30" s="655"/>
      <c r="Q30" s="655"/>
      <c r="R30" s="655"/>
      <c r="S30" s="655"/>
      <c r="T30" s="655"/>
      <c r="U30" s="655"/>
      <c r="V30" s="655"/>
      <c r="W30" s="655"/>
      <c r="X30" s="655"/>
      <c r="Y30" s="655"/>
      <c r="Z30" s="655"/>
      <c r="AA30" s="655"/>
      <c r="AB30" s="655"/>
      <c r="AC30" s="655"/>
      <c r="AD30" s="655"/>
      <c r="AE30" s="655"/>
      <c r="AF30" s="655"/>
    </row>
    <row r="31" customFormat="false" ht="17.25" hidden="false" customHeight="false" outlineLevel="0" collapsed="false">
      <c r="A31" s="655"/>
      <c r="B31" s="655"/>
      <c r="C31" s="692" t="s">
        <v>282</v>
      </c>
      <c r="D31" s="693" t="s">
        <v>169</v>
      </c>
      <c r="E31" s="693" t="s">
        <v>169</v>
      </c>
      <c r="F31" s="693" t="s">
        <v>54</v>
      </c>
      <c r="G31" s="693" t="s">
        <v>62</v>
      </c>
      <c r="H31" s="693"/>
      <c r="I31" s="735"/>
      <c r="J31" s="737" t="s">
        <v>31</v>
      </c>
      <c r="K31" s="673"/>
      <c r="L31" s="719"/>
      <c r="M31" s="655"/>
      <c r="N31" s="655"/>
      <c r="O31" s="655"/>
      <c r="P31" s="655"/>
      <c r="Q31" s="655"/>
      <c r="R31" s="655"/>
      <c r="S31" s="655"/>
      <c r="T31" s="655"/>
      <c r="U31" s="655"/>
      <c r="V31" s="655"/>
      <c r="W31" s="655"/>
      <c r="X31" s="655"/>
      <c r="Y31" s="655"/>
      <c r="Z31" s="655"/>
      <c r="AA31" s="655"/>
      <c r="AB31" s="655"/>
      <c r="AC31" s="655"/>
      <c r="AD31" s="655"/>
      <c r="AE31" s="655"/>
      <c r="AF31" s="655"/>
    </row>
    <row r="32" customFormat="false" ht="17.25" hidden="false" customHeight="false" outlineLevel="0" collapsed="false">
      <c r="A32" s="655"/>
      <c r="B32" s="655"/>
      <c r="C32" s="698" t="s">
        <v>291</v>
      </c>
      <c r="D32" s="699" t="s">
        <v>249</v>
      </c>
      <c r="E32" s="699" t="n">
        <v>5.4</v>
      </c>
      <c r="F32" s="699" t="n">
        <v>8.9</v>
      </c>
      <c r="G32" s="699" t="n">
        <v>7.6</v>
      </c>
      <c r="H32" s="699" t="n">
        <v>1.6</v>
      </c>
      <c r="I32" s="746" t="n">
        <v>8.5</v>
      </c>
      <c r="J32" s="740" t="n">
        <f aca="false">SUM(C32:I32)</f>
        <v>32</v>
      </c>
      <c r="K32" s="673"/>
      <c r="L32" s="726" t="s">
        <v>22</v>
      </c>
      <c r="M32" s="655"/>
      <c r="N32" s="655"/>
      <c r="O32" s="655"/>
      <c r="P32" s="655"/>
      <c r="Q32" s="655"/>
      <c r="R32" s="655"/>
      <c r="S32" s="655"/>
      <c r="T32" s="655"/>
      <c r="U32" s="655"/>
      <c r="V32" s="655"/>
      <c r="W32" s="655"/>
      <c r="X32" s="655"/>
      <c r="Y32" s="655"/>
      <c r="Z32" s="655"/>
      <c r="AA32" s="655"/>
      <c r="AB32" s="655"/>
      <c r="AC32" s="655"/>
      <c r="AD32" s="655"/>
      <c r="AE32" s="655"/>
      <c r="AF32" s="655"/>
    </row>
    <row r="33" customFormat="false" ht="17.25" hidden="false" customHeight="false" outlineLevel="0" collapsed="false">
      <c r="A33" s="655"/>
      <c r="B33" s="655"/>
      <c r="C33" s="698" t="n">
        <v>0</v>
      </c>
      <c r="D33" s="699" t="n">
        <v>0</v>
      </c>
      <c r="E33" s="699" t="n">
        <v>0.8</v>
      </c>
      <c r="F33" s="699" t="n">
        <v>0.8</v>
      </c>
      <c r="G33" s="664" t="n">
        <v>0.8</v>
      </c>
      <c r="H33" s="699" t="n">
        <v>0</v>
      </c>
      <c r="I33" s="746" t="n">
        <v>0.8</v>
      </c>
      <c r="J33" s="740" t="n">
        <f aca="false">SUM(C33:I33)</f>
        <v>3.2</v>
      </c>
      <c r="K33" s="673"/>
      <c r="L33" s="726" t="s">
        <v>24</v>
      </c>
      <c r="M33" s="655"/>
      <c r="N33" s="655"/>
      <c r="O33" s="655"/>
      <c r="P33" s="655"/>
      <c r="Q33" s="655"/>
      <c r="R33" s="655"/>
      <c r="S33" s="655"/>
      <c r="T33" s="655"/>
      <c r="U33" s="655"/>
      <c r="V33" s="655"/>
      <c r="W33" s="655"/>
      <c r="X33" s="655"/>
      <c r="Y33" s="655"/>
      <c r="Z33" s="655"/>
      <c r="AA33" s="655"/>
      <c r="AB33" s="655"/>
      <c r="AC33" s="655"/>
      <c r="AD33" s="655"/>
      <c r="AE33" s="655"/>
      <c r="AF33" s="655"/>
    </row>
    <row r="34" customFormat="false" ht="17.25" hidden="false" customHeight="false" outlineLevel="0" collapsed="false">
      <c r="A34" s="655"/>
      <c r="B34" s="655"/>
      <c r="C34" s="698" t="n">
        <v>0</v>
      </c>
      <c r="D34" s="699" t="n">
        <v>0</v>
      </c>
      <c r="E34" s="699" t="n">
        <v>0</v>
      </c>
      <c r="F34" s="699" t="n">
        <v>0.8</v>
      </c>
      <c r="G34" s="664" t="n">
        <v>0.8</v>
      </c>
      <c r="H34" s="664" t="n">
        <v>0</v>
      </c>
      <c r="I34" s="664" t="n">
        <v>0.8</v>
      </c>
      <c r="J34" s="740" t="n">
        <f aca="false">SUM(C34:I34)</f>
        <v>2.4</v>
      </c>
      <c r="K34" s="673"/>
      <c r="L34" s="726" t="s">
        <v>26</v>
      </c>
      <c r="M34" s="655"/>
      <c r="N34" s="655"/>
      <c r="O34" s="655"/>
      <c r="P34" s="655"/>
      <c r="Q34" s="655"/>
      <c r="R34" s="655"/>
      <c r="S34" s="655"/>
      <c r="T34" s="655"/>
      <c r="U34" s="655"/>
      <c r="V34" s="655"/>
      <c r="W34" s="655"/>
      <c r="X34" s="655"/>
      <c r="Y34" s="655"/>
      <c r="Z34" s="655"/>
      <c r="AA34" s="655"/>
      <c r="AB34" s="655"/>
      <c r="AC34" s="655"/>
      <c r="AD34" s="655"/>
      <c r="AE34" s="655"/>
      <c r="AF34" s="655"/>
    </row>
    <row r="35" customFormat="false" ht="18" hidden="false" customHeight="false" outlineLevel="0" collapsed="false">
      <c r="A35" s="655"/>
      <c r="B35" s="655"/>
      <c r="C35" s="727" t="s">
        <v>299</v>
      </c>
      <c r="D35" s="707" t="s">
        <v>300</v>
      </c>
      <c r="E35" s="707" t="s">
        <v>301</v>
      </c>
      <c r="F35" s="707" t="s">
        <v>302</v>
      </c>
      <c r="G35" s="707" t="s">
        <v>303</v>
      </c>
      <c r="H35" s="707" t="s">
        <v>304</v>
      </c>
      <c r="I35" s="747" t="s">
        <v>305</v>
      </c>
      <c r="J35" s="744" t="n">
        <v>67.13</v>
      </c>
      <c r="K35" s="673"/>
      <c r="L35" s="702" t="s">
        <v>28</v>
      </c>
      <c r="M35" s="655"/>
      <c r="N35" s="655"/>
      <c r="O35" s="655"/>
      <c r="P35" s="655"/>
      <c r="Q35" s="655"/>
      <c r="R35" s="655"/>
      <c r="S35" s="655"/>
      <c r="T35" s="655"/>
      <c r="U35" s="655"/>
      <c r="V35" s="655"/>
      <c r="W35" s="655"/>
      <c r="X35" s="655"/>
      <c r="Y35" s="655"/>
      <c r="Z35" s="655"/>
      <c r="AA35" s="655"/>
      <c r="AB35" s="655"/>
      <c r="AC35" s="655"/>
      <c r="AD35" s="655"/>
      <c r="AE35" s="655"/>
      <c r="AF35" s="655"/>
    </row>
    <row r="36" customFormat="false" ht="18" hidden="false" customHeight="false" outlineLevel="0" collapsed="false">
      <c r="A36" s="655"/>
      <c r="B36" s="655"/>
      <c r="C36" s="714" t="n">
        <v>23</v>
      </c>
      <c r="D36" s="714" t="n">
        <v>24</v>
      </c>
      <c r="E36" s="714" t="n">
        <v>25</v>
      </c>
      <c r="F36" s="714" t="n">
        <v>26</v>
      </c>
      <c r="G36" s="714" t="n">
        <v>27</v>
      </c>
      <c r="H36" s="714" t="n">
        <v>28</v>
      </c>
      <c r="I36" s="714"/>
      <c r="J36" s="745"/>
      <c r="K36" s="673"/>
      <c r="L36" s="719"/>
      <c r="M36" s="655"/>
      <c r="N36" s="655"/>
      <c r="O36" s="655"/>
      <c r="P36" s="655"/>
      <c r="Q36" s="655"/>
      <c r="R36" s="655"/>
      <c r="S36" s="655"/>
      <c r="T36" s="655"/>
      <c r="U36" s="655"/>
      <c r="V36" s="655"/>
      <c r="W36" s="655"/>
      <c r="X36" s="655"/>
      <c r="Y36" s="655"/>
      <c r="Z36" s="655"/>
      <c r="AA36" s="655"/>
      <c r="AB36" s="655"/>
      <c r="AC36" s="655"/>
      <c r="AD36" s="655"/>
      <c r="AE36" s="655"/>
      <c r="AF36" s="655"/>
    </row>
    <row r="37" customFormat="false" ht="17.25" hidden="false" customHeight="false" outlineLevel="0" collapsed="false">
      <c r="A37" s="655"/>
      <c r="B37" s="655"/>
      <c r="C37" s="748" t="s">
        <v>216</v>
      </c>
      <c r="D37" s="749" t="s">
        <v>306</v>
      </c>
      <c r="E37" s="749" t="s">
        <v>152</v>
      </c>
      <c r="F37" s="749" t="s">
        <v>152</v>
      </c>
      <c r="G37" s="749" t="s">
        <v>307</v>
      </c>
      <c r="H37" s="749" t="s">
        <v>45</v>
      </c>
      <c r="I37" s="683"/>
      <c r="J37" s="718"/>
      <c r="K37" s="673"/>
      <c r="L37" s="719"/>
      <c r="M37" s="655"/>
      <c r="N37" s="655"/>
      <c r="O37" s="655"/>
      <c r="P37" s="655"/>
      <c r="Q37" s="655"/>
      <c r="R37" s="655"/>
      <c r="S37" s="655"/>
      <c r="T37" s="655"/>
      <c r="U37" s="655"/>
      <c r="V37" s="655"/>
      <c r="W37" s="655"/>
      <c r="X37" s="655"/>
      <c r="Y37" s="655"/>
      <c r="Z37" s="655"/>
      <c r="AA37" s="655"/>
      <c r="AB37" s="655"/>
      <c r="AC37" s="655"/>
      <c r="AD37" s="655"/>
      <c r="AE37" s="655"/>
      <c r="AF37" s="655"/>
    </row>
    <row r="38" customFormat="false" ht="18" hidden="false" customHeight="false" outlineLevel="0" collapsed="false">
      <c r="A38" s="655"/>
      <c r="B38" s="655"/>
      <c r="C38" s="736" t="n">
        <v>0.2</v>
      </c>
      <c r="D38" s="687" t="n">
        <v>0.12</v>
      </c>
      <c r="E38" s="687" t="n">
        <v>0.06</v>
      </c>
      <c r="F38" s="687" t="n">
        <v>0.02</v>
      </c>
      <c r="G38" s="687" t="n">
        <v>0</v>
      </c>
      <c r="H38" s="687" t="n">
        <v>0.01</v>
      </c>
      <c r="I38" s="690"/>
      <c r="J38" s="673"/>
      <c r="K38" s="673"/>
      <c r="L38" s="719"/>
      <c r="M38" s="655"/>
      <c r="N38" s="655"/>
      <c r="O38" s="655"/>
      <c r="P38" s="655"/>
      <c r="Q38" s="655"/>
      <c r="R38" s="655"/>
      <c r="S38" s="655"/>
      <c r="T38" s="655"/>
      <c r="U38" s="655"/>
      <c r="V38" s="655"/>
      <c r="W38" s="655"/>
      <c r="X38" s="655"/>
      <c r="Y38" s="655"/>
      <c r="Z38" s="655"/>
      <c r="AA38" s="655"/>
      <c r="AB38" s="655"/>
      <c r="AC38" s="655"/>
      <c r="AD38" s="655"/>
      <c r="AE38" s="655"/>
      <c r="AF38" s="655"/>
    </row>
    <row r="39" customFormat="false" ht="17.25" hidden="false" customHeight="false" outlineLevel="0" collapsed="false">
      <c r="A39" s="655"/>
      <c r="B39" s="655"/>
      <c r="C39" s="692" t="s">
        <v>62</v>
      </c>
      <c r="D39" s="693" t="s">
        <v>169</v>
      </c>
      <c r="E39" s="693" t="s">
        <v>169</v>
      </c>
      <c r="F39" s="693" t="s">
        <v>54</v>
      </c>
      <c r="G39" s="693" t="s">
        <v>54</v>
      </c>
      <c r="H39" s="693" t="s">
        <v>54</v>
      </c>
      <c r="I39" s="695"/>
      <c r="J39" s="696" t="s">
        <v>32</v>
      </c>
      <c r="K39" s="673"/>
      <c r="L39" s="719"/>
      <c r="M39" s="655"/>
      <c r="N39" s="655"/>
      <c r="O39" s="655"/>
      <c r="P39" s="655"/>
      <c r="Q39" s="655"/>
      <c r="R39" s="655"/>
      <c r="S39" s="655"/>
      <c r="T39" s="655"/>
      <c r="U39" s="655"/>
      <c r="V39" s="655"/>
      <c r="W39" s="655"/>
      <c r="X39" s="655"/>
      <c r="Y39" s="655"/>
      <c r="Z39" s="655"/>
      <c r="AA39" s="655"/>
      <c r="AB39" s="655"/>
      <c r="AC39" s="655"/>
      <c r="AD39" s="655"/>
      <c r="AE39" s="655"/>
      <c r="AF39" s="655"/>
    </row>
    <row r="40" customFormat="false" ht="17.25" hidden="false" customHeight="false" outlineLevel="0" collapsed="false">
      <c r="A40" s="655"/>
      <c r="B40" s="655"/>
      <c r="C40" s="698" t="n">
        <v>10.8</v>
      </c>
      <c r="D40" s="699" t="n">
        <v>10</v>
      </c>
      <c r="E40" s="699" t="n">
        <v>9.5</v>
      </c>
      <c r="F40" s="699" t="n">
        <v>10.8</v>
      </c>
      <c r="G40" s="699" t="n">
        <v>10.1</v>
      </c>
      <c r="H40" s="699" t="n">
        <v>10.4</v>
      </c>
      <c r="I40" s="664"/>
      <c r="J40" s="701" t="n">
        <f aca="false">SUM(C40:H40)</f>
        <v>61.6</v>
      </c>
      <c r="K40" s="673"/>
      <c r="L40" s="726" t="s">
        <v>22</v>
      </c>
      <c r="M40" s="655"/>
      <c r="N40" s="655"/>
      <c r="O40" s="655"/>
      <c r="P40" s="655"/>
      <c r="Q40" s="655"/>
      <c r="R40" s="655"/>
      <c r="S40" s="655"/>
      <c r="T40" s="655"/>
      <c r="U40" s="655"/>
      <c r="V40" s="655"/>
      <c r="W40" s="655"/>
      <c r="X40" s="655"/>
      <c r="Y40" s="655"/>
      <c r="Z40" s="655"/>
      <c r="AA40" s="655"/>
      <c r="AB40" s="655"/>
      <c r="AC40" s="655"/>
      <c r="AD40" s="655"/>
      <c r="AE40" s="655"/>
      <c r="AF40" s="655"/>
    </row>
    <row r="41" customFormat="false" ht="17.25" hidden="false" customHeight="false" outlineLevel="0" collapsed="false">
      <c r="A41" s="655"/>
      <c r="B41" s="655"/>
      <c r="C41" s="698" t="n">
        <v>0.8</v>
      </c>
      <c r="D41" s="699" t="n">
        <v>0.8</v>
      </c>
      <c r="E41" s="699" t="n">
        <v>0.8</v>
      </c>
      <c r="F41" s="699" t="n">
        <v>0.8</v>
      </c>
      <c r="G41" s="699" t="n">
        <v>0.8</v>
      </c>
      <c r="H41" s="699" t="n">
        <v>0.8</v>
      </c>
      <c r="I41" s="664"/>
      <c r="J41" s="701" t="n">
        <f aca="false">SUM(C41:H41)</f>
        <v>4.8</v>
      </c>
      <c r="K41" s="673"/>
      <c r="L41" s="726" t="s">
        <v>24</v>
      </c>
      <c r="M41" s="655"/>
      <c r="N41" s="655"/>
      <c r="O41" s="655"/>
      <c r="P41" s="655"/>
      <c r="Q41" s="655"/>
      <c r="R41" s="655"/>
      <c r="S41" s="655"/>
      <c r="T41" s="655"/>
      <c r="U41" s="655"/>
      <c r="V41" s="655"/>
      <c r="W41" s="655"/>
      <c r="X41" s="655"/>
      <c r="Y41" s="655"/>
      <c r="Z41" s="655"/>
      <c r="AA41" s="655"/>
      <c r="AB41" s="655"/>
      <c r="AC41" s="655"/>
      <c r="AD41" s="655"/>
      <c r="AE41" s="655"/>
      <c r="AF41" s="655"/>
    </row>
    <row r="42" customFormat="false" ht="18" hidden="false" customHeight="false" outlineLevel="0" collapsed="false">
      <c r="A42" s="655"/>
      <c r="B42" s="655"/>
      <c r="C42" s="698" t="n">
        <v>0.8</v>
      </c>
      <c r="D42" s="699" t="n">
        <v>0.8</v>
      </c>
      <c r="E42" s="699" t="n">
        <v>0.8</v>
      </c>
      <c r="F42" s="699" t="n">
        <v>0.8</v>
      </c>
      <c r="G42" s="699" t="n">
        <v>0.8</v>
      </c>
      <c r="H42" s="699" t="n">
        <v>0.8</v>
      </c>
      <c r="I42" s="664"/>
      <c r="J42" s="701" t="n">
        <f aca="false">SUM(C42:H42)</f>
        <v>4.8</v>
      </c>
      <c r="K42" s="673"/>
      <c r="L42" s="726" t="s">
        <v>26</v>
      </c>
      <c r="M42" s="655"/>
      <c r="N42" s="655"/>
      <c r="O42" s="655"/>
      <c r="P42" s="655"/>
      <c r="Q42" s="655"/>
      <c r="R42" s="655"/>
      <c r="S42" s="655"/>
      <c r="T42" s="655"/>
      <c r="U42" s="655"/>
      <c r="V42" s="655"/>
      <c r="W42" s="655"/>
      <c r="X42" s="655"/>
      <c r="Y42" s="655"/>
      <c r="Z42" s="655"/>
      <c r="AA42" s="655"/>
      <c r="AB42" s="655"/>
      <c r="AC42" s="655"/>
      <c r="AD42" s="655"/>
      <c r="AE42" s="655"/>
      <c r="AF42" s="655"/>
    </row>
    <row r="43" customFormat="false" ht="18" hidden="false" customHeight="false" outlineLevel="0" collapsed="false">
      <c r="A43" s="655"/>
      <c r="B43" s="655"/>
      <c r="C43" s="750" t="s">
        <v>308</v>
      </c>
      <c r="D43" s="710" t="s">
        <v>309</v>
      </c>
      <c r="E43" s="742" t="s">
        <v>310</v>
      </c>
      <c r="F43" s="707" t="s">
        <v>311</v>
      </c>
      <c r="G43" s="707" t="s">
        <v>312</v>
      </c>
      <c r="H43" s="707" t="s">
        <v>313</v>
      </c>
      <c r="I43" s="743" t="s">
        <v>4</v>
      </c>
      <c r="J43" s="744" t="n">
        <v>58.92</v>
      </c>
      <c r="K43" s="673"/>
      <c r="L43" s="702" t="s">
        <v>28</v>
      </c>
      <c r="M43" s="655"/>
      <c r="N43" s="655"/>
      <c r="O43" s="655"/>
      <c r="P43" s="655"/>
      <c r="Q43" s="655"/>
      <c r="R43" s="655"/>
      <c r="S43" s="655"/>
      <c r="T43" s="655"/>
      <c r="U43" s="655"/>
      <c r="V43" s="655"/>
      <c r="W43" s="655"/>
      <c r="X43" s="655"/>
      <c r="Y43" s="655"/>
      <c r="Z43" s="655"/>
      <c r="AA43" s="655"/>
      <c r="AB43" s="655"/>
      <c r="AC43" s="655"/>
      <c r="AD43" s="655"/>
      <c r="AE43" s="655"/>
      <c r="AF43" s="655"/>
    </row>
    <row r="44" customFormat="false" ht="18" hidden="false" customHeight="false" outlineLevel="0" collapsed="false">
      <c r="A44" s="655"/>
      <c r="B44" s="655"/>
      <c r="C44" s="677"/>
      <c r="D44" s="751"/>
      <c r="E44" s="745"/>
      <c r="F44" s="673"/>
      <c r="G44" s="673"/>
      <c r="H44" s="673"/>
      <c r="I44" s="673"/>
      <c r="J44" s="673"/>
      <c r="K44" s="673"/>
      <c r="L44" s="697"/>
      <c r="M44" s="655"/>
      <c r="N44" s="655"/>
      <c r="O44" s="655"/>
      <c r="P44" s="655"/>
      <c r="Q44" s="655"/>
      <c r="R44" s="655"/>
      <c r="S44" s="655"/>
      <c r="T44" s="655"/>
      <c r="U44" s="655"/>
      <c r="V44" s="655"/>
      <c r="W44" s="655"/>
      <c r="X44" s="655"/>
      <c r="Y44" s="655"/>
      <c r="Z44" s="655"/>
      <c r="AA44" s="655"/>
      <c r="AB44" s="655"/>
      <c r="AC44" s="655"/>
      <c r="AD44" s="655"/>
      <c r="AE44" s="655"/>
      <c r="AF44" s="655"/>
    </row>
    <row r="45" customFormat="false" ht="17.25" hidden="false" customHeight="false" outlineLevel="0" collapsed="false">
      <c r="A45" s="655"/>
      <c r="B45" s="655"/>
      <c r="C45" s="692"/>
      <c r="D45" s="735"/>
      <c r="E45" s="718"/>
      <c r="F45" s="673"/>
      <c r="G45" s="673"/>
      <c r="H45" s="673"/>
      <c r="I45" s="673"/>
      <c r="J45" s="673"/>
      <c r="K45" s="673"/>
      <c r="L45" s="655"/>
      <c r="M45" s="655"/>
      <c r="N45" s="655"/>
      <c r="O45" s="655"/>
      <c r="P45" s="655"/>
      <c r="Q45" s="655"/>
      <c r="R45" s="655"/>
      <c r="S45" s="655"/>
      <c r="T45" s="655"/>
      <c r="U45" s="655"/>
      <c r="V45" s="655"/>
      <c r="W45" s="655"/>
      <c r="X45" s="655"/>
      <c r="Y45" s="655"/>
      <c r="Z45" s="655"/>
      <c r="AA45" s="655"/>
      <c r="AB45" s="655"/>
      <c r="AC45" s="655"/>
      <c r="AD45" s="655"/>
      <c r="AE45" s="655"/>
      <c r="AF45" s="655"/>
    </row>
    <row r="46" customFormat="false" ht="18" hidden="false" customHeight="false" outlineLevel="0" collapsed="false">
      <c r="A46" s="655"/>
      <c r="B46" s="655"/>
      <c r="C46" s="752"/>
      <c r="D46" s="753"/>
      <c r="E46" s="673"/>
      <c r="F46" s="673"/>
      <c r="G46" s="673"/>
      <c r="H46" s="673"/>
      <c r="I46" s="673"/>
      <c r="J46" s="673"/>
      <c r="K46" s="673"/>
      <c r="L46" s="655"/>
      <c r="M46" s="655"/>
      <c r="N46" s="655"/>
      <c r="O46" s="655"/>
      <c r="P46" s="655"/>
      <c r="Q46" s="655"/>
      <c r="R46" s="655"/>
      <c r="S46" s="655"/>
      <c r="T46" s="655"/>
      <c r="U46" s="655"/>
      <c r="V46" s="655"/>
      <c r="W46" s="655"/>
      <c r="X46" s="655"/>
      <c r="Y46" s="655"/>
      <c r="Z46" s="655"/>
      <c r="AA46" s="655"/>
      <c r="AB46" s="655"/>
      <c r="AC46" s="655"/>
      <c r="AD46" s="655"/>
      <c r="AE46" s="655"/>
      <c r="AF46" s="655"/>
    </row>
    <row r="47" customFormat="false" ht="17.25" hidden="false" customHeight="false" outlineLevel="0" collapsed="false">
      <c r="A47" s="655"/>
      <c r="B47" s="655"/>
      <c r="C47" s="692"/>
      <c r="D47" s="735"/>
      <c r="E47" s="673"/>
      <c r="G47" s="673"/>
      <c r="H47" s="673"/>
      <c r="I47" s="673"/>
      <c r="J47" s="696" t="s">
        <v>33</v>
      </c>
      <c r="K47" s="754"/>
      <c r="L47" s="655"/>
      <c r="M47" s="655"/>
      <c r="N47" s="655"/>
      <c r="O47" s="655"/>
      <c r="P47" s="655"/>
      <c r="Q47" s="655"/>
      <c r="R47" s="655"/>
      <c r="S47" s="655"/>
      <c r="T47" s="655"/>
      <c r="U47" s="655"/>
      <c r="V47" s="655"/>
      <c r="W47" s="655"/>
      <c r="X47" s="655"/>
      <c r="Y47" s="655"/>
      <c r="Z47" s="655"/>
      <c r="AA47" s="655"/>
      <c r="AB47" s="655"/>
      <c r="AC47" s="655"/>
      <c r="AD47" s="655"/>
      <c r="AE47" s="655"/>
      <c r="AF47" s="655"/>
    </row>
    <row r="48" customFormat="false" ht="17.25" hidden="false" customHeight="false" outlineLevel="0" collapsed="false">
      <c r="A48" s="655"/>
      <c r="B48" s="655"/>
      <c r="C48" s="755"/>
      <c r="D48" s="753"/>
      <c r="E48" s="673"/>
      <c r="G48" s="673"/>
      <c r="H48" s="673"/>
      <c r="I48" s="673"/>
      <c r="J48" s="701" t="n">
        <f aca="false" t="array" ref="J48:J48">SUM(IF(ISNUMBER(B48:D48), B48:D48, 0))</f>
        <v>0</v>
      </c>
      <c r="L48" s="726" t="s">
        <v>22</v>
      </c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655"/>
      <c r="AB48" s="655"/>
      <c r="AC48" s="655"/>
      <c r="AD48" s="655"/>
      <c r="AE48" s="655"/>
      <c r="AF48" s="655"/>
    </row>
    <row r="49" customFormat="false" ht="17.25" hidden="false" customHeight="false" outlineLevel="0" collapsed="false">
      <c r="A49" s="655"/>
      <c r="B49" s="655"/>
      <c r="C49" s="698"/>
      <c r="D49" s="753"/>
      <c r="E49" s="673"/>
      <c r="G49" s="673"/>
      <c r="H49" s="673"/>
      <c r="I49" s="673"/>
      <c r="J49" s="701" t="n">
        <f aca="false" t="array" ref="J49:J49">SUM(IF(ISNUMBER(B49:D49), B49:D49, 0))</f>
        <v>0</v>
      </c>
      <c r="L49" s="726" t="s">
        <v>24</v>
      </c>
      <c r="M49" s="655"/>
      <c r="N49" s="655"/>
      <c r="O49" s="655"/>
      <c r="P49" s="655"/>
      <c r="Q49" s="655"/>
      <c r="R49" s="655"/>
      <c r="S49" s="655"/>
      <c r="T49" s="655"/>
      <c r="U49" s="655"/>
      <c r="V49" s="655"/>
      <c r="W49" s="655"/>
      <c r="X49" s="655"/>
      <c r="Y49" s="655"/>
      <c r="Z49" s="655"/>
      <c r="AA49" s="655"/>
      <c r="AB49" s="655"/>
      <c r="AC49" s="655"/>
      <c r="AD49" s="655"/>
      <c r="AE49" s="655"/>
      <c r="AF49" s="655"/>
    </row>
    <row r="50" customFormat="false" ht="18" hidden="false" customHeight="false" outlineLevel="0" collapsed="false">
      <c r="A50" s="655"/>
      <c r="B50" s="655"/>
      <c r="C50" s="698"/>
      <c r="D50" s="753"/>
      <c r="E50" s="673"/>
      <c r="G50" s="673"/>
      <c r="H50" s="673"/>
      <c r="I50" s="673"/>
      <c r="J50" s="713" t="n">
        <f aca="false" t="array" ref="J50:J50">SUM(IF(ISNUMBER(B50:D50), B50:D50, 0))</f>
        <v>0</v>
      </c>
      <c r="L50" s="726" t="s">
        <v>26</v>
      </c>
      <c r="M50" s="655"/>
      <c r="N50" s="655"/>
      <c r="O50" s="655"/>
      <c r="P50" s="655"/>
      <c r="Q50" s="655"/>
      <c r="R50" s="655"/>
      <c r="S50" s="655"/>
      <c r="T50" s="655"/>
      <c r="U50" s="655"/>
      <c r="V50" s="655"/>
      <c r="W50" s="655"/>
      <c r="X50" s="655"/>
      <c r="Y50" s="655"/>
      <c r="Z50" s="655"/>
      <c r="AA50" s="655"/>
      <c r="AB50" s="655"/>
      <c r="AC50" s="655"/>
      <c r="AD50" s="655"/>
      <c r="AE50" s="655"/>
      <c r="AF50" s="655"/>
    </row>
    <row r="51" customFormat="false" ht="18" hidden="false" customHeight="false" outlineLevel="0" collapsed="false">
      <c r="A51" s="655"/>
      <c r="B51" s="655"/>
      <c r="C51" s="727"/>
      <c r="D51" s="756"/>
      <c r="G51" s="673"/>
      <c r="H51" s="673"/>
      <c r="I51" s="673"/>
      <c r="J51" s="713"/>
      <c r="L51" s="702" t="s">
        <v>28</v>
      </c>
      <c r="M51" s="655"/>
      <c r="N51" s="655"/>
      <c r="O51" s="655"/>
      <c r="P51" s="655"/>
      <c r="Q51" s="655"/>
      <c r="R51" s="655"/>
      <c r="S51" s="655"/>
      <c r="T51" s="655"/>
      <c r="U51" s="655"/>
      <c r="V51" s="655"/>
      <c r="W51" s="655"/>
      <c r="X51" s="655"/>
      <c r="Y51" s="655"/>
      <c r="Z51" s="655"/>
      <c r="AA51" s="655"/>
      <c r="AB51" s="655"/>
      <c r="AC51" s="655"/>
      <c r="AD51" s="655"/>
      <c r="AE51" s="655"/>
      <c r="AF51" s="655"/>
    </row>
    <row r="52" customFormat="false" ht="17.25" hidden="false" customHeight="false" outlineLevel="0" collapsed="false">
      <c r="A52" s="655"/>
      <c r="B52" s="655"/>
      <c r="C52" s="673"/>
      <c r="D52" s="673"/>
      <c r="E52" s="673"/>
      <c r="F52" s="673"/>
      <c r="G52" s="673"/>
      <c r="H52" s="673"/>
      <c r="I52" s="673"/>
      <c r="J52" s="673"/>
      <c r="K52" s="673"/>
      <c r="L52" s="655"/>
      <c r="M52" s="655"/>
      <c r="N52" s="655"/>
      <c r="O52" s="655"/>
      <c r="P52" s="655"/>
      <c r="Q52" s="655"/>
      <c r="R52" s="655"/>
      <c r="S52" s="655"/>
      <c r="T52" s="655"/>
      <c r="U52" s="655"/>
      <c r="V52" s="655"/>
      <c r="W52" s="655"/>
      <c r="X52" s="655"/>
      <c r="Y52" s="655"/>
      <c r="Z52" s="655"/>
      <c r="AA52" s="655"/>
      <c r="AB52" s="655"/>
      <c r="AC52" s="655"/>
      <c r="AD52" s="655"/>
      <c r="AE52" s="655"/>
      <c r="AF52" s="655"/>
    </row>
    <row r="53" customFormat="false" ht="16.5" hidden="false" customHeight="false" outlineLevel="0" collapsed="false">
      <c r="A53" s="655"/>
      <c r="B53" s="655"/>
      <c r="C53" s="655"/>
      <c r="D53" s="655"/>
      <c r="E53" s="655"/>
      <c r="F53" s="655"/>
      <c r="G53" s="655"/>
      <c r="H53" s="655"/>
      <c r="I53" s="655"/>
      <c r="J53" s="655"/>
      <c r="K53" s="655"/>
      <c r="L53" s="655"/>
      <c r="M53" s="655"/>
      <c r="N53" s="655"/>
      <c r="O53" s="655"/>
      <c r="P53" s="655"/>
      <c r="Q53" s="655"/>
      <c r="R53" s="655"/>
      <c r="S53" s="655"/>
      <c r="T53" s="655"/>
      <c r="U53" s="655"/>
      <c r="V53" s="655"/>
      <c r="W53" s="655"/>
      <c r="X53" s="655"/>
      <c r="Y53" s="655"/>
      <c r="Z53" s="655"/>
      <c r="AA53" s="655"/>
      <c r="AB53" s="655"/>
      <c r="AC53" s="655"/>
      <c r="AD53" s="655"/>
      <c r="AE53" s="655"/>
      <c r="AF53" s="655"/>
    </row>
    <row r="54" customFormat="false" ht="16.5" hidden="false" customHeight="false" outlineLevel="0" collapsed="false">
      <c r="A54" s="655"/>
      <c r="B54" s="655"/>
      <c r="C54" s="655"/>
      <c r="D54" s="655"/>
      <c r="E54" s="655"/>
      <c r="F54" s="655"/>
      <c r="G54" s="655"/>
      <c r="H54" s="655"/>
      <c r="I54" s="655"/>
      <c r="J54" s="655"/>
      <c r="K54" s="655"/>
      <c r="L54" s="655"/>
      <c r="M54" s="655"/>
      <c r="N54" s="655"/>
      <c r="O54" s="655"/>
      <c r="P54" s="655"/>
      <c r="Q54" s="655"/>
      <c r="R54" s="655"/>
      <c r="S54" s="655"/>
      <c r="T54" s="655"/>
      <c r="U54" s="655"/>
      <c r="V54" s="655"/>
      <c r="W54" s="655"/>
      <c r="X54" s="655"/>
      <c r="Y54" s="655"/>
      <c r="Z54" s="655"/>
      <c r="AA54" s="655"/>
      <c r="AB54" s="655"/>
      <c r="AC54" s="655"/>
      <c r="AD54" s="655"/>
      <c r="AE54" s="655"/>
      <c r="AF54" s="655"/>
    </row>
    <row r="55" customFormat="false" ht="16.5" hidden="false" customHeight="false" outlineLevel="0" collapsed="false">
      <c r="A55" s="655"/>
      <c r="B55" s="655"/>
      <c r="C55" s="655"/>
      <c r="D55" s="655"/>
      <c r="E55" s="655"/>
      <c r="F55" s="655"/>
      <c r="G55" s="655"/>
      <c r="H55" s="655"/>
      <c r="I55" s="655"/>
      <c r="J55" s="655"/>
      <c r="K55" s="655"/>
      <c r="L55" s="655"/>
      <c r="M55" s="655"/>
      <c r="N55" s="655"/>
      <c r="O55" s="655"/>
      <c r="P55" s="655"/>
      <c r="Q55" s="655"/>
      <c r="R55" s="655"/>
      <c r="S55" s="655"/>
      <c r="T55" s="655"/>
      <c r="U55" s="655"/>
      <c r="V55" s="655"/>
      <c r="W55" s="655"/>
      <c r="X55" s="655"/>
      <c r="Y55" s="655"/>
      <c r="Z55" s="655"/>
      <c r="AA55" s="655"/>
      <c r="AB55" s="655"/>
      <c r="AC55" s="655"/>
      <c r="AD55" s="655"/>
      <c r="AE55" s="655"/>
      <c r="AF55" s="655"/>
    </row>
    <row r="56" customFormat="false" ht="16.5" hidden="false" customHeight="false" outlineLevel="0" collapsed="false">
      <c r="A56" s="655"/>
      <c r="B56" s="655"/>
      <c r="C56" s="655"/>
      <c r="D56" s="655"/>
      <c r="E56" s="655"/>
      <c r="F56" s="655"/>
      <c r="G56" s="655"/>
      <c r="H56" s="655"/>
      <c r="I56" s="655"/>
      <c r="J56" s="655"/>
      <c r="K56" s="655"/>
      <c r="L56" s="655"/>
      <c r="M56" s="655"/>
      <c r="N56" s="655"/>
      <c r="O56" s="655"/>
      <c r="P56" s="655"/>
      <c r="Q56" s="655"/>
      <c r="R56" s="655"/>
      <c r="S56" s="655"/>
      <c r="T56" s="655"/>
      <c r="U56" s="655"/>
      <c r="V56" s="655"/>
      <c r="W56" s="655"/>
      <c r="X56" s="655"/>
      <c r="Y56" s="655"/>
      <c r="Z56" s="655"/>
      <c r="AA56" s="655"/>
      <c r="AB56" s="655"/>
      <c r="AC56" s="655"/>
      <c r="AD56" s="655"/>
      <c r="AE56" s="655"/>
      <c r="AF56" s="655"/>
    </row>
    <row r="57" customFormat="false" ht="16.5" hidden="false" customHeight="false" outlineLevel="0" collapsed="false">
      <c r="A57" s="655"/>
      <c r="B57" s="655"/>
      <c r="C57" s="655"/>
      <c r="D57" s="655"/>
      <c r="E57" s="655"/>
      <c r="F57" s="655"/>
      <c r="G57" s="655"/>
      <c r="H57" s="655"/>
      <c r="I57" s="655"/>
      <c r="J57" s="655"/>
      <c r="K57" s="655"/>
      <c r="L57" s="655"/>
      <c r="M57" s="655"/>
      <c r="N57" s="655"/>
      <c r="O57" s="655"/>
      <c r="P57" s="655"/>
      <c r="Q57" s="655"/>
      <c r="R57" s="655"/>
      <c r="S57" s="655"/>
      <c r="T57" s="655"/>
      <c r="U57" s="655"/>
      <c r="V57" s="655"/>
      <c r="W57" s="655"/>
      <c r="X57" s="655"/>
      <c r="Y57" s="655"/>
      <c r="Z57" s="655"/>
      <c r="AA57" s="655"/>
      <c r="AB57" s="655"/>
      <c r="AC57" s="655"/>
      <c r="AD57" s="655"/>
      <c r="AE57" s="655"/>
      <c r="AF57" s="655"/>
    </row>
    <row r="58" customFormat="false" ht="16.5" hidden="false" customHeight="false" outlineLevel="0" collapsed="false">
      <c r="A58" s="655"/>
      <c r="B58" s="655"/>
      <c r="C58" s="655"/>
      <c r="D58" s="655"/>
      <c r="E58" s="655"/>
      <c r="F58" s="655"/>
      <c r="G58" s="655"/>
      <c r="H58" s="655"/>
      <c r="I58" s="655"/>
      <c r="J58" s="655"/>
      <c r="K58" s="655"/>
      <c r="L58" s="655"/>
      <c r="M58" s="655"/>
      <c r="N58" s="655"/>
      <c r="O58" s="655"/>
      <c r="P58" s="655"/>
      <c r="Q58" s="655"/>
      <c r="R58" s="655"/>
      <c r="S58" s="655"/>
      <c r="T58" s="655"/>
      <c r="U58" s="655"/>
      <c r="V58" s="655"/>
      <c r="W58" s="655"/>
      <c r="X58" s="655"/>
      <c r="Y58" s="655"/>
      <c r="Z58" s="655"/>
      <c r="AA58" s="655"/>
      <c r="AB58" s="655"/>
      <c r="AC58" s="655"/>
      <c r="AD58" s="655"/>
      <c r="AE58" s="655"/>
      <c r="AF58" s="655"/>
    </row>
    <row r="59" customFormat="false" ht="16.5" hidden="false" customHeight="false" outlineLevel="0" collapsed="false">
      <c r="A59" s="655"/>
      <c r="B59" s="655"/>
      <c r="C59" s="655"/>
      <c r="D59" s="655"/>
      <c r="E59" s="655"/>
      <c r="F59" s="655"/>
      <c r="G59" s="655"/>
      <c r="H59" s="655"/>
      <c r="I59" s="655"/>
      <c r="J59" s="655"/>
      <c r="K59" s="655"/>
      <c r="L59" s="655"/>
      <c r="M59" s="655"/>
      <c r="N59" s="655"/>
      <c r="O59" s="655"/>
      <c r="P59" s="655"/>
      <c r="Q59" s="655"/>
      <c r="R59" s="655"/>
      <c r="S59" s="655"/>
      <c r="T59" s="655"/>
      <c r="U59" s="655"/>
      <c r="V59" s="655"/>
      <c r="W59" s="655"/>
      <c r="X59" s="655"/>
      <c r="Y59" s="655"/>
      <c r="Z59" s="655"/>
      <c r="AA59" s="655"/>
      <c r="AB59" s="655"/>
      <c r="AC59" s="655"/>
      <c r="AD59" s="655"/>
      <c r="AE59" s="655"/>
      <c r="AF59" s="655"/>
    </row>
    <row r="60" customFormat="false" ht="16.5" hidden="false" customHeight="false" outlineLevel="0" collapsed="false">
      <c r="A60" s="655"/>
      <c r="B60" s="655"/>
      <c r="C60" s="655"/>
      <c r="D60" s="655"/>
      <c r="E60" s="655"/>
      <c r="F60" s="655"/>
      <c r="G60" s="655"/>
      <c r="H60" s="655"/>
      <c r="I60" s="655"/>
      <c r="J60" s="655"/>
      <c r="K60" s="655"/>
      <c r="L60" s="655"/>
      <c r="M60" s="655"/>
      <c r="N60" s="655"/>
      <c r="O60" s="655"/>
      <c r="P60" s="655"/>
      <c r="Q60" s="655"/>
      <c r="R60" s="655"/>
      <c r="S60" s="655"/>
      <c r="T60" s="655"/>
      <c r="U60" s="655"/>
      <c r="V60" s="655"/>
      <c r="W60" s="655"/>
      <c r="X60" s="655"/>
      <c r="Y60" s="655"/>
      <c r="Z60" s="655"/>
      <c r="AA60" s="655"/>
      <c r="AB60" s="655"/>
      <c r="AC60" s="655"/>
      <c r="AD60" s="655"/>
      <c r="AE60" s="655"/>
      <c r="AF60" s="655"/>
    </row>
    <row r="61" customFormat="false" ht="16.5" hidden="false" customHeight="false" outlineLevel="0" collapsed="false">
      <c r="A61" s="655"/>
      <c r="B61" s="655"/>
      <c r="C61" s="655"/>
      <c r="D61" s="655"/>
      <c r="E61" s="655"/>
      <c r="F61" s="655"/>
      <c r="G61" s="655"/>
      <c r="H61" s="655"/>
      <c r="I61" s="655"/>
      <c r="J61" s="655"/>
      <c r="K61" s="655"/>
      <c r="L61" s="655"/>
      <c r="M61" s="655"/>
      <c r="N61" s="655"/>
      <c r="O61" s="655"/>
      <c r="P61" s="655"/>
      <c r="Q61" s="655"/>
      <c r="R61" s="655"/>
      <c r="S61" s="655"/>
      <c r="T61" s="655"/>
      <c r="U61" s="655"/>
      <c r="V61" s="655"/>
      <c r="W61" s="655"/>
      <c r="X61" s="655"/>
      <c r="Y61" s="655"/>
      <c r="Z61" s="655"/>
      <c r="AA61" s="655"/>
      <c r="AB61" s="655"/>
      <c r="AC61" s="655"/>
      <c r="AD61" s="655"/>
      <c r="AE61" s="655"/>
      <c r="AF61" s="655"/>
    </row>
    <row r="62" customFormat="false" ht="16.5" hidden="false" customHeight="false" outlineLevel="0" collapsed="false">
      <c r="A62" s="655"/>
      <c r="B62" s="655"/>
      <c r="C62" s="655"/>
      <c r="D62" s="655"/>
      <c r="E62" s="655"/>
      <c r="F62" s="655"/>
      <c r="G62" s="655"/>
      <c r="H62" s="655"/>
      <c r="I62" s="655"/>
      <c r="J62" s="655"/>
      <c r="K62" s="655"/>
      <c r="L62" s="655"/>
      <c r="M62" s="655"/>
      <c r="N62" s="655"/>
      <c r="O62" s="655"/>
      <c r="P62" s="655"/>
      <c r="Q62" s="655"/>
      <c r="R62" s="655"/>
      <c r="S62" s="655"/>
      <c r="T62" s="655"/>
      <c r="U62" s="655"/>
      <c r="V62" s="655"/>
      <c r="W62" s="655"/>
      <c r="X62" s="655"/>
      <c r="Y62" s="655"/>
      <c r="Z62" s="655"/>
      <c r="AA62" s="655"/>
      <c r="AB62" s="655"/>
      <c r="AC62" s="655"/>
      <c r="AD62" s="655"/>
      <c r="AE62" s="655"/>
      <c r="AF62" s="655"/>
    </row>
    <row r="63" customFormat="false" ht="16.5" hidden="false" customHeight="false" outlineLevel="0" collapsed="false">
      <c r="A63" s="655"/>
      <c r="B63" s="655"/>
      <c r="C63" s="655"/>
      <c r="D63" s="655"/>
      <c r="E63" s="655"/>
      <c r="F63" s="655"/>
      <c r="G63" s="655"/>
      <c r="H63" s="655"/>
      <c r="I63" s="655"/>
      <c r="J63" s="655"/>
      <c r="K63" s="655"/>
      <c r="L63" s="655"/>
      <c r="M63" s="655"/>
      <c r="N63" s="655"/>
      <c r="O63" s="655"/>
      <c r="P63" s="655"/>
      <c r="Q63" s="655"/>
      <c r="R63" s="655"/>
      <c r="S63" s="655"/>
      <c r="T63" s="655"/>
      <c r="U63" s="655"/>
      <c r="V63" s="655"/>
      <c r="W63" s="655"/>
      <c r="X63" s="655"/>
      <c r="Y63" s="655"/>
      <c r="Z63" s="655"/>
      <c r="AA63" s="655"/>
      <c r="AB63" s="655"/>
      <c r="AC63" s="655"/>
      <c r="AD63" s="655"/>
      <c r="AE63" s="655"/>
      <c r="AF63" s="655"/>
    </row>
    <row r="64" customFormat="false" ht="16.5" hidden="false" customHeight="false" outlineLevel="0" collapsed="false">
      <c r="A64" s="655"/>
      <c r="B64" s="655"/>
      <c r="C64" s="655"/>
      <c r="D64" s="655"/>
      <c r="E64" s="655"/>
      <c r="F64" s="655"/>
      <c r="G64" s="655"/>
      <c r="H64" s="655"/>
      <c r="I64" s="655"/>
      <c r="J64" s="655"/>
      <c r="K64" s="655"/>
      <c r="L64" s="655"/>
      <c r="M64" s="655"/>
      <c r="N64" s="655"/>
      <c r="O64" s="655"/>
      <c r="P64" s="655"/>
      <c r="Q64" s="655"/>
      <c r="R64" s="655"/>
      <c r="S64" s="655"/>
      <c r="T64" s="655"/>
      <c r="U64" s="655"/>
      <c r="V64" s="655"/>
      <c r="W64" s="655"/>
      <c r="X64" s="655"/>
      <c r="Y64" s="655"/>
      <c r="Z64" s="655"/>
      <c r="AA64" s="655"/>
      <c r="AB64" s="655"/>
      <c r="AC64" s="655"/>
      <c r="AD64" s="655"/>
      <c r="AE64" s="655"/>
      <c r="AF64" s="655"/>
    </row>
    <row r="65" customFormat="false" ht="16.5" hidden="false" customHeight="false" outlineLevel="0" collapsed="false">
      <c r="A65" s="655"/>
      <c r="B65" s="655"/>
      <c r="C65" s="655"/>
      <c r="D65" s="655"/>
      <c r="E65" s="655"/>
      <c r="F65" s="655"/>
      <c r="G65" s="655"/>
      <c r="H65" s="655"/>
      <c r="I65" s="655"/>
      <c r="J65" s="655"/>
      <c r="K65" s="655"/>
      <c r="L65" s="655"/>
      <c r="M65" s="655"/>
      <c r="N65" s="655"/>
      <c r="O65" s="655"/>
      <c r="P65" s="655"/>
      <c r="Q65" s="655"/>
      <c r="R65" s="655"/>
      <c r="S65" s="655"/>
      <c r="T65" s="655"/>
      <c r="U65" s="655"/>
      <c r="V65" s="655"/>
      <c r="W65" s="655"/>
      <c r="X65" s="655"/>
      <c r="Y65" s="655"/>
      <c r="Z65" s="655"/>
      <c r="AA65" s="655"/>
      <c r="AB65" s="655"/>
      <c r="AC65" s="655"/>
      <c r="AD65" s="655"/>
      <c r="AE65" s="655"/>
      <c r="AF65" s="655"/>
    </row>
    <row r="66" customFormat="false" ht="16.5" hidden="false" customHeight="false" outlineLevel="0" collapsed="false">
      <c r="A66" s="655"/>
      <c r="B66" s="655"/>
      <c r="C66" s="655"/>
      <c r="D66" s="655"/>
      <c r="E66" s="655"/>
      <c r="F66" s="655"/>
      <c r="G66" s="655"/>
      <c r="H66" s="655"/>
      <c r="I66" s="655"/>
      <c r="J66" s="655"/>
      <c r="K66" s="655"/>
      <c r="L66" s="655"/>
      <c r="M66" s="655"/>
      <c r="N66" s="655"/>
      <c r="O66" s="655"/>
      <c r="P66" s="655"/>
      <c r="Q66" s="655"/>
      <c r="R66" s="655"/>
      <c r="S66" s="655"/>
      <c r="T66" s="655"/>
      <c r="U66" s="655"/>
      <c r="V66" s="655"/>
      <c r="W66" s="655"/>
      <c r="X66" s="655"/>
      <c r="Y66" s="655"/>
      <c r="Z66" s="655"/>
      <c r="AA66" s="655"/>
      <c r="AB66" s="655"/>
      <c r="AC66" s="655"/>
      <c r="AD66" s="655"/>
      <c r="AE66" s="655"/>
      <c r="AF66" s="655"/>
    </row>
    <row r="67" customFormat="false" ht="16.5" hidden="false" customHeight="false" outlineLevel="0" collapsed="false">
      <c r="A67" s="655"/>
      <c r="B67" s="655"/>
      <c r="C67" s="655"/>
      <c r="D67" s="655"/>
      <c r="E67" s="655"/>
      <c r="F67" s="655"/>
      <c r="G67" s="655"/>
      <c r="H67" s="655"/>
      <c r="I67" s="655"/>
      <c r="J67" s="655"/>
      <c r="K67" s="655"/>
      <c r="L67" s="655"/>
      <c r="M67" s="655"/>
      <c r="N67" s="655"/>
      <c r="O67" s="655"/>
      <c r="P67" s="655"/>
      <c r="Q67" s="655"/>
      <c r="R67" s="655"/>
      <c r="S67" s="655"/>
      <c r="T67" s="655"/>
      <c r="U67" s="655"/>
      <c r="V67" s="655"/>
      <c r="W67" s="655"/>
      <c r="X67" s="655"/>
      <c r="Y67" s="655"/>
      <c r="Z67" s="655"/>
      <c r="AA67" s="655"/>
      <c r="AB67" s="655"/>
      <c r="AC67" s="655"/>
      <c r="AD67" s="655"/>
      <c r="AE67" s="655"/>
      <c r="AF67" s="655"/>
    </row>
    <row r="68" customFormat="false" ht="16.5" hidden="false" customHeight="false" outlineLevel="0" collapsed="false">
      <c r="A68" s="655"/>
      <c r="B68" s="655"/>
      <c r="C68" s="655"/>
      <c r="D68" s="655"/>
      <c r="E68" s="655"/>
      <c r="F68" s="655"/>
      <c r="G68" s="655"/>
      <c r="H68" s="655"/>
      <c r="I68" s="655"/>
      <c r="J68" s="655"/>
      <c r="K68" s="655"/>
      <c r="L68" s="655"/>
      <c r="M68" s="655"/>
      <c r="N68" s="655"/>
      <c r="O68" s="655"/>
      <c r="P68" s="655"/>
      <c r="Q68" s="655"/>
      <c r="R68" s="655"/>
      <c r="S68" s="655"/>
      <c r="T68" s="655"/>
      <c r="U68" s="655"/>
      <c r="V68" s="655"/>
      <c r="W68" s="655"/>
      <c r="X68" s="655"/>
      <c r="Y68" s="655"/>
      <c r="Z68" s="655"/>
      <c r="AA68" s="655"/>
      <c r="AB68" s="655"/>
      <c r="AC68" s="655"/>
      <c r="AD68" s="655"/>
      <c r="AE68" s="655"/>
      <c r="AF68" s="655"/>
    </row>
    <row r="69" customFormat="false" ht="16.5" hidden="false" customHeight="false" outlineLevel="0" collapsed="false">
      <c r="A69" s="655"/>
      <c r="B69" s="655"/>
      <c r="C69" s="655"/>
      <c r="D69" s="655"/>
      <c r="E69" s="655"/>
      <c r="F69" s="655"/>
      <c r="G69" s="655"/>
      <c r="H69" s="655"/>
      <c r="I69" s="655"/>
      <c r="J69" s="655"/>
      <c r="K69" s="655"/>
      <c r="L69" s="655"/>
      <c r="M69" s="655"/>
      <c r="N69" s="655"/>
      <c r="O69" s="655"/>
      <c r="P69" s="655"/>
      <c r="Q69" s="655"/>
      <c r="R69" s="655"/>
      <c r="S69" s="655"/>
      <c r="T69" s="655"/>
      <c r="U69" s="655"/>
      <c r="V69" s="655"/>
      <c r="W69" s="655"/>
      <c r="X69" s="655"/>
      <c r="Y69" s="655"/>
      <c r="Z69" s="655"/>
      <c r="AA69" s="655"/>
      <c r="AB69" s="655"/>
      <c r="AC69" s="655"/>
      <c r="AD69" s="655"/>
      <c r="AE69" s="655"/>
      <c r="AF69" s="655"/>
    </row>
    <row r="70" customFormat="false" ht="16.5" hidden="false" customHeight="false" outlineLevel="0" collapsed="false">
      <c r="A70" s="655"/>
      <c r="B70" s="655"/>
      <c r="C70" s="655"/>
      <c r="D70" s="655"/>
      <c r="E70" s="655"/>
      <c r="F70" s="655"/>
      <c r="G70" s="655"/>
      <c r="H70" s="655"/>
      <c r="I70" s="655"/>
      <c r="J70" s="655"/>
      <c r="K70" s="655"/>
      <c r="L70" s="655"/>
      <c r="M70" s="655"/>
      <c r="N70" s="655"/>
      <c r="O70" s="655"/>
      <c r="P70" s="655"/>
      <c r="Q70" s="655"/>
      <c r="R70" s="655"/>
      <c r="S70" s="655"/>
      <c r="T70" s="655"/>
      <c r="U70" s="655"/>
      <c r="V70" s="655"/>
      <c r="W70" s="655"/>
      <c r="X70" s="655"/>
      <c r="Y70" s="655"/>
      <c r="Z70" s="655"/>
      <c r="AA70" s="655"/>
      <c r="AB70" s="655"/>
      <c r="AC70" s="655"/>
      <c r="AD70" s="655"/>
      <c r="AE70" s="655"/>
      <c r="AF70" s="655"/>
    </row>
    <row r="71" customFormat="false" ht="16.5" hidden="false" customHeight="false" outlineLevel="0" collapsed="false">
      <c r="A71" s="655"/>
      <c r="B71" s="655"/>
      <c r="C71" s="655"/>
      <c r="D71" s="655"/>
      <c r="E71" s="655"/>
      <c r="F71" s="655"/>
      <c r="G71" s="655"/>
      <c r="H71" s="655"/>
      <c r="I71" s="655"/>
      <c r="J71" s="655"/>
      <c r="K71" s="655"/>
      <c r="L71" s="655"/>
      <c r="M71" s="655"/>
      <c r="N71" s="655"/>
      <c r="O71" s="655"/>
      <c r="P71" s="655"/>
      <c r="Q71" s="655"/>
      <c r="R71" s="655"/>
      <c r="S71" s="655"/>
      <c r="T71" s="655"/>
      <c r="U71" s="655"/>
      <c r="V71" s="655"/>
      <c r="W71" s="655"/>
      <c r="X71" s="655"/>
      <c r="Y71" s="655"/>
      <c r="Z71" s="655"/>
      <c r="AA71" s="655"/>
      <c r="AB71" s="655"/>
      <c r="AC71" s="655"/>
      <c r="AD71" s="655"/>
      <c r="AE71" s="655"/>
      <c r="AF71" s="655"/>
    </row>
    <row r="72" customFormat="false" ht="16.5" hidden="false" customHeight="false" outlineLevel="0" collapsed="false">
      <c r="A72" s="655"/>
      <c r="B72" s="655"/>
      <c r="C72" s="655"/>
      <c r="D72" s="655"/>
      <c r="E72" s="655"/>
      <c r="F72" s="655"/>
      <c r="G72" s="655"/>
      <c r="H72" s="655"/>
      <c r="I72" s="655"/>
      <c r="J72" s="655"/>
      <c r="K72" s="655"/>
      <c r="L72" s="655"/>
      <c r="M72" s="655"/>
      <c r="N72" s="655"/>
      <c r="O72" s="655"/>
      <c r="P72" s="655"/>
      <c r="Q72" s="655"/>
      <c r="R72" s="655"/>
      <c r="S72" s="655"/>
      <c r="T72" s="655"/>
      <c r="U72" s="655"/>
      <c r="V72" s="655"/>
      <c r="W72" s="655"/>
      <c r="X72" s="655"/>
      <c r="Y72" s="655"/>
      <c r="Z72" s="655"/>
      <c r="AA72" s="655"/>
      <c r="AB72" s="655"/>
      <c r="AC72" s="655"/>
      <c r="AD72" s="655"/>
      <c r="AE72" s="655"/>
      <c r="AF72" s="655"/>
    </row>
    <row r="73" customFormat="false" ht="16.5" hidden="false" customHeight="false" outlineLevel="0" collapsed="false">
      <c r="A73" s="655"/>
      <c r="B73" s="655"/>
      <c r="C73" s="655"/>
      <c r="D73" s="655"/>
      <c r="E73" s="655"/>
      <c r="F73" s="655"/>
      <c r="G73" s="655"/>
      <c r="H73" s="655"/>
      <c r="I73" s="655"/>
      <c r="J73" s="655"/>
      <c r="K73" s="655"/>
      <c r="L73" s="655"/>
      <c r="M73" s="655"/>
      <c r="N73" s="655"/>
      <c r="O73" s="655"/>
      <c r="P73" s="655"/>
      <c r="Q73" s="655"/>
      <c r="R73" s="655"/>
      <c r="S73" s="655"/>
      <c r="T73" s="655"/>
      <c r="U73" s="655"/>
      <c r="V73" s="655"/>
      <c r="W73" s="655"/>
      <c r="X73" s="655"/>
      <c r="Y73" s="655"/>
      <c r="Z73" s="655"/>
      <c r="AA73" s="655"/>
      <c r="AB73" s="655"/>
      <c r="AC73" s="655"/>
      <c r="AD73" s="655"/>
      <c r="AE73" s="655"/>
      <c r="AF73" s="655"/>
    </row>
    <row r="74" customFormat="false" ht="16.5" hidden="false" customHeight="false" outlineLevel="0" collapsed="false">
      <c r="A74" s="655"/>
      <c r="B74" s="655"/>
      <c r="C74" s="655"/>
      <c r="D74" s="655"/>
      <c r="E74" s="655"/>
      <c r="F74" s="655"/>
      <c r="G74" s="655"/>
      <c r="H74" s="655"/>
      <c r="I74" s="655"/>
      <c r="J74" s="655"/>
      <c r="K74" s="655"/>
      <c r="L74" s="655"/>
      <c r="M74" s="655"/>
      <c r="N74" s="655"/>
      <c r="O74" s="655"/>
      <c r="P74" s="655"/>
      <c r="Q74" s="655"/>
      <c r="R74" s="655"/>
      <c r="S74" s="655"/>
      <c r="T74" s="655"/>
      <c r="U74" s="655"/>
      <c r="V74" s="655"/>
      <c r="W74" s="655"/>
      <c r="X74" s="655"/>
      <c r="Y74" s="655"/>
      <c r="Z74" s="655"/>
      <c r="AA74" s="655"/>
      <c r="AB74" s="655"/>
      <c r="AC74" s="655"/>
      <c r="AD74" s="655"/>
      <c r="AE74" s="655"/>
      <c r="AF74" s="655"/>
    </row>
    <row r="75" customFormat="false" ht="16.5" hidden="false" customHeight="false" outlineLevel="0" collapsed="false">
      <c r="A75" s="655"/>
      <c r="B75" s="655"/>
      <c r="C75" s="655"/>
      <c r="D75" s="655"/>
      <c r="E75" s="655"/>
      <c r="F75" s="655"/>
      <c r="G75" s="655"/>
      <c r="H75" s="655"/>
      <c r="I75" s="655"/>
      <c r="J75" s="655"/>
      <c r="K75" s="655"/>
      <c r="L75" s="655"/>
      <c r="M75" s="655"/>
      <c r="N75" s="655"/>
      <c r="O75" s="655"/>
      <c r="P75" s="655"/>
      <c r="Q75" s="655"/>
      <c r="R75" s="655"/>
      <c r="S75" s="655"/>
      <c r="T75" s="655"/>
      <c r="U75" s="655"/>
      <c r="V75" s="655"/>
      <c r="W75" s="655"/>
      <c r="X75" s="655"/>
      <c r="Y75" s="655"/>
      <c r="Z75" s="655"/>
      <c r="AA75" s="655"/>
      <c r="AB75" s="655"/>
      <c r="AC75" s="655"/>
      <c r="AD75" s="655"/>
      <c r="AE75" s="655"/>
      <c r="AF75" s="655"/>
    </row>
    <row r="76" customFormat="false" ht="16.5" hidden="false" customHeight="false" outlineLevel="0" collapsed="false">
      <c r="A76" s="655"/>
      <c r="B76" s="655"/>
      <c r="C76" s="655"/>
      <c r="D76" s="655"/>
      <c r="E76" s="655"/>
      <c r="F76" s="655"/>
      <c r="G76" s="655"/>
      <c r="H76" s="655"/>
      <c r="I76" s="655"/>
      <c r="J76" s="655"/>
      <c r="K76" s="655"/>
      <c r="L76" s="655"/>
      <c r="M76" s="655"/>
      <c r="N76" s="655"/>
      <c r="O76" s="655"/>
      <c r="P76" s="655"/>
      <c r="Q76" s="655"/>
      <c r="R76" s="655"/>
      <c r="S76" s="655"/>
      <c r="T76" s="655"/>
      <c r="U76" s="655"/>
      <c r="V76" s="655"/>
      <c r="W76" s="655"/>
      <c r="X76" s="655"/>
      <c r="Y76" s="655"/>
      <c r="Z76" s="655"/>
      <c r="AA76" s="655"/>
      <c r="AB76" s="655"/>
      <c r="AC76" s="655"/>
      <c r="AD76" s="655"/>
      <c r="AE76" s="655"/>
      <c r="AF76" s="655"/>
    </row>
    <row r="77" customFormat="false" ht="16.5" hidden="false" customHeight="false" outlineLevel="0" collapsed="false">
      <c r="A77" s="655"/>
      <c r="B77" s="655"/>
      <c r="C77" s="655"/>
      <c r="D77" s="655"/>
      <c r="E77" s="655"/>
      <c r="F77" s="655"/>
      <c r="G77" s="655"/>
      <c r="H77" s="655"/>
      <c r="I77" s="655"/>
      <c r="J77" s="655"/>
      <c r="K77" s="655"/>
      <c r="L77" s="655"/>
      <c r="M77" s="655"/>
      <c r="N77" s="655"/>
      <c r="O77" s="655"/>
      <c r="P77" s="655"/>
      <c r="Q77" s="655"/>
      <c r="R77" s="655"/>
      <c r="S77" s="655"/>
      <c r="T77" s="655"/>
      <c r="U77" s="655"/>
      <c r="V77" s="655"/>
      <c r="W77" s="655"/>
      <c r="X77" s="655"/>
      <c r="Y77" s="655"/>
      <c r="Z77" s="655"/>
      <c r="AA77" s="655"/>
      <c r="AB77" s="655"/>
      <c r="AC77" s="655"/>
      <c r="AD77" s="655"/>
      <c r="AE77" s="655"/>
      <c r="AF77" s="655"/>
    </row>
    <row r="78" customFormat="false" ht="16.5" hidden="false" customHeight="false" outlineLevel="0" collapsed="false">
      <c r="A78" s="655"/>
      <c r="B78" s="655"/>
      <c r="C78" s="655"/>
      <c r="D78" s="655"/>
      <c r="E78" s="655"/>
      <c r="F78" s="655"/>
      <c r="G78" s="655"/>
      <c r="H78" s="655"/>
      <c r="I78" s="655"/>
      <c r="J78" s="655"/>
      <c r="K78" s="655"/>
      <c r="L78" s="655"/>
      <c r="M78" s="655"/>
      <c r="N78" s="655"/>
      <c r="O78" s="655"/>
      <c r="P78" s="655"/>
      <c r="Q78" s="655"/>
      <c r="R78" s="655"/>
      <c r="S78" s="655"/>
      <c r="T78" s="655"/>
      <c r="U78" s="655"/>
      <c r="V78" s="655"/>
      <c r="W78" s="655"/>
      <c r="X78" s="655"/>
      <c r="Y78" s="655"/>
      <c r="Z78" s="655"/>
      <c r="AA78" s="655"/>
      <c r="AB78" s="655"/>
      <c r="AC78" s="655"/>
      <c r="AD78" s="655"/>
      <c r="AE78" s="655"/>
      <c r="AF78" s="655"/>
    </row>
    <row r="79" customFormat="false" ht="16.5" hidden="false" customHeight="false" outlineLevel="0" collapsed="false">
      <c r="A79" s="655"/>
      <c r="B79" s="655"/>
      <c r="C79" s="655"/>
      <c r="D79" s="655"/>
      <c r="E79" s="655"/>
      <c r="F79" s="655"/>
      <c r="G79" s="655"/>
      <c r="H79" s="655"/>
      <c r="I79" s="655"/>
      <c r="J79" s="655"/>
      <c r="K79" s="655"/>
      <c r="L79" s="655"/>
      <c r="M79" s="655"/>
      <c r="N79" s="655"/>
      <c r="O79" s="655"/>
      <c r="P79" s="655"/>
      <c r="Q79" s="655"/>
      <c r="R79" s="655"/>
      <c r="S79" s="655"/>
      <c r="T79" s="655"/>
      <c r="U79" s="655"/>
      <c r="V79" s="655"/>
      <c r="W79" s="655"/>
      <c r="X79" s="655"/>
      <c r="Y79" s="655"/>
      <c r="Z79" s="655"/>
      <c r="AA79" s="655"/>
      <c r="AB79" s="655"/>
      <c r="AC79" s="655"/>
      <c r="AD79" s="655"/>
      <c r="AE79" s="655"/>
      <c r="AF79" s="655"/>
    </row>
    <row r="80" customFormat="false" ht="16.5" hidden="false" customHeight="false" outlineLevel="0" collapsed="false">
      <c r="A80" s="655"/>
      <c r="B80" s="655"/>
      <c r="C80" s="655"/>
      <c r="D80" s="655"/>
      <c r="E80" s="655"/>
      <c r="F80" s="655"/>
      <c r="G80" s="655"/>
      <c r="H80" s="655"/>
      <c r="I80" s="655"/>
      <c r="J80" s="655"/>
      <c r="K80" s="655"/>
      <c r="L80" s="655"/>
      <c r="M80" s="655"/>
      <c r="N80" s="655"/>
      <c r="O80" s="655"/>
      <c r="P80" s="655"/>
      <c r="Q80" s="655"/>
      <c r="R80" s="655"/>
      <c r="S80" s="655"/>
      <c r="T80" s="655"/>
      <c r="U80" s="655"/>
      <c r="V80" s="655"/>
      <c r="W80" s="655"/>
      <c r="X80" s="655"/>
      <c r="Y80" s="655"/>
      <c r="Z80" s="655"/>
      <c r="AA80" s="655"/>
      <c r="AB80" s="655"/>
      <c r="AC80" s="655"/>
      <c r="AD80" s="655"/>
      <c r="AE80" s="655"/>
      <c r="AF80" s="655"/>
    </row>
    <row r="81" customFormat="false" ht="16.5" hidden="false" customHeight="false" outlineLevel="0" collapsed="false">
      <c r="A81" s="655"/>
      <c r="B81" s="655"/>
      <c r="C81" s="655"/>
      <c r="D81" s="655"/>
      <c r="E81" s="655"/>
      <c r="F81" s="655"/>
      <c r="G81" s="655"/>
      <c r="H81" s="655"/>
      <c r="I81" s="655"/>
      <c r="J81" s="655"/>
      <c r="K81" s="655"/>
      <c r="L81" s="655"/>
      <c r="M81" s="655"/>
      <c r="N81" s="655"/>
      <c r="O81" s="655"/>
      <c r="P81" s="655"/>
      <c r="Q81" s="655"/>
      <c r="R81" s="655"/>
      <c r="S81" s="655"/>
      <c r="T81" s="655"/>
      <c r="U81" s="655"/>
      <c r="V81" s="655"/>
      <c r="W81" s="655"/>
      <c r="X81" s="655"/>
      <c r="Y81" s="655"/>
      <c r="Z81" s="655"/>
      <c r="AA81" s="655"/>
      <c r="AB81" s="655"/>
      <c r="AC81" s="655"/>
      <c r="AD81" s="655"/>
      <c r="AE81" s="655"/>
      <c r="AF81" s="655"/>
    </row>
    <row r="82" customFormat="false" ht="16.5" hidden="false" customHeight="false" outlineLevel="0" collapsed="false">
      <c r="A82" s="655"/>
      <c r="B82" s="655"/>
      <c r="C82" s="655"/>
      <c r="D82" s="655"/>
      <c r="E82" s="655"/>
      <c r="F82" s="655"/>
      <c r="G82" s="655"/>
      <c r="H82" s="655"/>
      <c r="I82" s="655"/>
      <c r="J82" s="655"/>
      <c r="K82" s="655"/>
      <c r="L82" s="655"/>
      <c r="M82" s="655"/>
      <c r="N82" s="655"/>
      <c r="O82" s="655"/>
      <c r="P82" s="655"/>
      <c r="Q82" s="655"/>
      <c r="R82" s="655"/>
      <c r="S82" s="655"/>
      <c r="T82" s="655"/>
      <c r="U82" s="655"/>
      <c r="V82" s="655"/>
      <c r="W82" s="655"/>
      <c r="X82" s="655"/>
      <c r="Y82" s="655"/>
      <c r="Z82" s="655"/>
      <c r="AA82" s="655"/>
      <c r="AB82" s="655"/>
      <c r="AC82" s="655"/>
      <c r="AD82" s="655"/>
      <c r="AE82" s="655"/>
      <c r="AF82" s="655"/>
    </row>
    <row r="83" customFormat="false" ht="16.5" hidden="false" customHeight="false" outlineLevel="0" collapsed="false">
      <c r="A83" s="655"/>
      <c r="B83" s="655"/>
      <c r="C83" s="655"/>
      <c r="D83" s="655"/>
      <c r="E83" s="655"/>
      <c r="F83" s="655"/>
      <c r="G83" s="655"/>
      <c r="H83" s="655"/>
      <c r="I83" s="655"/>
      <c r="J83" s="655"/>
      <c r="K83" s="655"/>
      <c r="L83" s="655"/>
      <c r="M83" s="655"/>
      <c r="N83" s="655"/>
      <c r="O83" s="655"/>
      <c r="P83" s="655"/>
      <c r="Q83" s="655"/>
      <c r="R83" s="655"/>
      <c r="S83" s="655"/>
      <c r="T83" s="655"/>
      <c r="U83" s="655"/>
      <c r="V83" s="655"/>
      <c r="W83" s="655"/>
      <c r="X83" s="655"/>
      <c r="Y83" s="655"/>
      <c r="Z83" s="655"/>
      <c r="AA83" s="655"/>
      <c r="AB83" s="655"/>
      <c r="AC83" s="655"/>
      <c r="AD83" s="655"/>
      <c r="AE83" s="655"/>
      <c r="AF83" s="655"/>
    </row>
    <row r="84" customFormat="false" ht="16.5" hidden="false" customHeight="false" outlineLevel="0" collapsed="false">
      <c r="A84" s="655"/>
      <c r="B84" s="655"/>
      <c r="C84" s="655"/>
      <c r="D84" s="655"/>
      <c r="E84" s="655"/>
      <c r="F84" s="655"/>
      <c r="G84" s="655"/>
      <c r="H84" s="655"/>
      <c r="I84" s="655"/>
      <c r="J84" s="655"/>
      <c r="K84" s="655"/>
      <c r="L84" s="655"/>
      <c r="M84" s="655"/>
      <c r="N84" s="655"/>
      <c r="O84" s="655"/>
      <c r="P84" s="655"/>
      <c r="Q84" s="655"/>
      <c r="R84" s="655"/>
      <c r="S84" s="655"/>
      <c r="T84" s="655"/>
      <c r="U84" s="655"/>
      <c r="V84" s="655"/>
      <c r="W84" s="655"/>
      <c r="X84" s="655"/>
      <c r="Y84" s="655"/>
      <c r="Z84" s="655"/>
      <c r="AA84" s="655"/>
      <c r="AB84" s="655"/>
      <c r="AC84" s="655"/>
      <c r="AD84" s="655"/>
      <c r="AE84" s="655"/>
      <c r="AF84" s="655"/>
    </row>
    <row r="85" customFormat="false" ht="16.5" hidden="false" customHeight="false" outlineLevel="0" collapsed="false">
      <c r="A85" s="655"/>
      <c r="B85" s="655"/>
      <c r="C85" s="655"/>
      <c r="D85" s="655"/>
      <c r="E85" s="655"/>
      <c r="F85" s="655"/>
      <c r="G85" s="655"/>
      <c r="H85" s="655"/>
      <c r="I85" s="655"/>
      <c r="J85" s="655"/>
      <c r="K85" s="655"/>
      <c r="L85" s="655"/>
      <c r="M85" s="655"/>
      <c r="N85" s="655"/>
      <c r="O85" s="655"/>
      <c r="P85" s="655"/>
      <c r="Q85" s="655"/>
      <c r="R85" s="655"/>
      <c r="S85" s="655"/>
      <c r="T85" s="655"/>
      <c r="U85" s="655"/>
      <c r="V85" s="655"/>
      <c r="W85" s="655"/>
      <c r="X85" s="655"/>
      <c r="Y85" s="655"/>
      <c r="Z85" s="655"/>
      <c r="AA85" s="655"/>
      <c r="AB85" s="655"/>
      <c r="AC85" s="655"/>
      <c r="AD85" s="655"/>
      <c r="AE85" s="655"/>
      <c r="AF85" s="655"/>
    </row>
    <row r="86" customFormat="false" ht="16.5" hidden="false" customHeight="false" outlineLevel="0" collapsed="false">
      <c r="A86" s="655"/>
      <c r="B86" s="655"/>
      <c r="C86" s="655"/>
      <c r="D86" s="655"/>
      <c r="E86" s="655"/>
      <c r="F86" s="655"/>
      <c r="G86" s="655"/>
      <c r="H86" s="655"/>
      <c r="I86" s="655"/>
      <c r="J86" s="655"/>
      <c r="K86" s="655"/>
      <c r="L86" s="655"/>
      <c r="M86" s="655"/>
      <c r="N86" s="655"/>
      <c r="O86" s="655"/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  <c r="AA86" s="655"/>
      <c r="AB86" s="655"/>
      <c r="AC86" s="655"/>
      <c r="AD86" s="655"/>
      <c r="AE86" s="655"/>
      <c r="AF86" s="655"/>
    </row>
    <row r="87" customFormat="false" ht="16.5" hidden="false" customHeight="false" outlineLevel="0" collapsed="false">
      <c r="A87" s="655"/>
      <c r="B87" s="655"/>
      <c r="C87" s="655"/>
      <c r="D87" s="655"/>
      <c r="E87" s="655"/>
      <c r="F87" s="655"/>
      <c r="G87" s="655"/>
      <c r="H87" s="655"/>
      <c r="I87" s="655"/>
      <c r="J87" s="655"/>
      <c r="K87" s="655"/>
      <c r="L87" s="655"/>
      <c r="M87" s="655"/>
      <c r="N87" s="655"/>
      <c r="O87" s="655"/>
      <c r="P87" s="655"/>
      <c r="Q87" s="655"/>
      <c r="R87" s="655"/>
      <c r="S87" s="655"/>
      <c r="T87" s="655"/>
      <c r="U87" s="655"/>
      <c r="V87" s="655"/>
      <c r="W87" s="655"/>
      <c r="X87" s="655"/>
      <c r="Y87" s="655"/>
      <c r="Z87" s="655"/>
      <c r="AA87" s="655"/>
      <c r="AB87" s="655"/>
      <c r="AC87" s="655"/>
      <c r="AD87" s="655"/>
      <c r="AE87" s="655"/>
      <c r="AF87" s="655"/>
    </row>
    <row r="88" customFormat="false" ht="16.5" hidden="false" customHeight="false" outlineLevel="0" collapsed="false">
      <c r="A88" s="655"/>
      <c r="B88" s="655"/>
      <c r="C88" s="655"/>
      <c r="D88" s="655"/>
      <c r="E88" s="655"/>
      <c r="F88" s="655"/>
      <c r="G88" s="655"/>
      <c r="H88" s="655"/>
      <c r="I88" s="655"/>
      <c r="J88" s="655"/>
      <c r="K88" s="655"/>
      <c r="L88" s="655"/>
      <c r="M88" s="655"/>
      <c r="N88" s="655"/>
      <c r="O88" s="655"/>
      <c r="P88" s="655"/>
      <c r="Q88" s="655"/>
      <c r="R88" s="655"/>
      <c r="S88" s="655"/>
      <c r="T88" s="655"/>
      <c r="U88" s="655"/>
      <c r="V88" s="655"/>
      <c r="W88" s="655"/>
      <c r="X88" s="655"/>
      <c r="Y88" s="655"/>
      <c r="Z88" s="655"/>
      <c r="AA88" s="655"/>
      <c r="AB88" s="655"/>
      <c r="AC88" s="655"/>
      <c r="AD88" s="655"/>
      <c r="AE88" s="655"/>
      <c r="AF88" s="65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88"/>
  <sheetViews>
    <sheetView showFormulas="false" showGridLines="true" showRowColHeaders="true" showZeros="true" rightToLeft="false" tabSelected="false" showOutlineSymbols="true" defaultGridColor="true" view="normal" topLeftCell="A35" colorId="64" zoomScale="140" zoomScaleNormal="140" zoomScalePageLayoutView="100" workbookViewId="0">
      <selection pane="topLeft" activeCell="H32" activeCellId="0" sqref="H32"/>
    </sheetView>
  </sheetViews>
  <sheetFormatPr defaultColWidth="8.859375" defaultRowHeight="15" zeroHeight="false" outlineLevelRow="0" outlineLevelCol="0"/>
  <cols>
    <col collapsed="false" customWidth="true" hidden="false" outlineLevel="0" max="1" min="1" style="757" width="3"/>
    <col collapsed="false" customWidth="true" hidden="false" outlineLevel="0" max="2" min="2" style="757" width="21"/>
    <col collapsed="false" customWidth="true" hidden="false" outlineLevel="0" max="9" min="3" style="757" width="23.71"/>
    <col collapsed="false" customWidth="true" hidden="false" outlineLevel="0" max="10" min="10" style="757" width="26.14"/>
    <col collapsed="false" customWidth="true" hidden="false" outlineLevel="0" max="11" min="11" style="757" width="1.86"/>
    <col collapsed="false" customWidth="true" hidden="false" outlineLevel="0" max="12" min="12" style="757" width="33"/>
    <col collapsed="false" customWidth="true" hidden="false" outlineLevel="0" max="14" min="13" style="757" width="23.28"/>
    <col collapsed="false" customWidth="false" hidden="false" outlineLevel="0" max="16384" min="15" style="757" width="8.86"/>
  </cols>
  <sheetData>
    <row r="1" customFormat="false" ht="23.25" hidden="false" customHeight="true" outlineLevel="0" collapsed="false">
      <c r="A1" s="758" t="s">
        <v>314</v>
      </c>
      <c r="B1" s="758" t="s">
        <v>314</v>
      </c>
      <c r="C1" s="759" t="s">
        <v>0</v>
      </c>
      <c r="D1" s="759" t="n">
        <v>209.38</v>
      </c>
      <c r="E1" s="760" t="s">
        <v>314</v>
      </c>
      <c r="F1" s="761" t="s">
        <v>314</v>
      </c>
      <c r="G1" s="760" t="s">
        <v>314</v>
      </c>
      <c r="H1" s="760" t="s">
        <v>314</v>
      </c>
      <c r="I1" s="760" t="s">
        <v>314</v>
      </c>
      <c r="J1" s="758" t="s">
        <v>314</v>
      </c>
      <c r="K1" s="758" t="s">
        <v>314</v>
      </c>
      <c r="L1" s="758" t="s">
        <v>314</v>
      </c>
      <c r="M1" s="758" t="s">
        <v>314</v>
      </c>
      <c r="N1" s="758" t="s">
        <v>314</v>
      </c>
      <c r="O1" s="758" t="s">
        <v>314</v>
      </c>
      <c r="P1" s="758" t="s">
        <v>314</v>
      </c>
      <c r="Q1" s="758" t="s">
        <v>314</v>
      </c>
      <c r="R1" s="758" t="s">
        <v>314</v>
      </c>
      <c r="S1" s="758" t="s">
        <v>314</v>
      </c>
      <c r="T1" s="758" t="s">
        <v>314</v>
      </c>
      <c r="U1" s="758" t="s">
        <v>314</v>
      </c>
      <c r="V1" s="758" t="s">
        <v>314</v>
      </c>
      <c r="W1" s="758" t="s">
        <v>314</v>
      </c>
      <c r="X1" s="758" t="s">
        <v>314</v>
      </c>
      <c r="Y1" s="758" t="s">
        <v>314</v>
      </c>
      <c r="Z1" s="758" t="s">
        <v>314</v>
      </c>
      <c r="AA1" s="758" t="s">
        <v>314</v>
      </c>
      <c r="AB1" s="758" t="s">
        <v>314</v>
      </c>
      <c r="AC1" s="758" t="s">
        <v>314</v>
      </c>
      <c r="AD1" s="758" t="s">
        <v>314</v>
      </c>
      <c r="AE1" s="758" t="s">
        <v>314</v>
      </c>
      <c r="AF1" s="758" t="s">
        <v>314</v>
      </c>
    </row>
    <row r="2" customFormat="false" ht="23.25" hidden="false" customHeight="true" outlineLevel="0" collapsed="false">
      <c r="A2" s="758" t="s">
        <v>314</v>
      </c>
      <c r="B2" s="762" t="s">
        <v>315</v>
      </c>
      <c r="C2" s="763" t="s">
        <v>1</v>
      </c>
      <c r="D2" s="764" t="n">
        <v>0</v>
      </c>
      <c r="E2" s="765" t="s">
        <v>2</v>
      </c>
      <c r="F2" s="766" t="n">
        <v>0</v>
      </c>
      <c r="G2" s="767" t="s">
        <v>3</v>
      </c>
      <c r="H2" s="766" t="n">
        <v>0</v>
      </c>
      <c r="I2" s="768" t="s">
        <v>314</v>
      </c>
      <c r="J2" s="769" t="s">
        <v>4</v>
      </c>
      <c r="K2" s="769" t="s">
        <v>314</v>
      </c>
      <c r="L2" s="769" t="s">
        <v>314</v>
      </c>
      <c r="M2" s="758" t="s">
        <v>314</v>
      </c>
      <c r="N2" s="758" t="s">
        <v>314</v>
      </c>
      <c r="O2" s="758" t="s">
        <v>314</v>
      </c>
      <c r="P2" s="758" t="s">
        <v>314</v>
      </c>
      <c r="Q2" s="758" t="s">
        <v>314</v>
      </c>
      <c r="R2" s="758" t="s">
        <v>314</v>
      </c>
      <c r="S2" s="758" t="s">
        <v>314</v>
      </c>
      <c r="T2" s="758" t="s">
        <v>314</v>
      </c>
      <c r="U2" s="758" t="s">
        <v>314</v>
      </c>
      <c r="V2" s="758" t="s">
        <v>314</v>
      </c>
      <c r="W2" s="758" t="s">
        <v>314</v>
      </c>
      <c r="X2" s="758" t="s">
        <v>314</v>
      </c>
      <c r="Y2" s="758" t="s">
        <v>314</v>
      </c>
      <c r="Z2" s="758" t="s">
        <v>314</v>
      </c>
      <c r="AA2" s="758" t="s">
        <v>314</v>
      </c>
      <c r="AB2" s="758" t="s">
        <v>314</v>
      </c>
      <c r="AC2" s="758" t="s">
        <v>314</v>
      </c>
      <c r="AD2" s="758" t="s">
        <v>314</v>
      </c>
      <c r="AE2" s="758" t="s">
        <v>314</v>
      </c>
      <c r="AF2" s="758" t="s">
        <v>314</v>
      </c>
    </row>
    <row r="3" customFormat="false" ht="23.25" hidden="false" customHeight="true" outlineLevel="0" collapsed="false">
      <c r="A3" s="758" t="s">
        <v>314</v>
      </c>
      <c r="B3" s="770" t="s">
        <v>5</v>
      </c>
      <c r="C3" s="771" t="s">
        <v>6</v>
      </c>
      <c r="D3" s="772" t="s">
        <v>7</v>
      </c>
      <c r="E3" s="773" t="s">
        <v>8</v>
      </c>
      <c r="F3" s="774" t="s">
        <v>9</v>
      </c>
      <c r="G3" s="775" t="s">
        <v>10</v>
      </c>
      <c r="H3" s="775" t="s">
        <v>11</v>
      </c>
      <c r="I3" s="776" t="s">
        <v>12</v>
      </c>
      <c r="J3" s="769" t="s">
        <v>13</v>
      </c>
      <c r="K3" s="777" t="s">
        <v>314</v>
      </c>
      <c r="L3" s="769" t="s">
        <v>314</v>
      </c>
      <c r="M3" s="758" t="s">
        <v>314</v>
      </c>
      <c r="N3" s="758" t="s">
        <v>314</v>
      </c>
      <c r="O3" s="758" t="s">
        <v>314</v>
      </c>
      <c r="P3" s="758" t="s">
        <v>314</v>
      </c>
      <c r="Q3" s="758" t="s">
        <v>314</v>
      </c>
      <c r="R3" s="758" t="s">
        <v>314</v>
      </c>
      <c r="S3" s="758" t="s">
        <v>314</v>
      </c>
      <c r="T3" s="758" t="s">
        <v>314</v>
      </c>
      <c r="U3" s="758" t="s">
        <v>314</v>
      </c>
      <c r="V3" s="758" t="s">
        <v>314</v>
      </c>
      <c r="W3" s="758" t="s">
        <v>314</v>
      </c>
      <c r="X3" s="758" t="s">
        <v>314</v>
      </c>
      <c r="Y3" s="758" t="s">
        <v>314</v>
      </c>
      <c r="Z3" s="758" t="s">
        <v>314</v>
      </c>
      <c r="AA3" s="758" t="s">
        <v>314</v>
      </c>
      <c r="AB3" s="758" t="s">
        <v>314</v>
      </c>
      <c r="AC3" s="758" t="s">
        <v>314</v>
      </c>
      <c r="AD3" s="758" t="s">
        <v>314</v>
      </c>
      <c r="AE3" s="758" t="s">
        <v>314</v>
      </c>
      <c r="AF3" s="758" t="s">
        <v>314</v>
      </c>
    </row>
    <row r="4" customFormat="false" ht="23.25" hidden="false" customHeight="true" outlineLevel="0" collapsed="false">
      <c r="A4" s="758" t="s">
        <v>314</v>
      </c>
      <c r="B4" s="778" t="s">
        <v>14</v>
      </c>
      <c r="C4" s="779"/>
      <c r="D4" s="780"/>
      <c r="E4" s="780"/>
      <c r="F4" s="780" t="n">
        <v>1</v>
      </c>
      <c r="G4" s="780" t="n">
        <v>2</v>
      </c>
      <c r="H4" s="781" t="n">
        <v>3</v>
      </c>
      <c r="I4" s="782" t="n">
        <v>4</v>
      </c>
      <c r="J4" s="769" t="s">
        <v>15</v>
      </c>
      <c r="K4" s="777" t="s">
        <v>314</v>
      </c>
      <c r="L4" s="783" t="s">
        <v>314</v>
      </c>
      <c r="M4" s="758" t="s">
        <v>314</v>
      </c>
      <c r="N4" s="758" t="s">
        <v>314</v>
      </c>
      <c r="O4" s="758" t="s">
        <v>314</v>
      </c>
      <c r="P4" s="758" t="s">
        <v>314</v>
      </c>
      <c r="Q4" s="758" t="s">
        <v>314</v>
      </c>
      <c r="R4" s="758" t="s">
        <v>314</v>
      </c>
      <c r="S4" s="758" t="s">
        <v>314</v>
      </c>
      <c r="T4" s="758" t="s">
        <v>314</v>
      </c>
      <c r="U4" s="758" t="s">
        <v>314</v>
      </c>
      <c r="V4" s="758" t="s">
        <v>314</v>
      </c>
      <c r="W4" s="758" t="s">
        <v>314</v>
      </c>
      <c r="X4" s="758" t="s">
        <v>314</v>
      </c>
      <c r="Y4" s="758" t="s">
        <v>314</v>
      </c>
      <c r="Z4" s="758" t="s">
        <v>314</v>
      </c>
      <c r="AA4" s="758" t="s">
        <v>314</v>
      </c>
      <c r="AB4" s="758" t="s">
        <v>314</v>
      </c>
      <c r="AC4" s="758" t="s">
        <v>314</v>
      </c>
      <c r="AD4" s="758" t="s">
        <v>314</v>
      </c>
      <c r="AE4" s="758" t="s">
        <v>314</v>
      </c>
      <c r="AF4" s="758" t="s">
        <v>314</v>
      </c>
    </row>
    <row r="5" customFormat="false" ht="23.25" hidden="false" customHeight="true" outlineLevel="0" collapsed="false">
      <c r="A5" s="758" t="s">
        <v>314</v>
      </c>
      <c r="B5" s="784" t="s">
        <v>16</v>
      </c>
      <c r="C5" s="785"/>
      <c r="D5" s="786"/>
      <c r="E5" s="787"/>
      <c r="F5" s="787" t="s">
        <v>152</v>
      </c>
      <c r="G5" s="787" t="s">
        <v>209</v>
      </c>
      <c r="H5" s="787" t="s">
        <v>79</v>
      </c>
      <c r="I5" s="788" t="s">
        <v>43</v>
      </c>
      <c r="J5" s="11" t="s">
        <v>17</v>
      </c>
      <c r="K5" s="777" t="s">
        <v>314</v>
      </c>
      <c r="L5" s="783" t="s">
        <v>314</v>
      </c>
      <c r="M5" s="758" t="s">
        <v>314</v>
      </c>
      <c r="N5" s="758" t="s">
        <v>314</v>
      </c>
      <c r="O5" s="758" t="s">
        <v>314</v>
      </c>
      <c r="P5" s="758" t="s">
        <v>314</v>
      </c>
      <c r="Q5" s="758" t="s">
        <v>314</v>
      </c>
      <c r="R5" s="758" t="s">
        <v>314</v>
      </c>
      <c r="S5" s="758" t="s">
        <v>314</v>
      </c>
      <c r="T5" s="758" t="s">
        <v>314</v>
      </c>
      <c r="U5" s="758" t="s">
        <v>314</v>
      </c>
      <c r="V5" s="758" t="s">
        <v>314</v>
      </c>
      <c r="W5" s="758" t="s">
        <v>314</v>
      </c>
      <c r="X5" s="758" t="s">
        <v>314</v>
      </c>
      <c r="Y5" s="758" t="s">
        <v>314</v>
      </c>
      <c r="Z5" s="758" t="s">
        <v>314</v>
      </c>
      <c r="AA5" s="758" t="s">
        <v>314</v>
      </c>
      <c r="AB5" s="758" t="s">
        <v>314</v>
      </c>
      <c r="AC5" s="758" t="s">
        <v>314</v>
      </c>
      <c r="AD5" s="758" t="s">
        <v>314</v>
      </c>
      <c r="AE5" s="758" t="s">
        <v>314</v>
      </c>
      <c r="AF5" s="758" t="s">
        <v>314</v>
      </c>
    </row>
    <row r="6" customFormat="false" ht="23.25" hidden="false" customHeight="true" outlineLevel="0" collapsed="false">
      <c r="A6" s="758" t="s">
        <v>314</v>
      </c>
      <c r="B6" s="789" t="s">
        <v>18</v>
      </c>
      <c r="C6" s="790"/>
      <c r="D6" s="790"/>
      <c r="E6" s="790"/>
      <c r="F6" s="791" t="n">
        <v>0.05</v>
      </c>
      <c r="G6" s="792" t="n">
        <v>0.11</v>
      </c>
      <c r="H6" s="793" t="n">
        <v>0.19</v>
      </c>
      <c r="I6" s="794" t="n">
        <v>0.28</v>
      </c>
      <c r="J6" s="795" t="s">
        <v>314</v>
      </c>
      <c r="K6" s="777" t="s">
        <v>314</v>
      </c>
      <c r="L6" s="758" t="s">
        <v>314</v>
      </c>
      <c r="M6" s="758" t="s">
        <v>314</v>
      </c>
      <c r="N6" s="758" t="s">
        <v>314</v>
      </c>
      <c r="O6" s="758" t="s">
        <v>314</v>
      </c>
      <c r="P6" s="758" t="s">
        <v>314</v>
      </c>
      <c r="Q6" s="758" t="s">
        <v>314</v>
      </c>
      <c r="R6" s="758" t="s">
        <v>314</v>
      </c>
      <c r="S6" s="758" t="s">
        <v>314</v>
      </c>
      <c r="T6" s="758" t="s">
        <v>314</v>
      </c>
      <c r="U6" s="758" t="s">
        <v>314</v>
      </c>
      <c r="V6" s="758" t="s">
        <v>314</v>
      </c>
      <c r="W6" s="758" t="s">
        <v>314</v>
      </c>
      <c r="X6" s="758" t="s">
        <v>314</v>
      </c>
      <c r="Y6" s="758" t="s">
        <v>314</v>
      </c>
      <c r="Z6" s="758" t="s">
        <v>314</v>
      </c>
      <c r="AA6" s="758" t="s">
        <v>314</v>
      </c>
      <c r="AB6" s="758" t="s">
        <v>314</v>
      </c>
      <c r="AC6" s="758" t="s">
        <v>314</v>
      </c>
      <c r="AD6" s="758" t="s">
        <v>314</v>
      </c>
      <c r="AE6" s="758" t="s">
        <v>314</v>
      </c>
      <c r="AF6" s="758" t="s">
        <v>314</v>
      </c>
    </row>
    <row r="7" customFormat="false" ht="23.25" hidden="false" customHeight="true" outlineLevel="0" collapsed="false">
      <c r="A7" s="758" t="s">
        <v>314</v>
      </c>
      <c r="B7" s="784" t="s">
        <v>19</v>
      </c>
      <c r="C7" s="796"/>
      <c r="D7" s="797"/>
      <c r="E7" s="797"/>
      <c r="F7" s="797" t="s">
        <v>62</v>
      </c>
      <c r="G7" s="797" t="s">
        <v>169</v>
      </c>
      <c r="H7" s="797" t="s">
        <v>54</v>
      </c>
      <c r="I7" s="798" t="s">
        <v>54</v>
      </c>
      <c r="J7" s="799" t="s">
        <v>20</v>
      </c>
      <c r="K7" s="777" t="s">
        <v>314</v>
      </c>
      <c r="L7" s="800" t="s">
        <v>314</v>
      </c>
      <c r="M7" s="758" t="s">
        <v>314</v>
      </c>
      <c r="N7" s="758" t="s">
        <v>314</v>
      </c>
      <c r="O7" s="758" t="s">
        <v>314</v>
      </c>
      <c r="P7" s="758" t="s">
        <v>314</v>
      </c>
      <c r="Q7" s="758" t="s">
        <v>314</v>
      </c>
      <c r="R7" s="758" t="s">
        <v>314</v>
      </c>
      <c r="S7" s="758" t="s">
        <v>314</v>
      </c>
      <c r="T7" s="758" t="s">
        <v>314</v>
      </c>
      <c r="U7" s="758" t="s">
        <v>314</v>
      </c>
      <c r="V7" s="758" t="s">
        <v>314</v>
      </c>
      <c r="W7" s="758" t="s">
        <v>314</v>
      </c>
      <c r="X7" s="758" t="s">
        <v>314</v>
      </c>
      <c r="Y7" s="758" t="s">
        <v>314</v>
      </c>
      <c r="Z7" s="758" t="s">
        <v>314</v>
      </c>
      <c r="AA7" s="758" t="s">
        <v>314</v>
      </c>
      <c r="AB7" s="758" t="s">
        <v>314</v>
      </c>
      <c r="AC7" s="758" t="s">
        <v>314</v>
      </c>
      <c r="AD7" s="758" t="s">
        <v>314</v>
      </c>
      <c r="AE7" s="758" t="s">
        <v>314</v>
      </c>
      <c r="AF7" s="758" t="s">
        <v>314</v>
      </c>
    </row>
    <row r="8" customFormat="false" ht="23.25" hidden="false" customHeight="true" outlineLevel="0" collapsed="false">
      <c r="A8" s="758" t="s">
        <v>314</v>
      </c>
      <c r="B8" s="778" t="s">
        <v>21</v>
      </c>
      <c r="C8" s="801"/>
      <c r="D8" s="790"/>
      <c r="E8" s="790"/>
      <c r="F8" s="790" t="n">
        <v>1.4</v>
      </c>
      <c r="G8" s="790" t="n">
        <v>11.4</v>
      </c>
      <c r="H8" s="790" t="n">
        <v>10.2</v>
      </c>
      <c r="I8" s="768" t="n">
        <v>7.2</v>
      </c>
      <c r="J8" s="802" t="n">
        <f aca="false">SUM(F8:I8)</f>
        <v>30.2</v>
      </c>
      <c r="K8" s="777" t="s">
        <v>314</v>
      </c>
      <c r="L8" s="803" t="s">
        <v>22</v>
      </c>
      <c r="M8" s="758" t="s">
        <v>314</v>
      </c>
      <c r="N8" s="758" t="s">
        <v>314</v>
      </c>
      <c r="O8" s="758" t="s">
        <v>314</v>
      </c>
      <c r="P8" s="758" t="s">
        <v>314</v>
      </c>
      <c r="Q8" s="758" t="s">
        <v>314</v>
      </c>
      <c r="R8" s="758" t="s">
        <v>314</v>
      </c>
      <c r="S8" s="758" t="s">
        <v>314</v>
      </c>
      <c r="T8" s="758" t="s">
        <v>314</v>
      </c>
      <c r="U8" s="758" t="s">
        <v>314</v>
      </c>
      <c r="V8" s="758" t="s">
        <v>314</v>
      </c>
      <c r="W8" s="758" t="s">
        <v>314</v>
      </c>
      <c r="X8" s="758" t="s">
        <v>314</v>
      </c>
      <c r="Y8" s="758" t="s">
        <v>314</v>
      </c>
      <c r="Z8" s="758" t="s">
        <v>314</v>
      </c>
      <c r="AA8" s="758" t="s">
        <v>314</v>
      </c>
      <c r="AB8" s="758" t="s">
        <v>314</v>
      </c>
      <c r="AC8" s="758" t="s">
        <v>314</v>
      </c>
      <c r="AD8" s="758" t="s">
        <v>314</v>
      </c>
      <c r="AE8" s="758" t="s">
        <v>314</v>
      </c>
      <c r="AF8" s="758" t="s">
        <v>314</v>
      </c>
    </row>
    <row r="9" customFormat="false" ht="23.25" hidden="false" customHeight="true" outlineLevel="0" collapsed="false">
      <c r="A9" s="758" t="s">
        <v>314</v>
      </c>
      <c r="B9" s="778" t="s">
        <v>23</v>
      </c>
      <c r="C9" s="801"/>
      <c r="D9" s="790"/>
      <c r="E9" s="790"/>
      <c r="F9" s="790"/>
      <c r="G9" s="790" t="n">
        <v>0.8</v>
      </c>
      <c r="H9" s="790" t="n">
        <v>0.8</v>
      </c>
      <c r="I9" s="768" t="n">
        <v>0.8</v>
      </c>
      <c r="J9" s="802" t="n">
        <f aca="false">SUM(F9:I9)</f>
        <v>2.4</v>
      </c>
      <c r="K9" s="777" t="s">
        <v>314</v>
      </c>
      <c r="L9" s="803" t="s">
        <v>24</v>
      </c>
      <c r="M9" s="758" t="s">
        <v>314</v>
      </c>
      <c r="N9" s="758" t="s">
        <v>314</v>
      </c>
      <c r="O9" s="758" t="s">
        <v>314</v>
      </c>
      <c r="P9" s="758" t="s">
        <v>314</v>
      </c>
      <c r="Q9" s="758" t="s">
        <v>314</v>
      </c>
      <c r="R9" s="758" t="s">
        <v>314</v>
      </c>
      <c r="S9" s="758" t="s">
        <v>314</v>
      </c>
      <c r="T9" s="758" t="s">
        <v>314</v>
      </c>
      <c r="U9" s="758" t="s">
        <v>314</v>
      </c>
      <c r="V9" s="758" t="s">
        <v>314</v>
      </c>
      <c r="W9" s="758" t="s">
        <v>314</v>
      </c>
      <c r="X9" s="758" t="s">
        <v>314</v>
      </c>
      <c r="Y9" s="758" t="s">
        <v>314</v>
      </c>
      <c r="Z9" s="758" t="s">
        <v>314</v>
      </c>
      <c r="AA9" s="758" t="s">
        <v>314</v>
      </c>
      <c r="AB9" s="758" t="s">
        <v>314</v>
      </c>
      <c r="AC9" s="758" t="s">
        <v>314</v>
      </c>
      <c r="AD9" s="758" t="s">
        <v>314</v>
      </c>
      <c r="AE9" s="758" t="s">
        <v>314</v>
      </c>
      <c r="AF9" s="758" t="s">
        <v>314</v>
      </c>
    </row>
    <row r="10" customFormat="false" ht="23.25" hidden="false" customHeight="true" outlineLevel="0" collapsed="false">
      <c r="A10" s="758" t="s">
        <v>314</v>
      </c>
      <c r="B10" s="778" t="s">
        <v>25</v>
      </c>
      <c r="C10" s="801"/>
      <c r="D10" s="790"/>
      <c r="E10" s="790"/>
      <c r="F10" s="790"/>
      <c r="G10" s="790" t="n">
        <v>0.8</v>
      </c>
      <c r="H10" s="790" t="n">
        <v>0.8</v>
      </c>
      <c r="I10" s="768" t="n">
        <v>0.3</v>
      </c>
      <c r="J10" s="804" t="n">
        <f aca="false">SUM(F10:I10)</f>
        <v>1.9</v>
      </c>
      <c r="K10" s="777" t="s">
        <v>314</v>
      </c>
      <c r="L10" s="803" t="s">
        <v>26</v>
      </c>
      <c r="M10" s="758" t="s">
        <v>314</v>
      </c>
      <c r="N10" s="758" t="s">
        <v>314</v>
      </c>
      <c r="O10" s="758" t="s">
        <v>314</v>
      </c>
      <c r="P10" s="758" t="s">
        <v>314</v>
      </c>
      <c r="Q10" s="758" t="s">
        <v>314</v>
      </c>
      <c r="R10" s="758" t="s">
        <v>314</v>
      </c>
      <c r="S10" s="758" t="s">
        <v>314</v>
      </c>
      <c r="T10" s="758" t="s">
        <v>314</v>
      </c>
      <c r="U10" s="758" t="s">
        <v>314</v>
      </c>
      <c r="V10" s="758" t="s">
        <v>314</v>
      </c>
      <c r="W10" s="758" t="s">
        <v>314</v>
      </c>
      <c r="X10" s="758" t="s">
        <v>314</v>
      </c>
      <c r="Y10" s="758" t="s">
        <v>314</v>
      </c>
      <c r="Z10" s="758" t="s">
        <v>314</v>
      </c>
      <c r="AA10" s="758" t="s">
        <v>314</v>
      </c>
      <c r="AB10" s="758" t="s">
        <v>314</v>
      </c>
      <c r="AC10" s="758" t="s">
        <v>314</v>
      </c>
      <c r="AD10" s="758" t="s">
        <v>314</v>
      </c>
      <c r="AE10" s="758" t="s">
        <v>314</v>
      </c>
      <c r="AF10" s="758" t="s">
        <v>314</v>
      </c>
    </row>
    <row r="11" customFormat="false" ht="23.25" hidden="false" customHeight="true" outlineLevel="0" collapsed="false">
      <c r="A11" s="758" t="s">
        <v>314</v>
      </c>
      <c r="B11" s="805" t="s">
        <v>27</v>
      </c>
      <c r="C11" s="806"/>
      <c r="D11" s="807"/>
      <c r="E11" s="807"/>
      <c r="F11" s="807" t="s">
        <v>316</v>
      </c>
      <c r="G11" s="808" t="s">
        <v>317</v>
      </c>
      <c r="H11" s="808" t="s">
        <v>318</v>
      </c>
      <c r="I11" s="809" t="s">
        <v>319</v>
      </c>
      <c r="J11" s="810" t="n">
        <v>28.21</v>
      </c>
      <c r="K11" s="777" t="s">
        <v>314</v>
      </c>
      <c r="L11" s="803" t="s">
        <v>28</v>
      </c>
      <c r="M11" s="758" t="s">
        <v>314</v>
      </c>
      <c r="N11" s="758" t="s">
        <v>314</v>
      </c>
      <c r="O11" s="758" t="s">
        <v>314</v>
      </c>
      <c r="P11" s="758" t="s">
        <v>314</v>
      </c>
      <c r="Q11" s="758" t="s">
        <v>314</v>
      </c>
      <c r="R11" s="758" t="s">
        <v>314</v>
      </c>
      <c r="S11" s="758" t="s">
        <v>314</v>
      </c>
      <c r="T11" s="758" t="s">
        <v>314</v>
      </c>
      <c r="U11" s="758" t="s">
        <v>314</v>
      </c>
      <c r="V11" s="758" t="s">
        <v>314</v>
      </c>
      <c r="W11" s="758" t="s">
        <v>314</v>
      </c>
      <c r="X11" s="758" t="s">
        <v>314</v>
      </c>
      <c r="Y11" s="758" t="s">
        <v>314</v>
      </c>
      <c r="Z11" s="758" t="s">
        <v>314</v>
      </c>
      <c r="AA11" s="758" t="s">
        <v>314</v>
      </c>
      <c r="AB11" s="758" t="s">
        <v>314</v>
      </c>
      <c r="AC11" s="758" t="s">
        <v>314</v>
      </c>
      <c r="AD11" s="758" t="s">
        <v>314</v>
      </c>
      <c r="AE11" s="758" t="s">
        <v>314</v>
      </c>
      <c r="AF11" s="758" t="s">
        <v>314</v>
      </c>
    </row>
    <row r="12" customFormat="false" ht="23.25" hidden="false" customHeight="true" outlineLevel="0" collapsed="false">
      <c r="A12" s="758" t="s">
        <v>314</v>
      </c>
      <c r="B12" s="758" t="s">
        <v>4</v>
      </c>
      <c r="C12" s="779" t="n">
        <v>5</v>
      </c>
      <c r="D12" s="780" t="n">
        <v>6</v>
      </c>
      <c r="E12" s="780" t="n">
        <v>7</v>
      </c>
      <c r="F12" s="781" t="n">
        <v>8</v>
      </c>
      <c r="G12" s="811" t="n">
        <v>9</v>
      </c>
      <c r="H12" s="812" t="n">
        <v>10</v>
      </c>
      <c r="I12" s="782" t="n">
        <v>11</v>
      </c>
      <c r="J12" s="813" t="s">
        <v>314</v>
      </c>
      <c r="K12" s="777" t="s">
        <v>314</v>
      </c>
      <c r="L12" s="800" t="s">
        <v>314</v>
      </c>
      <c r="M12" s="758" t="s">
        <v>314</v>
      </c>
      <c r="N12" s="758" t="s">
        <v>314</v>
      </c>
      <c r="O12" s="758" t="s">
        <v>314</v>
      </c>
      <c r="P12" s="758" t="s">
        <v>314</v>
      </c>
      <c r="Q12" s="758" t="s">
        <v>314</v>
      </c>
      <c r="R12" s="758" t="s">
        <v>314</v>
      </c>
      <c r="S12" s="758" t="s">
        <v>314</v>
      </c>
      <c r="T12" s="758" t="s">
        <v>314</v>
      </c>
      <c r="U12" s="758" t="s">
        <v>314</v>
      </c>
      <c r="V12" s="758" t="s">
        <v>314</v>
      </c>
      <c r="W12" s="758" t="s">
        <v>314</v>
      </c>
      <c r="X12" s="758" t="s">
        <v>314</v>
      </c>
      <c r="Y12" s="758" t="s">
        <v>314</v>
      </c>
      <c r="Z12" s="758" t="s">
        <v>314</v>
      </c>
      <c r="AA12" s="758" t="s">
        <v>314</v>
      </c>
      <c r="AB12" s="758" t="s">
        <v>314</v>
      </c>
      <c r="AC12" s="758" t="s">
        <v>314</v>
      </c>
      <c r="AD12" s="758" t="s">
        <v>314</v>
      </c>
      <c r="AE12" s="758" t="s">
        <v>314</v>
      </c>
      <c r="AF12" s="758" t="s">
        <v>314</v>
      </c>
    </row>
    <row r="13" customFormat="false" ht="23.25" hidden="false" customHeight="true" outlineLevel="0" collapsed="false">
      <c r="A13" s="758" t="s">
        <v>314</v>
      </c>
      <c r="B13" s="758" t="s">
        <v>314</v>
      </c>
      <c r="C13" s="785" t="s">
        <v>45</v>
      </c>
      <c r="D13" s="786" t="s">
        <v>45</v>
      </c>
      <c r="E13" s="787" t="s">
        <v>209</v>
      </c>
      <c r="F13" s="787" t="s">
        <v>43</v>
      </c>
      <c r="G13" s="797" t="s">
        <v>43</v>
      </c>
      <c r="H13" s="814"/>
      <c r="I13" s="815"/>
      <c r="J13" s="813" t="s">
        <v>314</v>
      </c>
      <c r="K13" s="777" t="s">
        <v>314</v>
      </c>
      <c r="L13" s="800" t="s">
        <v>314</v>
      </c>
      <c r="M13" s="758" t="s">
        <v>314</v>
      </c>
      <c r="N13" s="758" t="s">
        <v>314</v>
      </c>
      <c r="O13" s="758" t="s">
        <v>314</v>
      </c>
      <c r="P13" s="758" t="s">
        <v>314</v>
      </c>
      <c r="Q13" s="758" t="s">
        <v>314</v>
      </c>
      <c r="R13" s="758" t="s">
        <v>314</v>
      </c>
      <c r="S13" s="758" t="s">
        <v>314</v>
      </c>
      <c r="T13" s="758" t="s">
        <v>314</v>
      </c>
      <c r="U13" s="758" t="s">
        <v>314</v>
      </c>
      <c r="V13" s="758" t="s">
        <v>314</v>
      </c>
      <c r="W13" s="758" t="s">
        <v>314</v>
      </c>
      <c r="X13" s="758" t="s">
        <v>314</v>
      </c>
      <c r="Y13" s="758" t="s">
        <v>314</v>
      </c>
      <c r="Z13" s="758" t="s">
        <v>314</v>
      </c>
      <c r="AA13" s="758" t="s">
        <v>314</v>
      </c>
      <c r="AB13" s="758" t="s">
        <v>314</v>
      </c>
      <c r="AC13" s="758" t="s">
        <v>314</v>
      </c>
      <c r="AD13" s="758" t="s">
        <v>314</v>
      </c>
      <c r="AE13" s="758" t="s">
        <v>314</v>
      </c>
      <c r="AF13" s="758" t="s">
        <v>314</v>
      </c>
    </row>
    <row r="14" customFormat="false" ht="23.25" hidden="false" customHeight="true" outlineLevel="0" collapsed="false">
      <c r="A14" s="758" t="s">
        <v>314</v>
      </c>
      <c r="B14" s="758" t="s">
        <v>314</v>
      </c>
      <c r="C14" s="816" t="n">
        <v>0.39</v>
      </c>
      <c r="D14" s="793" t="n">
        <v>0.5</v>
      </c>
      <c r="E14" s="791" t="n">
        <v>0.62</v>
      </c>
      <c r="F14" s="791" t="n">
        <v>0.72</v>
      </c>
      <c r="G14" s="791" t="n">
        <v>0.82</v>
      </c>
      <c r="H14" s="792" t="n">
        <v>0.9</v>
      </c>
      <c r="I14" s="817" t="n">
        <v>0.95</v>
      </c>
      <c r="J14" s="768" t="s">
        <v>314</v>
      </c>
      <c r="K14" s="777" t="s">
        <v>314</v>
      </c>
      <c r="L14" s="800" t="s">
        <v>314</v>
      </c>
      <c r="M14" s="758" t="s">
        <v>314</v>
      </c>
      <c r="N14" s="758" t="s">
        <v>314</v>
      </c>
      <c r="O14" s="758" t="s">
        <v>314</v>
      </c>
      <c r="P14" s="758" t="s">
        <v>314</v>
      </c>
      <c r="Q14" s="758" t="s">
        <v>314</v>
      </c>
      <c r="R14" s="758" t="s">
        <v>314</v>
      </c>
      <c r="S14" s="758" t="s">
        <v>314</v>
      </c>
      <c r="T14" s="758" t="s">
        <v>314</v>
      </c>
      <c r="U14" s="758" t="s">
        <v>314</v>
      </c>
      <c r="V14" s="758" t="s">
        <v>314</v>
      </c>
      <c r="W14" s="758" t="s">
        <v>314</v>
      </c>
      <c r="X14" s="758" t="s">
        <v>314</v>
      </c>
      <c r="Y14" s="758" t="s">
        <v>314</v>
      </c>
      <c r="Z14" s="758" t="s">
        <v>314</v>
      </c>
      <c r="AA14" s="758" t="s">
        <v>314</v>
      </c>
      <c r="AB14" s="758" t="s">
        <v>314</v>
      </c>
      <c r="AC14" s="758" t="s">
        <v>314</v>
      </c>
      <c r="AD14" s="758" t="s">
        <v>314</v>
      </c>
      <c r="AE14" s="758" t="s">
        <v>314</v>
      </c>
      <c r="AF14" s="758" t="s">
        <v>314</v>
      </c>
    </row>
    <row r="15" customFormat="false" ht="23.25" hidden="false" customHeight="true" outlineLevel="0" collapsed="false">
      <c r="A15" s="758" t="s">
        <v>314</v>
      </c>
      <c r="B15" s="758" t="s">
        <v>314</v>
      </c>
      <c r="C15" s="796" t="s">
        <v>62</v>
      </c>
      <c r="D15" s="797" t="s">
        <v>54</v>
      </c>
      <c r="E15" s="797" t="s">
        <v>54</v>
      </c>
      <c r="F15" s="797" t="s">
        <v>40</v>
      </c>
      <c r="G15" s="797" t="s">
        <v>40</v>
      </c>
      <c r="H15" s="814"/>
      <c r="I15" s="818"/>
      <c r="J15" s="799" t="s">
        <v>29</v>
      </c>
      <c r="K15" s="777" t="s">
        <v>314</v>
      </c>
      <c r="L15" s="800" t="s">
        <v>314</v>
      </c>
      <c r="M15" s="758" t="s">
        <v>314</v>
      </c>
      <c r="N15" s="758" t="s">
        <v>314</v>
      </c>
      <c r="O15" s="758" t="s">
        <v>314</v>
      </c>
      <c r="P15" s="758" t="s">
        <v>314</v>
      </c>
      <c r="Q15" s="758" t="s">
        <v>314</v>
      </c>
      <c r="R15" s="758" t="s">
        <v>314</v>
      </c>
      <c r="S15" s="758" t="s">
        <v>314</v>
      </c>
      <c r="T15" s="758" t="s">
        <v>314</v>
      </c>
      <c r="U15" s="758" t="s">
        <v>314</v>
      </c>
      <c r="V15" s="758" t="s">
        <v>314</v>
      </c>
      <c r="W15" s="758" t="s">
        <v>314</v>
      </c>
      <c r="X15" s="758" t="s">
        <v>314</v>
      </c>
      <c r="Y15" s="758" t="s">
        <v>314</v>
      </c>
      <c r="Z15" s="758" t="s">
        <v>314</v>
      </c>
      <c r="AA15" s="758" t="s">
        <v>314</v>
      </c>
      <c r="AB15" s="758" t="s">
        <v>314</v>
      </c>
      <c r="AC15" s="758" t="s">
        <v>314</v>
      </c>
      <c r="AD15" s="758" t="s">
        <v>314</v>
      </c>
      <c r="AE15" s="758" t="s">
        <v>314</v>
      </c>
      <c r="AF15" s="758" t="s">
        <v>314</v>
      </c>
    </row>
    <row r="16" customFormat="false" ht="23.25" hidden="false" customHeight="true" outlineLevel="0" collapsed="false">
      <c r="A16" s="758" t="s">
        <v>314</v>
      </c>
      <c r="B16" s="758" t="s">
        <v>314</v>
      </c>
      <c r="C16" s="801" t="n">
        <v>7.5</v>
      </c>
      <c r="D16" s="819" t="n">
        <v>6.5</v>
      </c>
      <c r="E16" s="790" t="s">
        <v>320</v>
      </c>
      <c r="F16" s="790" t="s">
        <v>321</v>
      </c>
      <c r="G16" s="790" t="s">
        <v>322</v>
      </c>
      <c r="H16" s="790"/>
      <c r="I16" s="768"/>
      <c r="J16" s="802" t="n">
        <f aca="false">SUM(C16:D16)</f>
        <v>14</v>
      </c>
      <c r="K16" s="777" t="s">
        <v>314</v>
      </c>
      <c r="L16" s="803" t="s">
        <v>22</v>
      </c>
      <c r="M16" s="758" t="s">
        <v>314</v>
      </c>
      <c r="N16" s="758" t="s">
        <v>314</v>
      </c>
      <c r="O16" s="758" t="s">
        <v>314</v>
      </c>
      <c r="P16" s="758" t="s">
        <v>314</v>
      </c>
      <c r="Q16" s="758" t="s">
        <v>314</v>
      </c>
      <c r="R16" s="758" t="s">
        <v>314</v>
      </c>
      <c r="S16" s="758" t="s">
        <v>314</v>
      </c>
      <c r="T16" s="758" t="s">
        <v>314</v>
      </c>
      <c r="U16" s="758" t="s">
        <v>314</v>
      </c>
      <c r="V16" s="758" t="s">
        <v>314</v>
      </c>
      <c r="W16" s="758" t="s">
        <v>314</v>
      </c>
      <c r="X16" s="758" t="s">
        <v>314</v>
      </c>
      <c r="Y16" s="758" t="s">
        <v>314</v>
      </c>
      <c r="Z16" s="758" t="s">
        <v>314</v>
      </c>
      <c r="AA16" s="758" t="s">
        <v>314</v>
      </c>
      <c r="AB16" s="758" t="s">
        <v>314</v>
      </c>
      <c r="AC16" s="758" t="s">
        <v>314</v>
      </c>
      <c r="AD16" s="758" t="s">
        <v>314</v>
      </c>
      <c r="AE16" s="758" t="s">
        <v>314</v>
      </c>
      <c r="AF16" s="758" t="s">
        <v>314</v>
      </c>
    </row>
    <row r="17" customFormat="false" ht="23.25" hidden="false" customHeight="true" outlineLevel="0" collapsed="false">
      <c r="A17" s="758" t="s">
        <v>314</v>
      </c>
      <c r="B17" s="758" t="s">
        <v>314</v>
      </c>
      <c r="C17" s="801" t="n">
        <v>0.8</v>
      </c>
      <c r="D17" s="790" t="n">
        <v>0.8</v>
      </c>
      <c r="E17" s="790" t="n">
        <v>0</v>
      </c>
      <c r="F17" s="790" t="n">
        <v>0</v>
      </c>
      <c r="G17" s="790" t="n">
        <v>0</v>
      </c>
      <c r="H17" s="790"/>
      <c r="I17" s="768"/>
      <c r="J17" s="802" t="n">
        <f aca="false">SUM(C17:G17)</f>
        <v>1.6</v>
      </c>
      <c r="K17" s="777" t="s">
        <v>314</v>
      </c>
      <c r="L17" s="803" t="s">
        <v>24</v>
      </c>
      <c r="M17" s="758" t="s">
        <v>314</v>
      </c>
      <c r="N17" s="758" t="s">
        <v>314</v>
      </c>
      <c r="O17" s="758" t="s">
        <v>314</v>
      </c>
      <c r="P17" s="758" t="s">
        <v>314</v>
      </c>
      <c r="Q17" s="758" t="s">
        <v>314</v>
      </c>
      <c r="R17" s="758" t="s">
        <v>314</v>
      </c>
      <c r="S17" s="758" t="s">
        <v>314</v>
      </c>
      <c r="T17" s="758" t="s">
        <v>314</v>
      </c>
      <c r="U17" s="758" t="s">
        <v>314</v>
      </c>
      <c r="V17" s="758" t="s">
        <v>314</v>
      </c>
      <c r="W17" s="758" t="s">
        <v>314</v>
      </c>
      <c r="X17" s="758" t="s">
        <v>314</v>
      </c>
      <c r="Y17" s="758" t="s">
        <v>314</v>
      </c>
      <c r="Z17" s="758" t="s">
        <v>314</v>
      </c>
      <c r="AA17" s="758" t="s">
        <v>314</v>
      </c>
      <c r="AB17" s="758" t="s">
        <v>314</v>
      </c>
      <c r="AC17" s="758" t="s">
        <v>314</v>
      </c>
      <c r="AD17" s="758" t="s">
        <v>314</v>
      </c>
      <c r="AE17" s="758" t="s">
        <v>314</v>
      </c>
      <c r="AF17" s="758" t="s">
        <v>314</v>
      </c>
    </row>
    <row r="18" customFormat="false" ht="23.25" hidden="false" customHeight="true" outlineLevel="0" collapsed="false">
      <c r="A18" s="758" t="s">
        <v>314</v>
      </c>
      <c r="B18" s="758" t="s">
        <v>314</v>
      </c>
      <c r="C18" s="801" t="n">
        <v>0.8</v>
      </c>
      <c r="D18" s="790" t="n">
        <v>0.8</v>
      </c>
      <c r="E18" s="790" t="n">
        <v>0</v>
      </c>
      <c r="F18" s="790" t="n">
        <v>0</v>
      </c>
      <c r="G18" s="790" t="n">
        <v>0</v>
      </c>
      <c r="H18" s="790"/>
      <c r="I18" s="768"/>
      <c r="J18" s="804" t="n">
        <f aca="false">SUM(C18:G18)</f>
        <v>1.6</v>
      </c>
      <c r="K18" s="777" t="s">
        <v>314</v>
      </c>
      <c r="L18" s="803" t="s">
        <v>26</v>
      </c>
      <c r="M18" s="758" t="s">
        <v>314</v>
      </c>
      <c r="N18" s="758" t="s">
        <v>314</v>
      </c>
      <c r="O18" s="758" t="s">
        <v>314</v>
      </c>
      <c r="P18" s="758" t="s">
        <v>314</v>
      </c>
      <c r="Q18" s="758" t="s">
        <v>314</v>
      </c>
      <c r="R18" s="758" t="s">
        <v>314</v>
      </c>
      <c r="S18" s="758" t="s">
        <v>314</v>
      </c>
      <c r="T18" s="758" t="s">
        <v>314</v>
      </c>
      <c r="U18" s="758" t="s">
        <v>314</v>
      </c>
      <c r="V18" s="758" t="s">
        <v>314</v>
      </c>
      <c r="W18" s="758" t="s">
        <v>314</v>
      </c>
      <c r="X18" s="758" t="s">
        <v>314</v>
      </c>
      <c r="Y18" s="758" t="s">
        <v>314</v>
      </c>
      <c r="Z18" s="758" t="s">
        <v>314</v>
      </c>
      <c r="AA18" s="758" t="s">
        <v>314</v>
      </c>
      <c r="AB18" s="758" t="s">
        <v>314</v>
      </c>
      <c r="AC18" s="758" t="s">
        <v>314</v>
      </c>
      <c r="AD18" s="758" t="s">
        <v>314</v>
      </c>
      <c r="AE18" s="758" t="s">
        <v>314</v>
      </c>
      <c r="AF18" s="758" t="s">
        <v>314</v>
      </c>
    </row>
    <row r="19" customFormat="false" ht="23.25" hidden="false" customHeight="true" outlineLevel="0" collapsed="false">
      <c r="A19" s="758" t="s">
        <v>314</v>
      </c>
      <c r="B19" s="758" t="s">
        <v>314</v>
      </c>
      <c r="C19" s="806" t="s">
        <v>323</v>
      </c>
      <c r="D19" s="807" t="s">
        <v>324</v>
      </c>
      <c r="E19" s="807" t="s">
        <v>325</v>
      </c>
      <c r="F19" s="808" t="s">
        <v>326</v>
      </c>
      <c r="G19" s="808" t="s">
        <v>327</v>
      </c>
      <c r="H19" s="808" t="s">
        <v>328</v>
      </c>
      <c r="I19" s="809" t="s">
        <v>329</v>
      </c>
      <c r="J19" s="810" t="n">
        <v>24.35</v>
      </c>
      <c r="K19" s="777" t="s">
        <v>314</v>
      </c>
      <c r="L19" s="803" t="s">
        <v>28</v>
      </c>
      <c r="M19" s="758" t="s">
        <v>314</v>
      </c>
      <c r="N19" s="758" t="s">
        <v>314</v>
      </c>
      <c r="O19" s="758" t="s">
        <v>314</v>
      </c>
      <c r="P19" s="758" t="s">
        <v>314</v>
      </c>
      <c r="Q19" s="758" t="s">
        <v>314</v>
      </c>
      <c r="R19" s="758" t="s">
        <v>314</v>
      </c>
      <c r="S19" s="758" t="s">
        <v>314</v>
      </c>
      <c r="T19" s="758" t="s">
        <v>314</v>
      </c>
      <c r="U19" s="758" t="s">
        <v>314</v>
      </c>
      <c r="V19" s="758" t="s">
        <v>314</v>
      </c>
      <c r="W19" s="758" t="s">
        <v>314</v>
      </c>
      <c r="X19" s="758" t="s">
        <v>314</v>
      </c>
      <c r="Y19" s="758" t="s">
        <v>314</v>
      </c>
      <c r="Z19" s="758" t="s">
        <v>314</v>
      </c>
      <c r="AA19" s="758" t="s">
        <v>314</v>
      </c>
      <c r="AB19" s="758" t="s">
        <v>314</v>
      </c>
      <c r="AC19" s="758" t="s">
        <v>314</v>
      </c>
      <c r="AD19" s="758" t="s">
        <v>314</v>
      </c>
      <c r="AE19" s="758" t="s">
        <v>314</v>
      </c>
      <c r="AF19" s="758" t="s">
        <v>314</v>
      </c>
    </row>
    <row r="20" customFormat="false" ht="23.25" hidden="false" customHeight="true" outlineLevel="0" collapsed="false">
      <c r="A20" s="758" t="s">
        <v>314</v>
      </c>
      <c r="B20" s="758" t="s">
        <v>314</v>
      </c>
      <c r="C20" s="820" t="n">
        <v>12</v>
      </c>
      <c r="D20" s="821" t="n">
        <v>13</v>
      </c>
      <c r="E20" s="822" t="n">
        <v>14</v>
      </c>
      <c r="F20" s="782" t="n">
        <v>15</v>
      </c>
      <c r="G20" s="823" t="n">
        <v>16</v>
      </c>
      <c r="H20" s="823" t="n">
        <v>17</v>
      </c>
      <c r="I20" s="823" t="n">
        <v>18</v>
      </c>
      <c r="J20" s="813" t="s">
        <v>314</v>
      </c>
      <c r="K20" s="777" t="s">
        <v>314</v>
      </c>
      <c r="L20" s="800" t="s">
        <v>314</v>
      </c>
      <c r="M20" s="758" t="s">
        <v>314</v>
      </c>
      <c r="N20" s="758" t="s">
        <v>314</v>
      </c>
      <c r="O20" s="758" t="s">
        <v>314</v>
      </c>
      <c r="P20" s="758" t="s">
        <v>314</v>
      </c>
      <c r="Q20" s="758" t="s">
        <v>314</v>
      </c>
      <c r="R20" s="758" t="s">
        <v>314</v>
      </c>
      <c r="S20" s="758" t="s">
        <v>314</v>
      </c>
      <c r="T20" s="758" t="s">
        <v>314</v>
      </c>
      <c r="U20" s="758" t="s">
        <v>314</v>
      </c>
      <c r="V20" s="758" t="s">
        <v>314</v>
      </c>
      <c r="W20" s="758" t="s">
        <v>314</v>
      </c>
      <c r="X20" s="758" t="s">
        <v>314</v>
      </c>
      <c r="Y20" s="758" t="s">
        <v>314</v>
      </c>
      <c r="Z20" s="758" t="s">
        <v>314</v>
      </c>
      <c r="AA20" s="758" t="s">
        <v>314</v>
      </c>
      <c r="AB20" s="758" t="s">
        <v>314</v>
      </c>
      <c r="AC20" s="758" t="s">
        <v>314</v>
      </c>
      <c r="AD20" s="758" t="s">
        <v>314</v>
      </c>
      <c r="AE20" s="758" t="s">
        <v>314</v>
      </c>
      <c r="AF20" s="758" t="s">
        <v>314</v>
      </c>
    </row>
    <row r="21" customFormat="false" ht="23.25" hidden="false" customHeight="true" outlineLevel="0" collapsed="false">
      <c r="A21" s="758" t="s">
        <v>314</v>
      </c>
      <c r="B21" s="758" t="s">
        <v>314</v>
      </c>
      <c r="C21" s="824"/>
      <c r="D21" s="825"/>
      <c r="E21" s="825"/>
      <c r="F21" s="825"/>
      <c r="G21" s="825"/>
      <c r="H21" s="797" t="s">
        <v>216</v>
      </c>
      <c r="I21" s="788" t="s">
        <v>79</v>
      </c>
      <c r="J21" s="813" t="s">
        <v>314</v>
      </c>
      <c r="K21" s="777" t="s">
        <v>314</v>
      </c>
      <c r="L21" s="800" t="s">
        <v>314</v>
      </c>
      <c r="M21" s="758" t="s">
        <v>314</v>
      </c>
      <c r="N21" s="758" t="s">
        <v>314</v>
      </c>
      <c r="O21" s="758" t="s">
        <v>314</v>
      </c>
      <c r="P21" s="758" t="s">
        <v>314</v>
      </c>
      <c r="Q21" s="758" t="s">
        <v>314</v>
      </c>
      <c r="R21" s="758" t="s">
        <v>314</v>
      </c>
      <c r="S21" s="758" t="s">
        <v>314</v>
      </c>
      <c r="T21" s="758" t="s">
        <v>314</v>
      </c>
      <c r="U21" s="758" t="s">
        <v>314</v>
      </c>
      <c r="V21" s="758" t="s">
        <v>314</v>
      </c>
      <c r="W21" s="758" t="s">
        <v>314</v>
      </c>
      <c r="X21" s="758" t="s">
        <v>314</v>
      </c>
      <c r="Y21" s="758" t="s">
        <v>314</v>
      </c>
      <c r="Z21" s="758" t="s">
        <v>314</v>
      </c>
      <c r="AA21" s="758" t="s">
        <v>314</v>
      </c>
      <c r="AB21" s="758" t="s">
        <v>314</v>
      </c>
      <c r="AC21" s="758" t="s">
        <v>314</v>
      </c>
      <c r="AD21" s="758" t="s">
        <v>314</v>
      </c>
      <c r="AE21" s="758" t="s">
        <v>314</v>
      </c>
      <c r="AF21" s="758" t="s">
        <v>314</v>
      </c>
    </row>
    <row r="22" customFormat="false" ht="23.25" hidden="false" customHeight="true" outlineLevel="0" collapsed="false">
      <c r="A22" s="758" t="s">
        <v>314</v>
      </c>
      <c r="B22" s="758" t="s">
        <v>314</v>
      </c>
      <c r="C22" s="826" t="n">
        <v>0.99</v>
      </c>
      <c r="D22" s="791" t="n">
        <v>1</v>
      </c>
      <c r="E22" s="791" t="n">
        <v>0.99</v>
      </c>
      <c r="F22" s="791" t="n">
        <v>0.95</v>
      </c>
      <c r="G22" s="792" t="n">
        <v>0.9</v>
      </c>
      <c r="H22" s="793" t="n">
        <v>0.84</v>
      </c>
      <c r="I22" s="794" t="n">
        <v>0.76</v>
      </c>
      <c r="J22" s="768" t="s">
        <v>314</v>
      </c>
      <c r="K22" s="777" t="s">
        <v>314</v>
      </c>
      <c r="L22" s="800" t="s">
        <v>314</v>
      </c>
      <c r="M22" s="758" t="s">
        <v>314</v>
      </c>
      <c r="N22" s="758" t="s">
        <v>314</v>
      </c>
      <c r="O22" s="758" t="s">
        <v>314</v>
      </c>
      <c r="P22" s="758" t="s">
        <v>314</v>
      </c>
      <c r="Q22" s="758" t="s">
        <v>314</v>
      </c>
      <c r="R22" s="758" t="s">
        <v>314</v>
      </c>
      <c r="S22" s="758" t="s">
        <v>314</v>
      </c>
      <c r="T22" s="758" t="s">
        <v>314</v>
      </c>
      <c r="U22" s="758" t="s">
        <v>314</v>
      </c>
      <c r="V22" s="758" t="s">
        <v>314</v>
      </c>
      <c r="W22" s="758" t="s">
        <v>314</v>
      </c>
      <c r="X22" s="758" t="s">
        <v>314</v>
      </c>
      <c r="Y22" s="758" t="s">
        <v>314</v>
      </c>
      <c r="Z22" s="758" t="s">
        <v>314</v>
      </c>
      <c r="AA22" s="758" t="s">
        <v>314</v>
      </c>
      <c r="AB22" s="758" t="s">
        <v>314</v>
      </c>
      <c r="AC22" s="758" t="s">
        <v>314</v>
      </c>
      <c r="AD22" s="758" t="s">
        <v>314</v>
      </c>
      <c r="AE22" s="758" t="s">
        <v>314</v>
      </c>
      <c r="AF22" s="758" t="s">
        <v>314</v>
      </c>
    </row>
    <row r="23" customFormat="false" ht="23.25" hidden="false" customHeight="true" outlineLevel="0" collapsed="false">
      <c r="A23" s="758" t="s">
        <v>314</v>
      </c>
      <c r="B23" s="758" t="s">
        <v>314</v>
      </c>
      <c r="C23" s="827"/>
      <c r="D23" s="828"/>
      <c r="E23" s="828"/>
      <c r="F23" s="828"/>
      <c r="G23" s="828"/>
      <c r="H23" s="797" t="s">
        <v>62</v>
      </c>
      <c r="I23" s="788" t="s">
        <v>169</v>
      </c>
      <c r="J23" s="829" t="s">
        <v>30</v>
      </c>
      <c r="K23" s="777" t="s">
        <v>314</v>
      </c>
      <c r="L23" s="800" t="s">
        <v>314</v>
      </c>
      <c r="M23" s="758" t="s">
        <v>314</v>
      </c>
      <c r="N23" s="758" t="s">
        <v>314</v>
      </c>
      <c r="O23" s="758" t="s">
        <v>314</v>
      </c>
      <c r="P23" s="758" t="s">
        <v>314</v>
      </c>
      <c r="Q23" s="758" t="s">
        <v>314</v>
      </c>
      <c r="R23" s="758" t="s">
        <v>314</v>
      </c>
      <c r="S23" s="758" t="s">
        <v>314</v>
      </c>
      <c r="T23" s="758" t="s">
        <v>314</v>
      </c>
      <c r="U23" s="758" t="s">
        <v>314</v>
      </c>
      <c r="V23" s="758" t="s">
        <v>314</v>
      </c>
      <c r="W23" s="758" t="s">
        <v>314</v>
      </c>
      <c r="X23" s="758" t="s">
        <v>314</v>
      </c>
      <c r="Y23" s="758" t="s">
        <v>314</v>
      </c>
      <c r="Z23" s="758" t="s">
        <v>314</v>
      </c>
      <c r="AA23" s="758" t="s">
        <v>314</v>
      </c>
      <c r="AB23" s="758" t="s">
        <v>314</v>
      </c>
      <c r="AC23" s="758" t="s">
        <v>314</v>
      </c>
      <c r="AD23" s="758" t="s">
        <v>314</v>
      </c>
      <c r="AE23" s="758" t="s">
        <v>314</v>
      </c>
      <c r="AF23" s="758" t="s">
        <v>314</v>
      </c>
    </row>
    <row r="24" customFormat="false" ht="23.25" hidden="false" customHeight="true" outlineLevel="0" collapsed="false">
      <c r="A24" s="758" t="s">
        <v>314</v>
      </c>
      <c r="B24" s="758" t="s">
        <v>314</v>
      </c>
      <c r="C24" s="801"/>
      <c r="D24" s="790"/>
      <c r="E24" s="790"/>
      <c r="F24" s="790"/>
      <c r="G24" s="790"/>
      <c r="H24" s="830" t="n">
        <v>2.5</v>
      </c>
      <c r="I24" s="831" t="s">
        <v>320</v>
      </c>
      <c r="J24" s="832" t="n">
        <f aca="false">SUM(C24:I24)</f>
        <v>2.5</v>
      </c>
      <c r="K24" s="777" t="s">
        <v>314</v>
      </c>
      <c r="L24" s="803" t="s">
        <v>22</v>
      </c>
      <c r="M24" s="758" t="s">
        <v>314</v>
      </c>
      <c r="N24" s="758" t="s">
        <v>314</v>
      </c>
      <c r="O24" s="758" t="s">
        <v>314</v>
      </c>
      <c r="P24" s="758" t="s">
        <v>314</v>
      </c>
      <c r="Q24" s="758" t="s">
        <v>314</v>
      </c>
      <c r="R24" s="758" t="s">
        <v>314</v>
      </c>
      <c r="S24" s="758" t="s">
        <v>314</v>
      </c>
      <c r="T24" s="758" t="s">
        <v>314</v>
      </c>
      <c r="U24" s="758" t="s">
        <v>314</v>
      </c>
      <c r="V24" s="758" t="s">
        <v>314</v>
      </c>
      <c r="W24" s="758" t="s">
        <v>314</v>
      </c>
      <c r="X24" s="758" t="s">
        <v>314</v>
      </c>
      <c r="Y24" s="758" t="s">
        <v>314</v>
      </c>
      <c r="Z24" s="758" t="s">
        <v>314</v>
      </c>
      <c r="AA24" s="758" t="s">
        <v>314</v>
      </c>
      <c r="AB24" s="758" t="s">
        <v>314</v>
      </c>
      <c r="AC24" s="758" t="s">
        <v>314</v>
      </c>
      <c r="AD24" s="758" t="s">
        <v>314</v>
      </c>
      <c r="AE24" s="758" t="s">
        <v>314</v>
      </c>
      <c r="AF24" s="758" t="s">
        <v>314</v>
      </c>
    </row>
    <row r="25" customFormat="false" ht="23.25" hidden="false" customHeight="true" outlineLevel="0" collapsed="false">
      <c r="A25" s="758" t="s">
        <v>314</v>
      </c>
      <c r="B25" s="758" t="s">
        <v>314</v>
      </c>
      <c r="C25" s="801"/>
      <c r="D25" s="790"/>
      <c r="E25" s="790"/>
      <c r="F25" s="790"/>
      <c r="G25" s="790"/>
      <c r="H25" s="830" t="n">
        <v>0</v>
      </c>
      <c r="I25" s="831" t="n">
        <v>0</v>
      </c>
      <c r="J25" s="832" t="n">
        <f aca="false">SUM(C25:I25)</f>
        <v>0</v>
      </c>
      <c r="K25" s="777" t="s">
        <v>314</v>
      </c>
      <c r="L25" s="803" t="s">
        <v>24</v>
      </c>
      <c r="M25" s="758" t="s">
        <v>314</v>
      </c>
      <c r="N25" s="758" t="s">
        <v>314</v>
      </c>
      <c r="O25" s="758" t="s">
        <v>314</v>
      </c>
      <c r="P25" s="758" t="s">
        <v>314</v>
      </c>
      <c r="Q25" s="758" t="s">
        <v>314</v>
      </c>
      <c r="R25" s="758" t="s">
        <v>314</v>
      </c>
      <c r="S25" s="758" t="s">
        <v>314</v>
      </c>
      <c r="T25" s="758" t="s">
        <v>314</v>
      </c>
      <c r="U25" s="758" t="s">
        <v>314</v>
      </c>
      <c r="V25" s="758" t="s">
        <v>314</v>
      </c>
      <c r="W25" s="758" t="s">
        <v>314</v>
      </c>
      <c r="X25" s="758" t="s">
        <v>314</v>
      </c>
      <c r="Y25" s="758" t="s">
        <v>314</v>
      </c>
      <c r="Z25" s="758" t="s">
        <v>314</v>
      </c>
      <c r="AA25" s="758" t="s">
        <v>314</v>
      </c>
      <c r="AB25" s="758" t="s">
        <v>314</v>
      </c>
      <c r="AC25" s="758" t="s">
        <v>314</v>
      </c>
      <c r="AD25" s="758" t="s">
        <v>314</v>
      </c>
      <c r="AE25" s="758" t="s">
        <v>314</v>
      </c>
      <c r="AF25" s="758" t="s">
        <v>314</v>
      </c>
    </row>
    <row r="26" customFormat="false" ht="23.25" hidden="false" customHeight="true" outlineLevel="0" collapsed="false">
      <c r="A26" s="758" t="s">
        <v>314</v>
      </c>
      <c r="B26" s="758" t="s">
        <v>314</v>
      </c>
      <c r="C26" s="801"/>
      <c r="D26" s="830"/>
      <c r="E26" s="830"/>
      <c r="F26" s="830"/>
      <c r="G26" s="830"/>
      <c r="H26" s="830" t="n">
        <v>0</v>
      </c>
      <c r="I26" s="831" t="n">
        <v>0</v>
      </c>
      <c r="J26" s="833" t="n">
        <f aca="false">SUM(C26:I26)</f>
        <v>0</v>
      </c>
      <c r="K26" s="777" t="s">
        <v>314</v>
      </c>
      <c r="L26" s="803" t="s">
        <v>26</v>
      </c>
      <c r="M26" s="758" t="s">
        <v>314</v>
      </c>
      <c r="N26" s="758" t="s">
        <v>314</v>
      </c>
      <c r="O26" s="758" t="s">
        <v>314</v>
      </c>
      <c r="P26" s="758" t="s">
        <v>314</v>
      </c>
      <c r="Q26" s="758" t="s">
        <v>314</v>
      </c>
      <c r="R26" s="758" t="s">
        <v>314</v>
      </c>
      <c r="S26" s="758" t="s">
        <v>314</v>
      </c>
      <c r="T26" s="758" t="s">
        <v>314</v>
      </c>
      <c r="U26" s="758" t="s">
        <v>314</v>
      </c>
      <c r="V26" s="758" t="s">
        <v>314</v>
      </c>
      <c r="W26" s="758" t="s">
        <v>314</v>
      </c>
      <c r="X26" s="758" t="s">
        <v>314</v>
      </c>
      <c r="Y26" s="758" t="s">
        <v>314</v>
      </c>
      <c r="Z26" s="758" t="s">
        <v>314</v>
      </c>
      <c r="AA26" s="758" t="s">
        <v>314</v>
      </c>
      <c r="AB26" s="758" t="s">
        <v>314</v>
      </c>
      <c r="AC26" s="758" t="s">
        <v>314</v>
      </c>
      <c r="AD26" s="758" t="s">
        <v>314</v>
      </c>
      <c r="AE26" s="758" t="s">
        <v>314</v>
      </c>
      <c r="AF26" s="758" t="s">
        <v>314</v>
      </c>
    </row>
    <row r="27" customFormat="false" ht="23.25" hidden="false" customHeight="true" outlineLevel="0" collapsed="false">
      <c r="A27" s="758" t="s">
        <v>314</v>
      </c>
      <c r="B27" s="758" t="s">
        <v>314</v>
      </c>
      <c r="C27" s="806" t="s">
        <v>330</v>
      </c>
      <c r="D27" s="807" t="s">
        <v>331</v>
      </c>
      <c r="E27" s="807" t="s">
        <v>332</v>
      </c>
      <c r="F27" s="807" t="s">
        <v>333</v>
      </c>
      <c r="G27" s="807" t="s">
        <v>334</v>
      </c>
      <c r="H27" s="807" t="s">
        <v>335</v>
      </c>
      <c r="I27" s="834" t="s">
        <v>336</v>
      </c>
      <c r="J27" s="835" t="n">
        <v>18.53</v>
      </c>
      <c r="K27" s="777" t="s">
        <v>314</v>
      </c>
      <c r="L27" s="803" t="s">
        <v>28</v>
      </c>
      <c r="M27" s="758" t="s">
        <v>314</v>
      </c>
      <c r="N27" s="758" t="s">
        <v>314</v>
      </c>
      <c r="O27" s="758" t="s">
        <v>314</v>
      </c>
      <c r="P27" s="758" t="s">
        <v>314</v>
      </c>
      <c r="Q27" s="758" t="s">
        <v>314</v>
      </c>
      <c r="R27" s="758" t="s">
        <v>314</v>
      </c>
      <c r="S27" s="758" t="s">
        <v>314</v>
      </c>
      <c r="T27" s="758" t="s">
        <v>314</v>
      </c>
      <c r="U27" s="758" t="s">
        <v>314</v>
      </c>
      <c r="V27" s="758" t="s">
        <v>314</v>
      </c>
      <c r="W27" s="758" t="s">
        <v>314</v>
      </c>
      <c r="X27" s="758" t="s">
        <v>314</v>
      </c>
      <c r="Y27" s="758" t="s">
        <v>314</v>
      </c>
      <c r="Z27" s="758" t="s">
        <v>314</v>
      </c>
      <c r="AA27" s="758" t="s">
        <v>314</v>
      </c>
      <c r="AB27" s="758" t="s">
        <v>314</v>
      </c>
      <c r="AC27" s="758" t="s">
        <v>314</v>
      </c>
      <c r="AD27" s="758" t="s">
        <v>314</v>
      </c>
      <c r="AE27" s="758" t="s">
        <v>314</v>
      </c>
      <c r="AF27" s="758" t="s">
        <v>314</v>
      </c>
    </row>
    <row r="28" customFormat="false" ht="23.25" hidden="false" customHeight="true" outlineLevel="0" collapsed="false">
      <c r="A28" s="758" t="s">
        <v>314</v>
      </c>
      <c r="B28" s="758" t="s">
        <v>314</v>
      </c>
      <c r="C28" s="779" t="n">
        <v>19</v>
      </c>
      <c r="D28" s="780" t="n">
        <v>20</v>
      </c>
      <c r="E28" s="780" t="n">
        <v>21</v>
      </c>
      <c r="F28" s="780" t="n">
        <v>22</v>
      </c>
      <c r="G28" s="780" t="n">
        <v>23</v>
      </c>
      <c r="H28" s="780" t="n">
        <v>24</v>
      </c>
      <c r="I28" s="780" t="n">
        <v>25</v>
      </c>
      <c r="J28" s="813" t="s">
        <v>314</v>
      </c>
      <c r="K28" s="777" t="s">
        <v>314</v>
      </c>
      <c r="L28" s="800" t="s">
        <v>314</v>
      </c>
      <c r="M28" s="758" t="s">
        <v>314</v>
      </c>
      <c r="N28" s="758" t="s">
        <v>314</v>
      </c>
      <c r="O28" s="758" t="s">
        <v>314</v>
      </c>
      <c r="P28" s="758" t="s">
        <v>314</v>
      </c>
      <c r="Q28" s="758" t="s">
        <v>314</v>
      </c>
      <c r="R28" s="758" t="s">
        <v>314</v>
      </c>
      <c r="S28" s="758" t="s">
        <v>314</v>
      </c>
      <c r="T28" s="758" t="s">
        <v>314</v>
      </c>
      <c r="U28" s="758" t="s">
        <v>314</v>
      </c>
      <c r="V28" s="758" t="s">
        <v>314</v>
      </c>
      <c r="W28" s="758" t="s">
        <v>314</v>
      </c>
      <c r="X28" s="758" t="s">
        <v>314</v>
      </c>
      <c r="Y28" s="758" t="s">
        <v>314</v>
      </c>
      <c r="Z28" s="758" t="s">
        <v>314</v>
      </c>
      <c r="AA28" s="758" t="s">
        <v>314</v>
      </c>
      <c r="AB28" s="758" t="s">
        <v>314</v>
      </c>
      <c r="AC28" s="758" t="s">
        <v>314</v>
      </c>
      <c r="AD28" s="758" t="s">
        <v>314</v>
      </c>
      <c r="AE28" s="758" t="s">
        <v>314</v>
      </c>
      <c r="AF28" s="758" t="s">
        <v>314</v>
      </c>
    </row>
    <row r="29" customFormat="false" ht="23.25" hidden="false" customHeight="true" outlineLevel="0" collapsed="false">
      <c r="A29" s="758" t="s">
        <v>314</v>
      </c>
      <c r="B29" s="758" t="s">
        <v>314</v>
      </c>
      <c r="C29" s="785" t="s">
        <v>43</v>
      </c>
      <c r="D29" s="786" t="s">
        <v>216</v>
      </c>
      <c r="E29" s="787" t="s">
        <v>209</v>
      </c>
      <c r="F29" s="787" t="s">
        <v>54</v>
      </c>
      <c r="G29" s="787" t="s">
        <v>216</v>
      </c>
      <c r="H29" s="787" t="s">
        <v>43</v>
      </c>
      <c r="I29" s="836" t="s">
        <v>45</v>
      </c>
      <c r="J29" s="813" t="s">
        <v>314</v>
      </c>
      <c r="K29" s="777" t="s">
        <v>314</v>
      </c>
      <c r="L29" s="800" t="s">
        <v>314</v>
      </c>
      <c r="M29" s="758" t="s">
        <v>314</v>
      </c>
      <c r="N29" s="758" t="s">
        <v>314</v>
      </c>
      <c r="O29" s="758" t="s">
        <v>314</v>
      </c>
      <c r="P29" s="758" t="s">
        <v>314</v>
      </c>
      <c r="Q29" s="758" t="s">
        <v>314</v>
      </c>
      <c r="R29" s="758" t="s">
        <v>314</v>
      </c>
      <c r="S29" s="758" t="s">
        <v>314</v>
      </c>
      <c r="T29" s="758" t="s">
        <v>314</v>
      </c>
      <c r="U29" s="758" t="s">
        <v>314</v>
      </c>
      <c r="V29" s="758" t="s">
        <v>314</v>
      </c>
      <c r="W29" s="758" t="s">
        <v>314</v>
      </c>
      <c r="X29" s="758" t="s">
        <v>314</v>
      </c>
      <c r="Y29" s="758" t="s">
        <v>314</v>
      </c>
      <c r="Z29" s="758" t="s">
        <v>314</v>
      </c>
      <c r="AA29" s="758" t="s">
        <v>314</v>
      </c>
      <c r="AB29" s="758" t="s">
        <v>314</v>
      </c>
      <c r="AC29" s="758" t="s">
        <v>314</v>
      </c>
      <c r="AD29" s="758" t="s">
        <v>314</v>
      </c>
      <c r="AE29" s="758" t="s">
        <v>314</v>
      </c>
      <c r="AF29" s="758" t="s">
        <v>314</v>
      </c>
    </row>
    <row r="30" customFormat="false" ht="23.25" hidden="false" customHeight="true" outlineLevel="0" collapsed="false">
      <c r="A30" s="758" t="s">
        <v>314</v>
      </c>
      <c r="B30" s="758" t="s">
        <v>314</v>
      </c>
      <c r="C30" s="826" t="n">
        <v>0.67</v>
      </c>
      <c r="D30" s="791" t="n">
        <v>0.58</v>
      </c>
      <c r="E30" s="791" t="n">
        <v>0.49</v>
      </c>
      <c r="F30" s="791" t="n">
        <v>0.39</v>
      </c>
      <c r="G30" s="791" t="n">
        <v>0.3</v>
      </c>
      <c r="H30" s="791" t="n">
        <v>0.22</v>
      </c>
      <c r="I30" s="794" t="n">
        <v>0.14</v>
      </c>
      <c r="J30" s="768" t="s">
        <v>314</v>
      </c>
      <c r="K30" s="777" t="s">
        <v>314</v>
      </c>
      <c r="L30" s="800" t="s">
        <v>314</v>
      </c>
      <c r="M30" s="758" t="s">
        <v>314</v>
      </c>
      <c r="N30" s="758" t="s">
        <v>314</v>
      </c>
      <c r="O30" s="758" t="s">
        <v>314</v>
      </c>
      <c r="P30" s="758" t="s">
        <v>314</v>
      </c>
      <c r="Q30" s="758" t="s">
        <v>314</v>
      </c>
      <c r="R30" s="758" t="s">
        <v>314</v>
      </c>
      <c r="S30" s="758" t="s">
        <v>314</v>
      </c>
      <c r="T30" s="758" t="s">
        <v>314</v>
      </c>
      <c r="U30" s="758" t="s">
        <v>314</v>
      </c>
      <c r="V30" s="758" t="s">
        <v>314</v>
      </c>
      <c r="W30" s="758" t="s">
        <v>314</v>
      </c>
      <c r="X30" s="758" t="s">
        <v>314</v>
      </c>
      <c r="Y30" s="758" t="s">
        <v>314</v>
      </c>
      <c r="Z30" s="758" t="s">
        <v>314</v>
      </c>
      <c r="AA30" s="758" t="s">
        <v>314</v>
      </c>
      <c r="AB30" s="758" t="s">
        <v>314</v>
      </c>
      <c r="AC30" s="758" t="s">
        <v>314</v>
      </c>
      <c r="AD30" s="758" t="s">
        <v>314</v>
      </c>
      <c r="AE30" s="758" t="s">
        <v>314</v>
      </c>
      <c r="AF30" s="758" t="s">
        <v>314</v>
      </c>
    </row>
    <row r="31" customFormat="false" ht="23.25" hidden="false" customHeight="true" outlineLevel="0" collapsed="false">
      <c r="A31" s="758" t="s">
        <v>314</v>
      </c>
      <c r="B31" s="758" t="s">
        <v>314</v>
      </c>
      <c r="C31" s="796" t="s">
        <v>62</v>
      </c>
      <c r="D31" s="797" t="s">
        <v>40</v>
      </c>
      <c r="E31" s="797" t="s">
        <v>40</v>
      </c>
      <c r="F31" s="797" t="s">
        <v>80</v>
      </c>
      <c r="G31" s="797" t="s">
        <v>40</v>
      </c>
      <c r="H31" s="797" t="s">
        <v>169</v>
      </c>
      <c r="I31" s="788" t="s">
        <v>169</v>
      </c>
      <c r="J31" s="829" t="s">
        <v>31</v>
      </c>
      <c r="K31" s="777" t="s">
        <v>314</v>
      </c>
      <c r="L31" s="800" t="s">
        <v>314</v>
      </c>
      <c r="M31" s="758" t="s">
        <v>314</v>
      </c>
      <c r="N31" s="758" t="s">
        <v>314</v>
      </c>
      <c r="O31" s="758" t="s">
        <v>314</v>
      </c>
      <c r="P31" s="758" t="s">
        <v>314</v>
      </c>
      <c r="Q31" s="758" t="s">
        <v>314</v>
      </c>
      <c r="R31" s="758" t="s">
        <v>314</v>
      </c>
      <c r="S31" s="758" t="s">
        <v>314</v>
      </c>
      <c r="T31" s="758" t="s">
        <v>314</v>
      </c>
      <c r="U31" s="758" t="s">
        <v>314</v>
      </c>
      <c r="V31" s="758" t="s">
        <v>314</v>
      </c>
      <c r="W31" s="758" t="s">
        <v>314</v>
      </c>
      <c r="X31" s="758" t="s">
        <v>314</v>
      </c>
      <c r="Y31" s="758" t="s">
        <v>314</v>
      </c>
      <c r="Z31" s="758" t="s">
        <v>314</v>
      </c>
      <c r="AA31" s="758" t="s">
        <v>314</v>
      </c>
      <c r="AB31" s="758" t="s">
        <v>314</v>
      </c>
      <c r="AC31" s="758" t="s">
        <v>314</v>
      </c>
      <c r="AD31" s="758" t="s">
        <v>314</v>
      </c>
      <c r="AE31" s="758" t="s">
        <v>314</v>
      </c>
      <c r="AF31" s="758" t="s">
        <v>314</v>
      </c>
    </row>
    <row r="32" customFormat="false" ht="23.25" hidden="false" customHeight="true" outlineLevel="0" collapsed="false">
      <c r="A32" s="758" t="s">
        <v>314</v>
      </c>
      <c r="B32" s="758" t="s">
        <v>314</v>
      </c>
      <c r="C32" s="801" t="s">
        <v>320</v>
      </c>
      <c r="D32" s="790" t="s">
        <v>337</v>
      </c>
      <c r="E32" s="790" t="n">
        <v>7</v>
      </c>
      <c r="F32" s="790" t="s">
        <v>320</v>
      </c>
      <c r="G32" s="790" t="s">
        <v>320</v>
      </c>
      <c r="H32" s="790" t="n">
        <v>10</v>
      </c>
      <c r="I32" s="837" t="s">
        <v>320</v>
      </c>
      <c r="J32" s="832" t="n">
        <f aca="false">SUM(C32:I32)</f>
        <v>17</v>
      </c>
      <c r="K32" s="777" t="s">
        <v>314</v>
      </c>
      <c r="L32" s="803" t="s">
        <v>22</v>
      </c>
      <c r="M32" s="758" t="s">
        <v>314</v>
      </c>
      <c r="N32" s="758" t="s">
        <v>314</v>
      </c>
      <c r="O32" s="758" t="s">
        <v>314</v>
      </c>
      <c r="P32" s="758" t="s">
        <v>314</v>
      </c>
      <c r="Q32" s="758" t="s">
        <v>314</v>
      </c>
      <c r="R32" s="758" t="s">
        <v>314</v>
      </c>
      <c r="S32" s="758" t="s">
        <v>314</v>
      </c>
      <c r="T32" s="758" t="s">
        <v>314</v>
      </c>
      <c r="U32" s="758" t="s">
        <v>314</v>
      </c>
      <c r="V32" s="758" t="s">
        <v>314</v>
      </c>
      <c r="W32" s="758" t="s">
        <v>314</v>
      </c>
      <c r="X32" s="758" t="s">
        <v>314</v>
      </c>
      <c r="Y32" s="758" t="s">
        <v>314</v>
      </c>
      <c r="Z32" s="758" t="s">
        <v>314</v>
      </c>
      <c r="AA32" s="758" t="s">
        <v>314</v>
      </c>
      <c r="AB32" s="758" t="s">
        <v>314</v>
      </c>
      <c r="AC32" s="758" t="s">
        <v>314</v>
      </c>
      <c r="AD32" s="758" t="s">
        <v>314</v>
      </c>
      <c r="AE32" s="758" t="s">
        <v>314</v>
      </c>
      <c r="AF32" s="758" t="s">
        <v>314</v>
      </c>
    </row>
    <row r="33" customFormat="false" ht="23.25" hidden="false" customHeight="true" outlineLevel="0" collapsed="false">
      <c r="A33" s="758" t="s">
        <v>314</v>
      </c>
      <c r="B33" s="758" t="s">
        <v>314</v>
      </c>
      <c r="C33" s="801" t="n">
        <v>0</v>
      </c>
      <c r="D33" s="790" t="n">
        <v>0</v>
      </c>
      <c r="E33" s="790" t="n">
        <v>0</v>
      </c>
      <c r="F33" s="790" t="n">
        <v>0</v>
      </c>
      <c r="G33" s="768" t="n">
        <v>0</v>
      </c>
      <c r="H33" s="838" t="n">
        <v>0.8</v>
      </c>
      <c r="I33" s="837" t="n">
        <v>0</v>
      </c>
      <c r="J33" s="832" t="n">
        <f aca="false">SUM(C33:I33)</f>
        <v>0.8</v>
      </c>
      <c r="K33" s="777" t="s">
        <v>314</v>
      </c>
      <c r="L33" s="803" t="s">
        <v>24</v>
      </c>
      <c r="M33" s="758" t="s">
        <v>314</v>
      </c>
      <c r="N33" s="758" t="s">
        <v>314</v>
      </c>
      <c r="O33" s="758" t="s">
        <v>314</v>
      </c>
      <c r="P33" s="758" t="s">
        <v>314</v>
      </c>
      <c r="Q33" s="758" t="s">
        <v>314</v>
      </c>
      <c r="R33" s="758" t="s">
        <v>314</v>
      </c>
      <c r="S33" s="758" t="s">
        <v>314</v>
      </c>
      <c r="T33" s="758" t="s">
        <v>314</v>
      </c>
      <c r="U33" s="758" t="s">
        <v>314</v>
      </c>
      <c r="V33" s="758" t="s">
        <v>314</v>
      </c>
      <c r="W33" s="758" t="s">
        <v>314</v>
      </c>
      <c r="X33" s="758" t="s">
        <v>314</v>
      </c>
      <c r="Y33" s="758" t="s">
        <v>314</v>
      </c>
      <c r="Z33" s="758" t="s">
        <v>314</v>
      </c>
      <c r="AA33" s="758" t="s">
        <v>314</v>
      </c>
      <c r="AB33" s="758" t="s">
        <v>314</v>
      </c>
      <c r="AC33" s="758" t="s">
        <v>314</v>
      </c>
      <c r="AD33" s="758" t="s">
        <v>314</v>
      </c>
      <c r="AE33" s="758" t="s">
        <v>314</v>
      </c>
      <c r="AF33" s="758" t="s">
        <v>314</v>
      </c>
    </row>
    <row r="34" customFormat="false" ht="23.25" hidden="false" customHeight="true" outlineLevel="0" collapsed="false">
      <c r="A34" s="758" t="s">
        <v>314</v>
      </c>
      <c r="B34" s="758" t="s">
        <v>314</v>
      </c>
      <c r="C34" s="801" t="n">
        <v>0</v>
      </c>
      <c r="D34" s="790" t="n">
        <v>0</v>
      </c>
      <c r="E34" s="790" t="n">
        <v>0.8</v>
      </c>
      <c r="F34" s="790" t="n">
        <v>0</v>
      </c>
      <c r="G34" s="839" t="n">
        <v>0</v>
      </c>
      <c r="H34" s="838" t="n">
        <v>0.8</v>
      </c>
      <c r="I34" s="837" t="n">
        <v>0</v>
      </c>
      <c r="J34" s="833" t="n">
        <f aca="false">SUM(C34:I34)</f>
        <v>1.6</v>
      </c>
      <c r="K34" s="777" t="s">
        <v>314</v>
      </c>
      <c r="L34" s="803" t="s">
        <v>26</v>
      </c>
      <c r="M34" s="758" t="s">
        <v>314</v>
      </c>
      <c r="N34" s="758" t="s">
        <v>314</v>
      </c>
      <c r="O34" s="758" t="s">
        <v>314</v>
      </c>
      <c r="P34" s="758" t="s">
        <v>314</v>
      </c>
      <c r="Q34" s="758" t="s">
        <v>314</v>
      </c>
      <c r="R34" s="758" t="s">
        <v>314</v>
      </c>
      <c r="S34" s="758" t="s">
        <v>314</v>
      </c>
      <c r="T34" s="758" t="s">
        <v>314</v>
      </c>
      <c r="U34" s="758" t="s">
        <v>314</v>
      </c>
      <c r="V34" s="758" t="s">
        <v>314</v>
      </c>
      <c r="W34" s="758" t="s">
        <v>314</v>
      </c>
      <c r="X34" s="758" t="s">
        <v>314</v>
      </c>
      <c r="Y34" s="758" t="s">
        <v>314</v>
      </c>
      <c r="Z34" s="758" t="s">
        <v>314</v>
      </c>
      <c r="AA34" s="758" t="s">
        <v>314</v>
      </c>
      <c r="AB34" s="758" t="s">
        <v>314</v>
      </c>
      <c r="AC34" s="758" t="s">
        <v>314</v>
      </c>
      <c r="AD34" s="758" t="s">
        <v>314</v>
      </c>
      <c r="AE34" s="758" t="s">
        <v>314</v>
      </c>
      <c r="AF34" s="758" t="s">
        <v>314</v>
      </c>
    </row>
    <row r="35" customFormat="false" ht="23.25" hidden="false" customHeight="true" outlineLevel="0" collapsed="false">
      <c r="A35" s="758" t="s">
        <v>314</v>
      </c>
      <c r="B35" s="758" t="s">
        <v>314</v>
      </c>
      <c r="C35" s="806" t="s">
        <v>338</v>
      </c>
      <c r="D35" s="807" t="s">
        <v>339</v>
      </c>
      <c r="E35" s="807" t="s">
        <v>340</v>
      </c>
      <c r="F35" s="807" t="s">
        <v>341</v>
      </c>
      <c r="G35" s="807" t="s">
        <v>342</v>
      </c>
      <c r="H35" s="807" t="s">
        <v>343</v>
      </c>
      <c r="I35" s="834" t="s">
        <v>344</v>
      </c>
      <c r="J35" s="835" t="n">
        <v>75.65</v>
      </c>
      <c r="K35" s="777" t="s">
        <v>314</v>
      </c>
      <c r="L35" s="803" t="s">
        <v>28</v>
      </c>
      <c r="M35" s="758" t="s">
        <v>314</v>
      </c>
      <c r="N35" s="758" t="s">
        <v>314</v>
      </c>
      <c r="O35" s="758" t="s">
        <v>314</v>
      </c>
      <c r="P35" s="758" t="s">
        <v>314</v>
      </c>
      <c r="Q35" s="758" t="s">
        <v>314</v>
      </c>
      <c r="R35" s="758" t="s">
        <v>314</v>
      </c>
      <c r="S35" s="758" t="s">
        <v>314</v>
      </c>
      <c r="T35" s="758" t="s">
        <v>314</v>
      </c>
      <c r="U35" s="758" t="s">
        <v>314</v>
      </c>
      <c r="V35" s="758" t="s">
        <v>314</v>
      </c>
      <c r="W35" s="758" t="s">
        <v>314</v>
      </c>
      <c r="X35" s="758" t="s">
        <v>314</v>
      </c>
      <c r="Y35" s="758" t="s">
        <v>314</v>
      </c>
      <c r="Z35" s="758" t="s">
        <v>314</v>
      </c>
      <c r="AA35" s="758" t="s">
        <v>314</v>
      </c>
      <c r="AB35" s="758" t="s">
        <v>314</v>
      </c>
      <c r="AC35" s="758" t="s">
        <v>314</v>
      </c>
      <c r="AD35" s="758" t="s">
        <v>314</v>
      </c>
      <c r="AE35" s="758" t="s">
        <v>314</v>
      </c>
      <c r="AF35" s="758" t="s">
        <v>314</v>
      </c>
    </row>
    <row r="36" customFormat="false" ht="23.25" hidden="false" customHeight="true" outlineLevel="0" collapsed="false">
      <c r="A36" s="758" t="s">
        <v>314</v>
      </c>
      <c r="B36" s="758" t="s">
        <v>314</v>
      </c>
      <c r="C36" s="779" t="n">
        <v>26</v>
      </c>
      <c r="D36" s="780" t="n">
        <v>27</v>
      </c>
      <c r="E36" s="780" t="n">
        <v>28</v>
      </c>
      <c r="F36" s="780" t="n">
        <v>29</v>
      </c>
      <c r="G36" s="780" t="n">
        <v>30</v>
      </c>
      <c r="H36" s="780" t="n">
        <v>31</v>
      </c>
      <c r="I36" s="780"/>
      <c r="J36" s="813" t="s">
        <v>314</v>
      </c>
      <c r="K36" s="777" t="s">
        <v>314</v>
      </c>
      <c r="L36" s="800" t="s">
        <v>314</v>
      </c>
      <c r="M36" s="758" t="s">
        <v>314</v>
      </c>
      <c r="N36" s="758" t="s">
        <v>314</v>
      </c>
      <c r="O36" s="758" t="s">
        <v>314</v>
      </c>
      <c r="P36" s="758" t="s">
        <v>314</v>
      </c>
      <c r="Q36" s="758" t="s">
        <v>314</v>
      </c>
      <c r="R36" s="758" t="s">
        <v>314</v>
      </c>
      <c r="S36" s="758" t="s">
        <v>314</v>
      </c>
      <c r="T36" s="758" t="s">
        <v>314</v>
      </c>
      <c r="U36" s="758" t="s">
        <v>314</v>
      </c>
      <c r="V36" s="758" t="s">
        <v>314</v>
      </c>
      <c r="W36" s="758" t="s">
        <v>314</v>
      </c>
      <c r="X36" s="758" t="s">
        <v>314</v>
      </c>
      <c r="Y36" s="758" t="s">
        <v>314</v>
      </c>
      <c r="Z36" s="758" t="s">
        <v>314</v>
      </c>
      <c r="AA36" s="758" t="s">
        <v>314</v>
      </c>
      <c r="AB36" s="758" t="s">
        <v>314</v>
      </c>
      <c r="AC36" s="758" t="s">
        <v>314</v>
      </c>
      <c r="AD36" s="758" t="s">
        <v>314</v>
      </c>
      <c r="AE36" s="758" t="s">
        <v>314</v>
      </c>
      <c r="AF36" s="758" t="s">
        <v>314</v>
      </c>
    </row>
    <row r="37" customFormat="false" ht="23.25" hidden="false" customHeight="true" outlineLevel="0" collapsed="false">
      <c r="A37" s="758" t="s">
        <v>314</v>
      </c>
      <c r="B37" s="758" t="s">
        <v>314</v>
      </c>
      <c r="C37" s="840" t="s">
        <v>45</v>
      </c>
      <c r="D37" s="787" t="s">
        <v>216</v>
      </c>
      <c r="E37" s="787" t="s">
        <v>152</v>
      </c>
      <c r="F37" s="787" t="s">
        <v>43</v>
      </c>
      <c r="G37" s="787" t="s">
        <v>209</v>
      </c>
      <c r="H37" s="787" t="s">
        <v>79</v>
      </c>
      <c r="I37" s="836"/>
      <c r="J37" s="813" t="s">
        <v>314</v>
      </c>
      <c r="K37" s="777" t="s">
        <v>314</v>
      </c>
      <c r="L37" s="800" t="s">
        <v>314</v>
      </c>
      <c r="M37" s="758" t="s">
        <v>314</v>
      </c>
      <c r="N37" s="758" t="s">
        <v>314</v>
      </c>
      <c r="O37" s="758" t="s">
        <v>314</v>
      </c>
      <c r="P37" s="758" t="s">
        <v>314</v>
      </c>
      <c r="Q37" s="758" t="s">
        <v>314</v>
      </c>
      <c r="R37" s="758" t="s">
        <v>314</v>
      </c>
      <c r="S37" s="758" t="s">
        <v>314</v>
      </c>
      <c r="T37" s="758" t="s">
        <v>314</v>
      </c>
      <c r="U37" s="758" t="s">
        <v>314</v>
      </c>
      <c r="V37" s="758" t="s">
        <v>314</v>
      </c>
      <c r="W37" s="758" t="s">
        <v>314</v>
      </c>
      <c r="X37" s="758" t="s">
        <v>314</v>
      </c>
      <c r="Y37" s="758" t="s">
        <v>314</v>
      </c>
      <c r="Z37" s="758" t="s">
        <v>314</v>
      </c>
      <c r="AA37" s="758" t="s">
        <v>314</v>
      </c>
      <c r="AB37" s="758" t="s">
        <v>314</v>
      </c>
      <c r="AC37" s="758" t="s">
        <v>314</v>
      </c>
      <c r="AD37" s="758" t="s">
        <v>314</v>
      </c>
      <c r="AE37" s="758" t="s">
        <v>314</v>
      </c>
      <c r="AF37" s="758" t="s">
        <v>314</v>
      </c>
    </row>
    <row r="38" customFormat="false" ht="23.25" hidden="false" customHeight="true" outlineLevel="0" collapsed="false">
      <c r="A38" s="758" t="s">
        <v>314</v>
      </c>
      <c r="B38" s="758" t="s">
        <v>314</v>
      </c>
      <c r="C38" s="826" t="n">
        <v>0.08</v>
      </c>
      <c r="D38" s="791" t="n">
        <v>0.03</v>
      </c>
      <c r="E38" s="791" t="n">
        <v>0</v>
      </c>
      <c r="F38" s="791" t="n">
        <v>0</v>
      </c>
      <c r="G38" s="791" t="n">
        <v>0.03</v>
      </c>
      <c r="H38" s="791" t="n">
        <v>0.08</v>
      </c>
      <c r="I38" s="837"/>
      <c r="J38" s="768" t="s">
        <v>314</v>
      </c>
      <c r="K38" s="777" t="s">
        <v>314</v>
      </c>
      <c r="L38" s="800" t="s">
        <v>314</v>
      </c>
      <c r="M38" s="758" t="s">
        <v>314</v>
      </c>
      <c r="N38" s="758" t="s">
        <v>314</v>
      </c>
      <c r="O38" s="758" t="s">
        <v>314</v>
      </c>
      <c r="P38" s="758" t="s">
        <v>314</v>
      </c>
      <c r="Q38" s="758" t="s">
        <v>314</v>
      </c>
      <c r="R38" s="758" t="s">
        <v>314</v>
      </c>
      <c r="S38" s="758" t="s">
        <v>314</v>
      </c>
      <c r="T38" s="758" t="s">
        <v>314</v>
      </c>
      <c r="U38" s="758" t="s">
        <v>314</v>
      </c>
      <c r="V38" s="758" t="s">
        <v>314</v>
      </c>
      <c r="W38" s="758" t="s">
        <v>314</v>
      </c>
      <c r="X38" s="758" t="s">
        <v>314</v>
      </c>
      <c r="Y38" s="758" t="s">
        <v>314</v>
      </c>
      <c r="Z38" s="758" t="s">
        <v>314</v>
      </c>
      <c r="AA38" s="758" t="s">
        <v>314</v>
      </c>
      <c r="AB38" s="758" t="s">
        <v>314</v>
      </c>
      <c r="AC38" s="758" t="s">
        <v>314</v>
      </c>
      <c r="AD38" s="758" t="s">
        <v>314</v>
      </c>
      <c r="AE38" s="758" t="s">
        <v>314</v>
      </c>
      <c r="AF38" s="758" t="s">
        <v>314</v>
      </c>
    </row>
    <row r="39" customFormat="false" ht="23.25" hidden="false" customHeight="true" outlineLevel="0" collapsed="false">
      <c r="A39" s="758" t="s">
        <v>314</v>
      </c>
      <c r="B39" s="758" t="s">
        <v>314</v>
      </c>
      <c r="C39" s="796" t="s">
        <v>62</v>
      </c>
      <c r="D39" s="797" t="s">
        <v>169</v>
      </c>
      <c r="E39" s="797" t="s">
        <v>40</v>
      </c>
      <c r="F39" s="797" t="s">
        <v>62</v>
      </c>
      <c r="G39" s="797" t="s">
        <v>62</v>
      </c>
      <c r="H39" s="797" t="s">
        <v>169</v>
      </c>
      <c r="I39" s="798"/>
      <c r="J39" s="799" t="s">
        <v>32</v>
      </c>
      <c r="K39" s="777" t="s">
        <v>314</v>
      </c>
      <c r="L39" s="800" t="s">
        <v>314</v>
      </c>
      <c r="M39" s="758" t="s">
        <v>314</v>
      </c>
      <c r="N39" s="758" t="s">
        <v>314</v>
      </c>
      <c r="O39" s="758" t="s">
        <v>314</v>
      </c>
      <c r="P39" s="758" t="s">
        <v>314</v>
      </c>
      <c r="Q39" s="758" t="s">
        <v>314</v>
      </c>
      <c r="R39" s="758" t="s">
        <v>314</v>
      </c>
      <c r="S39" s="758" t="s">
        <v>314</v>
      </c>
      <c r="T39" s="758" t="s">
        <v>314</v>
      </c>
      <c r="U39" s="758" t="s">
        <v>314</v>
      </c>
      <c r="V39" s="758" t="s">
        <v>314</v>
      </c>
      <c r="W39" s="758" t="s">
        <v>314</v>
      </c>
      <c r="X39" s="758" t="s">
        <v>314</v>
      </c>
      <c r="Y39" s="758" t="s">
        <v>314</v>
      </c>
      <c r="Z39" s="758" t="s">
        <v>314</v>
      </c>
      <c r="AA39" s="758" t="s">
        <v>314</v>
      </c>
      <c r="AB39" s="758" t="s">
        <v>314</v>
      </c>
      <c r="AC39" s="758" t="s">
        <v>314</v>
      </c>
      <c r="AD39" s="758" t="s">
        <v>314</v>
      </c>
      <c r="AE39" s="758" t="s">
        <v>314</v>
      </c>
      <c r="AF39" s="758" t="s">
        <v>314</v>
      </c>
    </row>
    <row r="40" customFormat="false" ht="23.25" hidden="false" customHeight="true" outlineLevel="0" collapsed="false">
      <c r="A40" s="758" t="s">
        <v>314</v>
      </c>
      <c r="B40" s="758" t="s">
        <v>314</v>
      </c>
      <c r="C40" s="801" t="s">
        <v>210</v>
      </c>
      <c r="D40" s="790" t="n">
        <v>9.2</v>
      </c>
      <c r="E40" s="790" t="n">
        <v>11.3</v>
      </c>
      <c r="F40" s="790" t="n">
        <v>9</v>
      </c>
      <c r="G40" s="790" t="n">
        <v>4.4</v>
      </c>
      <c r="H40" s="790"/>
      <c r="I40" s="813"/>
      <c r="J40" s="802" t="n">
        <f aca="false">SUM(C40:H40)</f>
        <v>33.9</v>
      </c>
      <c r="K40" s="777" t="s">
        <v>314</v>
      </c>
      <c r="L40" s="803" t="s">
        <v>22</v>
      </c>
      <c r="M40" s="758" t="s">
        <v>314</v>
      </c>
      <c r="N40" s="758" t="s">
        <v>314</v>
      </c>
      <c r="O40" s="758" t="s">
        <v>314</v>
      </c>
      <c r="P40" s="758" t="s">
        <v>314</v>
      </c>
      <c r="Q40" s="758" t="s">
        <v>314</v>
      </c>
      <c r="R40" s="758" t="s">
        <v>314</v>
      </c>
      <c r="S40" s="758" t="s">
        <v>314</v>
      </c>
      <c r="T40" s="758" t="s">
        <v>314</v>
      </c>
      <c r="U40" s="758" t="s">
        <v>314</v>
      </c>
      <c r="V40" s="758" t="s">
        <v>314</v>
      </c>
      <c r="W40" s="758" t="s">
        <v>314</v>
      </c>
      <c r="X40" s="758" t="s">
        <v>314</v>
      </c>
      <c r="Y40" s="758" t="s">
        <v>314</v>
      </c>
      <c r="Z40" s="758" t="s">
        <v>314</v>
      </c>
      <c r="AA40" s="758" t="s">
        <v>314</v>
      </c>
      <c r="AB40" s="758" t="s">
        <v>314</v>
      </c>
      <c r="AC40" s="758" t="s">
        <v>314</v>
      </c>
      <c r="AD40" s="758" t="s">
        <v>314</v>
      </c>
      <c r="AE40" s="758" t="s">
        <v>314</v>
      </c>
      <c r="AF40" s="758" t="s">
        <v>314</v>
      </c>
    </row>
    <row r="41" customFormat="false" ht="23.25" hidden="false" customHeight="true" outlineLevel="0" collapsed="false">
      <c r="A41" s="758" t="s">
        <v>314</v>
      </c>
      <c r="B41" s="758" t="s">
        <v>314</v>
      </c>
      <c r="C41" s="801" t="n">
        <v>0</v>
      </c>
      <c r="D41" s="790" t="n">
        <v>0</v>
      </c>
      <c r="E41" s="790" t="n">
        <v>0.8</v>
      </c>
      <c r="F41" s="790" t="n">
        <v>0.8</v>
      </c>
      <c r="G41" s="790" t="n">
        <v>0</v>
      </c>
      <c r="H41" s="790"/>
      <c r="I41" s="768"/>
      <c r="J41" s="802" t="n">
        <f aca="false">SUM(C41:H41)</f>
        <v>1.6</v>
      </c>
      <c r="K41" s="777" t="s">
        <v>314</v>
      </c>
      <c r="L41" s="803" t="s">
        <v>24</v>
      </c>
      <c r="M41" s="758" t="s">
        <v>314</v>
      </c>
      <c r="N41" s="758" t="s">
        <v>314</v>
      </c>
      <c r="O41" s="758" t="s">
        <v>314</v>
      </c>
      <c r="P41" s="758" t="s">
        <v>314</v>
      </c>
      <c r="Q41" s="758" t="s">
        <v>314</v>
      </c>
      <c r="R41" s="758" t="s">
        <v>314</v>
      </c>
      <c r="S41" s="758" t="s">
        <v>314</v>
      </c>
      <c r="T41" s="758" t="s">
        <v>314</v>
      </c>
      <c r="U41" s="758" t="s">
        <v>314</v>
      </c>
      <c r="V41" s="758" t="s">
        <v>314</v>
      </c>
      <c r="W41" s="758" t="s">
        <v>314</v>
      </c>
      <c r="X41" s="758" t="s">
        <v>314</v>
      </c>
      <c r="Y41" s="758" t="s">
        <v>314</v>
      </c>
      <c r="Z41" s="758" t="s">
        <v>314</v>
      </c>
      <c r="AA41" s="758" t="s">
        <v>314</v>
      </c>
      <c r="AB41" s="758" t="s">
        <v>314</v>
      </c>
      <c r="AC41" s="758" t="s">
        <v>314</v>
      </c>
      <c r="AD41" s="758" t="s">
        <v>314</v>
      </c>
      <c r="AE41" s="758" t="s">
        <v>314</v>
      </c>
      <c r="AF41" s="758" t="s">
        <v>314</v>
      </c>
    </row>
    <row r="42" customFormat="false" ht="23.25" hidden="false" customHeight="true" outlineLevel="0" collapsed="false">
      <c r="A42" s="758" t="s">
        <v>314</v>
      </c>
      <c r="B42" s="758" t="s">
        <v>314</v>
      </c>
      <c r="C42" s="801" t="n">
        <v>0</v>
      </c>
      <c r="D42" s="790" t="n">
        <v>0.8</v>
      </c>
      <c r="E42" s="790" t="n">
        <v>0.8</v>
      </c>
      <c r="F42" s="790" t="n">
        <v>0.8</v>
      </c>
      <c r="G42" s="790" t="n">
        <v>0</v>
      </c>
      <c r="H42" s="790"/>
      <c r="I42" s="768"/>
      <c r="J42" s="841" t="n">
        <f aca="false">SUM(C42:H42)</f>
        <v>2.4</v>
      </c>
      <c r="K42" s="777" t="s">
        <v>314</v>
      </c>
      <c r="L42" s="803" t="s">
        <v>26</v>
      </c>
      <c r="M42" s="758" t="s">
        <v>314</v>
      </c>
      <c r="N42" s="758" t="s">
        <v>314</v>
      </c>
      <c r="O42" s="758" t="s">
        <v>314</v>
      </c>
      <c r="P42" s="758" t="s">
        <v>314</v>
      </c>
      <c r="Q42" s="758" t="s">
        <v>314</v>
      </c>
      <c r="R42" s="758" t="s">
        <v>314</v>
      </c>
      <c r="S42" s="758" t="s">
        <v>314</v>
      </c>
      <c r="T42" s="758" t="s">
        <v>314</v>
      </c>
      <c r="U42" s="758" t="s">
        <v>314</v>
      </c>
      <c r="V42" s="758" t="s">
        <v>314</v>
      </c>
      <c r="W42" s="758" t="s">
        <v>314</v>
      </c>
      <c r="X42" s="758" t="s">
        <v>314</v>
      </c>
      <c r="Y42" s="758" t="s">
        <v>314</v>
      </c>
      <c r="Z42" s="758" t="s">
        <v>314</v>
      </c>
      <c r="AA42" s="758" t="s">
        <v>314</v>
      </c>
      <c r="AB42" s="758" t="s">
        <v>314</v>
      </c>
      <c r="AC42" s="758" t="s">
        <v>314</v>
      </c>
      <c r="AD42" s="758" t="s">
        <v>314</v>
      </c>
      <c r="AE42" s="758" t="s">
        <v>314</v>
      </c>
      <c r="AF42" s="758" t="s">
        <v>314</v>
      </c>
    </row>
    <row r="43" customFormat="false" ht="23.25" hidden="false" customHeight="true" outlineLevel="0" collapsed="false">
      <c r="A43" s="758" t="s">
        <v>314</v>
      </c>
      <c r="B43" s="758" t="s">
        <v>314</v>
      </c>
      <c r="C43" s="842" t="s">
        <v>345</v>
      </c>
      <c r="D43" s="808" t="s">
        <v>346</v>
      </c>
      <c r="E43" s="807" t="s">
        <v>347</v>
      </c>
      <c r="F43" s="807" t="s">
        <v>348</v>
      </c>
      <c r="G43" s="807" t="s">
        <v>349</v>
      </c>
      <c r="H43" s="807" t="s">
        <v>350</v>
      </c>
      <c r="I43" s="834"/>
      <c r="J43" s="835" t="n">
        <v>62.63</v>
      </c>
      <c r="K43" s="777" t="s">
        <v>314</v>
      </c>
      <c r="L43" s="803" t="s">
        <v>28</v>
      </c>
      <c r="M43" s="758" t="s">
        <v>314</v>
      </c>
      <c r="N43" s="758" t="s">
        <v>314</v>
      </c>
      <c r="O43" s="758" t="s">
        <v>314</v>
      </c>
      <c r="P43" s="758" t="s">
        <v>314</v>
      </c>
      <c r="Q43" s="758" t="s">
        <v>314</v>
      </c>
      <c r="R43" s="758" t="s">
        <v>314</v>
      </c>
      <c r="S43" s="758" t="s">
        <v>314</v>
      </c>
      <c r="T43" s="758" t="s">
        <v>314</v>
      </c>
      <c r="U43" s="758" t="s">
        <v>314</v>
      </c>
      <c r="V43" s="758" t="s">
        <v>314</v>
      </c>
      <c r="W43" s="758" t="s">
        <v>314</v>
      </c>
      <c r="X43" s="758" t="s">
        <v>314</v>
      </c>
      <c r="Y43" s="758" t="s">
        <v>314</v>
      </c>
      <c r="Z43" s="758" t="s">
        <v>314</v>
      </c>
      <c r="AA43" s="758" t="s">
        <v>314</v>
      </c>
      <c r="AB43" s="758" t="s">
        <v>314</v>
      </c>
      <c r="AC43" s="758" t="s">
        <v>314</v>
      </c>
      <c r="AD43" s="758" t="s">
        <v>314</v>
      </c>
      <c r="AE43" s="758" t="s">
        <v>314</v>
      </c>
      <c r="AF43" s="758" t="s">
        <v>314</v>
      </c>
    </row>
    <row r="44" customFormat="false" ht="23.25" hidden="false" customHeight="true" outlineLevel="0" collapsed="false">
      <c r="A44" s="758" t="s">
        <v>314</v>
      </c>
      <c r="B44" s="758" t="s">
        <v>314</v>
      </c>
      <c r="C44" s="782" t="s">
        <v>314</v>
      </c>
      <c r="D44" s="823" t="s">
        <v>314</v>
      </c>
      <c r="E44" s="813" t="s">
        <v>314</v>
      </c>
      <c r="F44" s="768" t="s">
        <v>314</v>
      </c>
      <c r="G44" s="768" t="s">
        <v>314</v>
      </c>
      <c r="H44" s="768" t="s">
        <v>314</v>
      </c>
      <c r="I44" s="768" t="s">
        <v>314</v>
      </c>
      <c r="J44" s="768" t="s">
        <v>314</v>
      </c>
      <c r="K44" s="777" t="s">
        <v>314</v>
      </c>
      <c r="L44" s="800" t="s">
        <v>314</v>
      </c>
      <c r="M44" s="758" t="s">
        <v>314</v>
      </c>
      <c r="N44" s="758" t="s">
        <v>314</v>
      </c>
      <c r="O44" s="758" t="s">
        <v>314</v>
      </c>
      <c r="P44" s="758" t="s">
        <v>314</v>
      </c>
      <c r="Q44" s="758" t="s">
        <v>314</v>
      </c>
      <c r="R44" s="758" t="s">
        <v>314</v>
      </c>
      <c r="S44" s="758" t="s">
        <v>314</v>
      </c>
      <c r="T44" s="758" t="s">
        <v>314</v>
      </c>
      <c r="U44" s="758" t="s">
        <v>314</v>
      </c>
      <c r="V44" s="758" t="s">
        <v>314</v>
      </c>
      <c r="W44" s="758" t="s">
        <v>314</v>
      </c>
      <c r="X44" s="758" t="s">
        <v>314</v>
      </c>
      <c r="Y44" s="758" t="s">
        <v>314</v>
      </c>
      <c r="Z44" s="758" t="s">
        <v>314</v>
      </c>
      <c r="AA44" s="758" t="s">
        <v>314</v>
      </c>
      <c r="AB44" s="758" t="s">
        <v>314</v>
      </c>
      <c r="AC44" s="758" t="s">
        <v>314</v>
      </c>
      <c r="AD44" s="758" t="s">
        <v>314</v>
      </c>
      <c r="AE44" s="758" t="s">
        <v>314</v>
      </c>
      <c r="AF44" s="758" t="s">
        <v>314</v>
      </c>
    </row>
    <row r="45" customFormat="false" ht="23.25" hidden="false" customHeight="true" outlineLevel="0" collapsed="false">
      <c r="A45" s="758" t="s">
        <v>314</v>
      </c>
      <c r="B45" s="758" t="s">
        <v>314</v>
      </c>
      <c r="C45" s="796" t="s">
        <v>314</v>
      </c>
      <c r="D45" s="788" t="s">
        <v>314</v>
      </c>
      <c r="E45" s="813" t="s">
        <v>314</v>
      </c>
      <c r="F45" s="768" t="s">
        <v>314</v>
      </c>
      <c r="G45" s="768" t="s">
        <v>314</v>
      </c>
      <c r="H45" s="768" t="s">
        <v>314</v>
      </c>
      <c r="I45" s="768" t="s">
        <v>314</v>
      </c>
      <c r="J45" s="768" t="s">
        <v>314</v>
      </c>
      <c r="K45" s="777" t="s">
        <v>314</v>
      </c>
      <c r="L45" s="758" t="s">
        <v>314</v>
      </c>
      <c r="M45" s="758" t="s">
        <v>314</v>
      </c>
      <c r="N45" s="758" t="s">
        <v>314</v>
      </c>
      <c r="O45" s="758" t="s">
        <v>314</v>
      </c>
      <c r="P45" s="758" t="s">
        <v>314</v>
      </c>
      <c r="Q45" s="758" t="s">
        <v>314</v>
      </c>
      <c r="R45" s="758" t="s">
        <v>314</v>
      </c>
      <c r="S45" s="758" t="s">
        <v>314</v>
      </c>
      <c r="T45" s="758" t="s">
        <v>314</v>
      </c>
      <c r="U45" s="758" t="s">
        <v>314</v>
      </c>
      <c r="V45" s="758" t="s">
        <v>314</v>
      </c>
      <c r="W45" s="758" t="s">
        <v>314</v>
      </c>
      <c r="X45" s="758" t="s">
        <v>314</v>
      </c>
      <c r="Y45" s="758" t="s">
        <v>314</v>
      </c>
      <c r="Z45" s="758" t="s">
        <v>314</v>
      </c>
      <c r="AA45" s="758" t="s">
        <v>314</v>
      </c>
      <c r="AB45" s="758" t="s">
        <v>314</v>
      </c>
      <c r="AC45" s="758" t="s">
        <v>314</v>
      </c>
      <c r="AD45" s="758" t="s">
        <v>314</v>
      </c>
      <c r="AE45" s="758" t="s">
        <v>314</v>
      </c>
      <c r="AF45" s="758" t="s">
        <v>314</v>
      </c>
    </row>
    <row r="46" customFormat="false" ht="23.25" hidden="false" customHeight="true" outlineLevel="0" collapsed="false">
      <c r="A46" s="758" t="s">
        <v>314</v>
      </c>
      <c r="B46" s="758" t="s">
        <v>314</v>
      </c>
      <c r="C46" s="801" t="s">
        <v>314</v>
      </c>
      <c r="D46" s="837" t="s">
        <v>314</v>
      </c>
      <c r="E46" s="768" t="s">
        <v>314</v>
      </c>
      <c r="F46" s="768" t="s">
        <v>314</v>
      </c>
      <c r="G46" s="768" t="s">
        <v>314</v>
      </c>
      <c r="H46" s="768" t="s">
        <v>314</v>
      </c>
      <c r="I46" s="768" t="s">
        <v>314</v>
      </c>
      <c r="J46" s="768" t="s">
        <v>314</v>
      </c>
      <c r="K46" s="777" t="s">
        <v>314</v>
      </c>
      <c r="L46" s="758" t="s">
        <v>314</v>
      </c>
      <c r="M46" s="758" t="s">
        <v>314</v>
      </c>
      <c r="N46" s="758" t="s">
        <v>314</v>
      </c>
      <c r="O46" s="758" t="s">
        <v>314</v>
      </c>
      <c r="P46" s="758" t="s">
        <v>314</v>
      </c>
      <c r="Q46" s="758" t="s">
        <v>314</v>
      </c>
      <c r="R46" s="758" t="s">
        <v>314</v>
      </c>
      <c r="S46" s="758" t="s">
        <v>314</v>
      </c>
      <c r="T46" s="758" t="s">
        <v>314</v>
      </c>
      <c r="U46" s="758" t="s">
        <v>314</v>
      </c>
      <c r="V46" s="758" t="s">
        <v>314</v>
      </c>
      <c r="W46" s="758" t="s">
        <v>314</v>
      </c>
      <c r="X46" s="758" t="s">
        <v>314</v>
      </c>
      <c r="Y46" s="758" t="s">
        <v>314</v>
      </c>
      <c r="Z46" s="758" t="s">
        <v>314</v>
      </c>
      <c r="AA46" s="758" t="s">
        <v>314</v>
      </c>
      <c r="AB46" s="758" t="s">
        <v>314</v>
      </c>
      <c r="AC46" s="758" t="s">
        <v>314</v>
      </c>
      <c r="AD46" s="758" t="s">
        <v>314</v>
      </c>
      <c r="AE46" s="758" t="s">
        <v>314</v>
      </c>
      <c r="AF46" s="758" t="s">
        <v>314</v>
      </c>
    </row>
    <row r="47" customFormat="false" ht="23.25" hidden="false" customHeight="true" outlineLevel="0" collapsed="false">
      <c r="A47" s="758" t="s">
        <v>314</v>
      </c>
      <c r="B47" s="758" t="s">
        <v>314</v>
      </c>
      <c r="C47" s="796" t="s">
        <v>314</v>
      </c>
      <c r="D47" s="788" t="s">
        <v>314</v>
      </c>
      <c r="E47" s="768" t="s">
        <v>314</v>
      </c>
      <c r="F47" s="839" t="s">
        <v>314</v>
      </c>
      <c r="G47" s="768" t="s">
        <v>314</v>
      </c>
      <c r="H47" s="768" t="s">
        <v>314</v>
      </c>
      <c r="I47" s="768" t="s">
        <v>314</v>
      </c>
      <c r="J47" s="799" t="s">
        <v>33</v>
      </c>
      <c r="K47" s="758" t="s">
        <v>314</v>
      </c>
      <c r="L47" s="758" t="s">
        <v>314</v>
      </c>
      <c r="M47" s="758" t="s">
        <v>314</v>
      </c>
      <c r="N47" s="758" t="s">
        <v>314</v>
      </c>
      <c r="O47" s="758" t="s">
        <v>314</v>
      </c>
      <c r="P47" s="758" t="s">
        <v>314</v>
      </c>
      <c r="Q47" s="758" t="s">
        <v>314</v>
      </c>
      <c r="R47" s="758" t="s">
        <v>314</v>
      </c>
      <c r="S47" s="758" t="s">
        <v>314</v>
      </c>
      <c r="T47" s="758" t="s">
        <v>314</v>
      </c>
      <c r="U47" s="758" t="s">
        <v>314</v>
      </c>
      <c r="V47" s="758" t="s">
        <v>314</v>
      </c>
      <c r="W47" s="758" t="s">
        <v>314</v>
      </c>
      <c r="X47" s="758" t="s">
        <v>314</v>
      </c>
      <c r="Y47" s="758" t="s">
        <v>314</v>
      </c>
      <c r="Z47" s="758" t="s">
        <v>314</v>
      </c>
      <c r="AA47" s="758" t="s">
        <v>314</v>
      </c>
      <c r="AB47" s="758" t="s">
        <v>314</v>
      </c>
      <c r="AC47" s="758" t="s">
        <v>314</v>
      </c>
      <c r="AD47" s="758" t="s">
        <v>314</v>
      </c>
      <c r="AE47" s="758" t="s">
        <v>314</v>
      </c>
      <c r="AF47" s="758" t="s">
        <v>314</v>
      </c>
    </row>
    <row r="48" customFormat="false" ht="23.25" hidden="false" customHeight="true" outlineLevel="0" collapsed="false">
      <c r="A48" s="758" t="s">
        <v>314</v>
      </c>
      <c r="B48" s="758" t="s">
        <v>314</v>
      </c>
      <c r="C48" s="843" t="s">
        <v>314</v>
      </c>
      <c r="D48" s="837" t="s">
        <v>314</v>
      </c>
      <c r="E48" s="768" t="s">
        <v>314</v>
      </c>
      <c r="F48" s="839" t="s">
        <v>314</v>
      </c>
      <c r="G48" s="768" t="s">
        <v>314</v>
      </c>
      <c r="H48" s="768" t="s">
        <v>314</v>
      </c>
      <c r="I48" s="768" t="s">
        <v>314</v>
      </c>
      <c r="J48" s="802" t="n">
        <v>0</v>
      </c>
      <c r="K48" s="844" t="s">
        <v>314</v>
      </c>
      <c r="L48" s="803" t="s">
        <v>22</v>
      </c>
      <c r="M48" s="758" t="s">
        <v>314</v>
      </c>
      <c r="N48" s="758" t="s">
        <v>314</v>
      </c>
      <c r="O48" s="758" t="s">
        <v>314</v>
      </c>
      <c r="P48" s="758" t="s">
        <v>314</v>
      </c>
      <c r="Q48" s="758" t="s">
        <v>314</v>
      </c>
      <c r="R48" s="758" t="s">
        <v>314</v>
      </c>
      <c r="S48" s="758" t="s">
        <v>314</v>
      </c>
      <c r="T48" s="758" t="s">
        <v>314</v>
      </c>
      <c r="U48" s="758" t="s">
        <v>314</v>
      </c>
      <c r="V48" s="758" t="s">
        <v>314</v>
      </c>
      <c r="W48" s="758" t="s">
        <v>314</v>
      </c>
      <c r="X48" s="758" t="s">
        <v>314</v>
      </c>
      <c r="Y48" s="758" t="s">
        <v>314</v>
      </c>
      <c r="Z48" s="758" t="s">
        <v>314</v>
      </c>
      <c r="AA48" s="758" t="s">
        <v>314</v>
      </c>
      <c r="AB48" s="758" t="s">
        <v>314</v>
      </c>
      <c r="AC48" s="758" t="s">
        <v>314</v>
      </c>
      <c r="AD48" s="758" t="s">
        <v>314</v>
      </c>
      <c r="AE48" s="758" t="s">
        <v>314</v>
      </c>
      <c r="AF48" s="758" t="s">
        <v>314</v>
      </c>
    </row>
    <row r="49" customFormat="false" ht="23.25" hidden="false" customHeight="true" outlineLevel="0" collapsed="false">
      <c r="A49" s="758" t="s">
        <v>314</v>
      </c>
      <c r="B49" s="758" t="s">
        <v>314</v>
      </c>
      <c r="C49" s="845" t="s">
        <v>314</v>
      </c>
      <c r="D49" s="846" t="s">
        <v>314</v>
      </c>
      <c r="E49" s="777" t="s">
        <v>314</v>
      </c>
      <c r="F49" s="844" t="s">
        <v>314</v>
      </c>
      <c r="G49" s="777" t="s">
        <v>314</v>
      </c>
      <c r="H49" s="777" t="s">
        <v>314</v>
      </c>
      <c r="I49" s="777" t="s">
        <v>314</v>
      </c>
      <c r="J49" s="802" t="n">
        <v>0</v>
      </c>
      <c r="K49" s="844" t="s">
        <v>314</v>
      </c>
      <c r="L49" s="803" t="s">
        <v>24</v>
      </c>
      <c r="M49" s="758" t="s">
        <v>314</v>
      </c>
      <c r="N49" s="758" t="s">
        <v>314</v>
      </c>
      <c r="O49" s="758" t="s">
        <v>314</v>
      </c>
      <c r="P49" s="758" t="s">
        <v>314</v>
      </c>
      <c r="Q49" s="758" t="s">
        <v>314</v>
      </c>
      <c r="R49" s="758" t="s">
        <v>314</v>
      </c>
      <c r="S49" s="758" t="s">
        <v>314</v>
      </c>
      <c r="T49" s="758" t="s">
        <v>314</v>
      </c>
      <c r="U49" s="758" t="s">
        <v>314</v>
      </c>
      <c r="V49" s="758" t="s">
        <v>314</v>
      </c>
      <c r="W49" s="758" t="s">
        <v>314</v>
      </c>
      <c r="X49" s="758" t="s">
        <v>314</v>
      </c>
      <c r="Y49" s="758" t="s">
        <v>314</v>
      </c>
      <c r="Z49" s="758" t="s">
        <v>314</v>
      </c>
      <c r="AA49" s="758" t="s">
        <v>314</v>
      </c>
      <c r="AB49" s="758" t="s">
        <v>314</v>
      </c>
      <c r="AC49" s="758" t="s">
        <v>314</v>
      </c>
      <c r="AD49" s="758" t="s">
        <v>314</v>
      </c>
      <c r="AE49" s="758" t="s">
        <v>314</v>
      </c>
      <c r="AF49" s="758" t="s">
        <v>314</v>
      </c>
    </row>
    <row r="50" customFormat="false" ht="23.25" hidden="false" customHeight="true" outlineLevel="0" collapsed="false">
      <c r="A50" s="758" t="s">
        <v>314</v>
      </c>
      <c r="B50" s="758" t="s">
        <v>314</v>
      </c>
      <c r="C50" s="845" t="s">
        <v>314</v>
      </c>
      <c r="D50" s="846" t="s">
        <v>314</v>
      </c>
      <c r="E50" s="777" t="s">
        <v>314</v>
      </c>
      <c r="F50" s="844" t="s">
        <v>314</v>
      </c>
      <c r="G50" s="777" t="s">
        <v>314</v>
      </c>
      <c r="H50" s="777" t="s">
        <v>314</v>
      </c>
      <c r="I50" s="777" t="s">
        <v>314</v>
      </c>
      <c r="J50" s="804" t="n">
        <v>0</v>
      </c>
      <c r="K50" s="844" t="s">
        <v>314</v>
      </c>
      <c r="L50" s="803" t="s">
        <v>26</v>
      </c>
      <c r="M50" s="758" t="s">
        <v>314</v>
      </c>
      <c r="N50" s="758" t="s">
        <v>314</v>
      </c>
      <c r="O50" s="758" t="s">
        <v>314</v>
      </c>
      <c r="P50" s="758" t="s">
        <v>314</v>
      </c>
      <c r="Q50" s="758" t="s">
        <v>314</v>
      </c>
      <c r="R50" s="758" t="s">
        <v>314</v>
      </c>
      <c r="S50" s="758" t="s">
        <v>314</v>
      </c>
      <c r="T50" s="758" t="s">
        <v>314</v>
      </c>
      <c r="U50" s="758" t="s">
        <v>314</v>
      </c>
      <c r="V50" s="758" t="s">
        <v>314</v>
      </c>
      <c r="W50" s="758" t="s">
        <v>314</v>
      </c>
      <c r="X50" s="758" t="s">
        <v>314</v>
      </c>
      <c r="Y50" s="758" t="s">
        <v>314</v>
      </c>
      <c r="Z50" s="758" t="s">
        <v>314</v>
      </c>
      <c r="AA50" s="758" t="s">
        <v>314</v>
      </c>
      <c r="AB50" s="758" t="s">
        <v>314</v>
      </c>
      <c r="AC50" s="758" t="s">
        <v>314</v>
      </c>
      <c r="AD50" s="758" t="s">
        <v>314</v>
      </c>
      <c r="AE50" s="758" t="s">
        <v>314</v>
      </c>
      <c r="AF50" s="758" t="s">
        <v>314</v>
      </c>
    </row>
    <row r="51" customFormat="false" ht="23.25" hidden="false" customHeight="true" outlineLevel="0" collapsed="false">
      <c r="A51" s="758" t="s">
        <v>314</v>
      </c>
      <c r="B51" s="758" t="s">
        <v>314</v>
      </c>
      <c r="C51" s="847" t="s">
        <v>314</v>
      </c>
      <c r="D51" s="848" t="s">
        <v>314</v>
      </c>
      <c r="E51" s="844" t="s">
        <v>314</v>
      </c>
      <c r="F51" s="844" t="s">
        <v>314</v>
      </c>
      <c r="G51" s="777" t="s">
        <v>314</v>
      </c>
      <c r="H51" s="777" t="s">
        <v>314</v>
      </c>
      <c r="I51" s="777" t="s">
        <v>314</v>
      </c>
      <c r="J51" s="804" t="s">
        <v>314</v>
      </c>
      <c r="K51" s="844" t="s">
        <v>314</v>
      </c>
      <c r="L51" s="803" t="s">
        <v>28</v>
      </c>
      <c r="M51" s="758" t="s">
        <v>314</v>
      </c>
      <c r="N51" s="758" t="s">
        <v>314</v>
      </c>
      <c r="O51" s="758" t="s">
        <v>314</v>
      </c>
      <c r="P51" s="758" t="s">
        <v>314</v>
      </c>
      <c r="Q51" s="758" t="s">
        <v>314</v>
      </c>
      <c r="R51" s="758" t="s">
        <v>314</v>
      </c>
      <c r="S51" s="758" t="s">
        <v>314</v>
      </c>
      <c r="T51" s="758" t="s">
        <v>314</v>
      </c>
      <c r="U51" s="758" t="s">
        <v>314</v>
      </c>
      <c r="V51" s="758" t="s">
        <v>314</v>
      </c>
      <c r="W51" s="758" t="s">
        <v>314</v>
      </c>
      <c r="X51" s="758" t="s">
        <v>314</v>
      </c>
      <c r="Y51" s="758" t="s">
        <v>314</v>
      </c>
      <c r="Z51" s="758" t="s">
        <v>314</v>
      </c>
      <c r="AA51" s="758" t="s">
        <v>314</v>
      </c>
      <c r="AB51" s="758" t="s">
        <v>314</v>
      </c>
      <c r="AC51" s="758" t="s">
        <v>314</v>
      </c>
      <c r="AD51" s="758" t="s">
        <v>314</v>
      </c>
      <c r="AE51" s="758" t="s">
        <v>314</v>
      </c>
      <c r="AF51" s="758" t="s">
        <v>314</v>
      </c>
    </row>
    <row r="52" customFormat="false" ht="23.25" hidden="false" customHeight="true" outlineLevel="0" collapsed="false">
      <c r="A52" s="758" t="s">
        <v>314</v>
      </c>
      <c r="B52" s="758" t="s">
        <v>314</v>
      </c>
      <c r="C52" s="777" t="s">
        <v>314</v>
      </c>
      <c r="D52" s="777" t="s">
        <v>314</v>
      </c>
      <c r="E52" s="777" t="s">
        <v>314</v>
      </c>
      <c r="F52" s="777" t="s">
        <v>314</v>
      </c>
      <c r="G52" s="777" t="s">
        <v>314</v>
      </c>
      <c r="H52" s="777" t="s">
        <v>314</v>
      </c>
      <c r="I52" s="777" t="s">
        <v>314</v>
      </c>
      <c r="J52" s="777" t="s">
        <v>314</v>
      </c>
      <c r="K52" s="777" t="s">
        <v>314</v>
      </c>
      <c r="L52" s="758" t="s">
        <v>314</v>
      </c>
      <c r="M52" s="758" t="s">
        <v>314</v>
      </c>
      <c r="N52" s="758" t="s">
        <v>314</v>
      </c>
      <c r="O52" s="758" t="s">
        <v>314</v>
      </c>
      <c r="P52" s="758" t="s">
        <v>314</v>
      </c>
      <c r="Q52" s="758" t="s">
        <v>314</v>
      </c>
      <c r="R52" s="758" t="s">
        <v>314</v>
      </c>
      <c r="S52" s="758" t="s">
        <v>314</v>
      </c>
      <c r="T52" s="758" t="s">
        <v>314</v>
      </c>
      <c r="U52" s="758" t="s">
        <v>314</v>
      </c>
      <c r="V52" s="758" t="s">
        <v>314</v>
      </c>
      <c r="W52" s="758" t="s">
        <v>314</v>
      </c>
      <c r="X52" s="758" t="s">
        <v>314</v>
      </c>
      <c r="Y52" s="758" t="s">
        <v>314</v>
      </c>
      <c r="Z52" s="758" t="s">
        <v>314</v>
      </c>
      <c r="AA52" s="758" t="s">
        <v>314</v>
      </c>
      <c r="AB52" s="758" t="s">
        <v>314</v>
      </c>
      <c r="AC52" s="758" t="s">
        <v>314</v>
      </c>
      <c r="AD52" s="758" t="s">
        <v>314</v>
      </c>
      <c r="AE52" s="758" t="s">
        <v>314</v>
      </c>
      <c r="AF52" s="758" t="s">
        <v>314</v>
      </c>
    </row>
    <row r="53" customFormat="false" ht="22.5" hidden="false" customHeight="true" outlineLevel="0" collapsed="false">
      <c r="A53" s="758" t="s">
        <v>314</v>
      </c>
      <c r="B53" s="758" t="s">
        <v>314</v>
      </c>
      <c r="C53" s="758" t="s">
        <v>314</v>
      </c>
      <c r="D53" s="758" t="s">
        <v>314</v>
      </c>
      <c r="E53" s="758" t="s">
        <v>314</v>
      </c>
      <c r="F53" s="758" t="s">
        <v>314</v>
      </c>
      <c r="G53" s="758" t="s">
        <v>314</v>
      </c>
      <c r="H53" s="758" t="s">
        <v>314</v>
      </c>
      <c r="I53" s="758" t="s">
        <v>314</v>
      </c>
      <c r="J53" s="758" t="s">
        <v>314</v>
      </c>
      <c r="K53" s="758" t="s">
        <v>314</v>
      </c>
      <c r="L53" s="758" t="s">
        <v>314</v>
      </c>
      <c r="M53" s="758" t="s">
        <v>314</v>
      </c>
      <c r="N53" s="758" t="s">
        <v>314</v>
      </c>
      <c r="O53" s="758" t="s">
        <v>314</v>
      </c>
      <c r="P53" s="758" t="s">
        <v>314</v>
      </c>
      <c r="Q53" s="758" t="s">
        <v>314</v>
      </c>
      <c r="R53" s="758" t="s">
        <v>314</v>
      </c>
      <c r="S53" s="758" t="s">
        <v>314</v>
      </c>
      <c r="T53" s="758" t="s">
        <v>314</v>
      </c>
      <c r="U53" s="758" t="s">
        <v>314</v>
      </c>
      <c r="V53" s="758" t="s">
        <v>314</v>
      </c>
      <c r="W53" s="758" t="s">
        <v>314</v>
      </c>
      <c r="X53" s="758" t="s">
        <v>314</v>
      </c>
      <c r="Y53" s="758" t="s">
        <v>314</v>
      </c>
      <c r="Z53" s="758" t="s">
        <v>314</v>
      </c>
      <c r="AA53" s="758" t="s">
        <v>314</v>
      </c>
      <c r="AB53" s="758" t="s">
        <v>314</v>
      </c>
      <c r="AC53" s="758" t="s">
        <v>314</v>
      </c>
      <c r="AD53" s="758" t="s">
        <v>314</v>
      </c>
      <c r="AE53" s="758" t="s">
        <v>314</v>
      </c>
      <c r="AF53" s="758" t="s">
        <v>314</v>
      </c>
    </row>
    <row r="54" customFormat="false" ht="16.5" hidden="false" customHeight="false" outlineLevel="0" collapsed="false">
      <c r="A54" s="758" t="s">
        <v>314</v>
      </c>
      <c r="B54" s="758" t="s">
        <v>314</v>
      </c>
      <c r="C54" s="758" t="s">
        <v>314</v>
      </c>
      <c r="D54" s="758" t="s">
        <v>314</v>
      </c>
      <c r="E54" s="758" t="s">
        <v>314</v>
      </c>
      <c r="F54" s="758" t="s">
        <v>314</v>
      </c>
      <c r="G54" s="758" t="s">
        <v>314</v>
      </c>
      <c r="H54" s="758" t="s">
        <v>314</v>
      </c>
      <c r="I54" s="758" t="s">
        <v>314</v>
      </c>
      <c r="J54" s="758" t="s">
        <v>314</v>
      </c>
      <c r="K54" s="758" t="s">
        <v>314</v>
      </c>
      <c r="L54" s="758" t="s">
        <v>314</v>
      </c>
      <c r="M54" s="758" t="s">
        <v>314</v>
      </c>
      <c r="N54" s="758" t="s">
        <v>314</v>
      </c>
      <c r="O54" s="758" t="s">
        <v>314</v>
      </c>
      <c r="P54" s="758" t="s">
        <v>314</v>
      </c>
      <c r="Q54" s="758" t="s">
        <v>314</v>
      </c>
      <c r="R54" s="758" t="s">
        <v>314</v>
      </c>
      <c r="S54" s="758" t="s">
        <v>314</v>
      </c>
      <c r="T54" s="758" t="s">
        <v>314</v>
      </c>
      <c r="U54" s="758" t="s">
        <v>314</v>
      </c>
      <c r="V54" s="758" t="s">
        <v>314</v>
      </c>
      <c r="W54" s="758" t="s">
        <v>314</v>
      </c>
      <c r="X54" s="758" t="s">
        <v>314</v>
      </c>
      <c r="Y54" s="758" t="s">
        <v>314</v>
      </c>
      <c r="Z54" s="758" t="s">
        <v>314</v>
      </c>
      <c r="AA54" s="758" t="s">
        <v>314</v>
      </c>
      <c r="AB54" s="758" t="s">
        <v>314</v>
      </c>
      <c r="AC54" s="758" t="s">
        <v>314</v>
      </c>
      <c r="AD54" s="758" t="s">
        <v>314</v>
      </c>
      <c r="AE54" s="758" t="s">
        <v>314</v>
      </c>
      <c r="AF54" s="758" t="s">
        <v>314</v>
      </c>
    </row>
    <row r="55" customFormat="false" ht="16.5" hidden="false" customHeight="false" outlineLevel="0" collapsed="false">
      <c r="A55" s="758" t="s">
        <v>314</v>
      </c>
      <c r="B55" s="758" t="s">
        <v>314</v>
      </c>
      <c r="C55" s="758" t="s">
        <v>314</v>
      </c>
      <c r="D55" s="758" t="s">
        <v>314</v>
      </c>
      <c r="E55" s="758" t="s">
        <v>314</v>
      </c>
      <c r="F55" s="758" t="s">
        <v>314</v>
      </c>
      <c r="G55" s="758" t="s">
        <v>314</v>
      </c>
      <c r="H55" s="758" t="s">
        <v>314</v>
      </c>
      <c r="I55" s="758" t="s">
        <v>314</v>
      </c>
      <c r="J55" s="758" t="s">
        <v>314</v>
      </c>
      <c r="K55" s="758" t="s">
        <v>314</v>
      </c>
      <c r="L55" s="758" t="s">
        <v>314</v>
      </c>
      <c r="M55" s="758" t="s">
        <v>314</v>
      </c>
      <c r="N55" s="758" t="s">
        <v>314</v>
      </c>
      <c r="O55" s="758" t="s">
        <v>314</v>
      </c>
      <c r="P55" s="758" t="s">
        <v>314</v>
      </c>
      <c r="Q55" s="758" t="s">
        <v>314</v>
      </c>
      <c r="R55" s="758" t="s">
        <v>314</v>
      </c>
      <c r="S55" s="758" t="s">
        <v>314</v>
      </c>
      <c r="T55" s="758" t="s">
        <v>314</v>
      </c>
      <c r="U55" s="758" t="s">
        <v>314</v>
      </c>
      <c r="V55" s="758" t="s">
        <v>314</v>
      </c>
      <c r="W55" s="758" t="s">
        <v>314</v>
      </c>
      <c r="X55" s="758" t="s">
        <v>314</v>
      </c>
      <c r="Y55" s="758" t="s">
        <v>314</v>
      </c>
      <c r="Z55" s="758" t="s">
        <v>314</v>
      </c>
      <c r="AA55" s="758" t="s">
        <v>314</v>
      </c>
      <c r="AB55" s="758" t="s">
        <v>314</v>
      </c>
      <c r="AC55" s="758" t="s">
        <v>314</v>
      </c>
      <c r="AD55" s="758" t="s">
        <v>314</v>
      </c>
      <c r="AE55" s="758" t="s">
        <v>314</v>
      </c>
      <c r="AF55" s="758" t="s">
        <v>314</v>
      </c>
    </row>
    <row r="56" customFormat="false" ht="16.5" hidden="false" customHeight="false" outlineLevel="0" collapsed="false">
      <c r="A56" s="758" t="s">
        <v>314</v>
      </c>
      <c r="B56" s="758" t="s">
        <v>314</v>
      </c>
      <c r="C56" s="758" t="s">
        <v>314</v>
      </c>
      <c r="D56" s="758" t="s">
        <v>314</v>
      </c>
      <c r="E56" s="758" t="s">
        <v>314</v>
      </c>
      <c r="F56" s="758" t="s">
        <v>314</v>
      </c>
      <c r="G56" s="758" t="s">
        <v>314</v>
      </c>
      <c r="H56" s="758" t="s">
        <v>314</v>
      </c>
      <c r="I56" s="758" t="s">
        <v>314</v>
      </c>
      <c r="J56" s="758" t="s">
        <v>314</v>
      </c>
      <c r="K56" s="758" t="s">
        <v>314</v>
      </c>
      <c r="L56" s="758" t="s">
        <v>314</v>
      </c>
      <c r="M56" s="758" t="s">
        <v>314</v>
      </c>
      <c r="N56" s="758" t="s">
        <v>314</v>
      </c>
      <c r="O56" s="758" t="s">
        <v>314</v>
      </c>
      <c r="P56" s="758" t="s">
        <v>314</v>
      </c>
      <c r="Q56" s="758" t="s">
        <v>314</v>
      </c>
      <c r="R56" s="758" t="s">
        <v>314</v>
      </c>
      <c r="S56" s="758" t="s">
        <v>314</v>
      </c>
      <c r="T56" s="758" t="s">
        <v>314</v>
      </c>
      <c r="U56" s="758" t="s">
        <v>314</v>
      </c>
      <c r="V56" s="758" t="s">
        <v>314</v>
      </c>
      <c r="W56" s="758" t="s">
        <v>314</v>
      </c>
      <c r="X56" s="758" t="s">
        <v>314</v>
      </c>
      <c r="Y56" s="758" t="s">
        <v>314</v>
      </c>
      <c r="Z56" s="758" t="s">
        <v>314</v>
      </c>
      <c r="AA56" s="758" t="s">
        <v>314</v>
      </c>
      <c r="AB56" s="758" t="s">
        <v>314</v>
      </c>
      <c r="AC56" s="758" t="s">
        <v>314</v>
      </c>
      <c r="AD56" s="758" t="s">
        <v>314</v>
      </c>
      <c r="AE56" s="758" t="s">
        <v>314</v>
      </c>
      <c r="AF56" s="758" t="s">
        <v>314</v>
      </c>
    </row>
    <row r="57" customFormat="false" ht="16.5" hidden="false" customHeight="false" outlineLevel="0" collapsed="false">
      <c r="A57" s="758" t="s">
        <v>314</v>
      </c>
      <c r="B57" s="758" t="s">
        <v>314</v>
      </c>
      <c r="C57" s="758" t="s">
        <v>314</v>
      </c>
      <c r="D57" s="758" t="s">
        <v>314</v>
      </c>
      <c r="E57" s="758" t="s">
        <v>314</v>
      </c>
      <c r="F57" s="758" t="s">
        <v>314</v>
      </c>
      <c r="G57" s="758" t="s">
        <v>314</v>
      </c>
      <c r="H57" s="758" t="s">
        <v>314</v>
      </c>
      <c r="I57" s="758" t="s">
        <v>314</v>
      </c>
      <c r="J57" s="758" t="s">
        <v>314</v>
      </c>
      <c r="K57" s="758" t="s">
        <v>314</v>
      </c>
      <c r="L57" s="758" t="s">
        <v>314</v>
      </c>
      <c r="M57" s="758" t="s">
        <v>314</v>
      </c>
      <c r="N57" s="758" t="s">
        <v>314</v>
      </c>
      <c r="O57" s="758" t="s">
        <v>314</v>
      </c>
      <c r="P57" s="758" t="s">
        <v>314</v>
      </c>
      <c r="Q57" s="758" t="s">
        <v>314</v>
      </c>
      <c r="R57" s="758" t="s">
        <v>314</v>
      </c>
      <c r="S57" s="758" t="s">
        <v>314</v>
      </c>
      <c r="T57" s="758" t="s">
        <v>314</v>
      </c>
      <c r="U57" s="758" t="s">
        <v>314</v>
      </c>
      <c r="V57" s="758" t="s">
        <v>314</v>
      </c>
      <c r="W57" s="758" t="s">
        <v>314</v>
      </c>
      <c r="X57" s="758" t="s">
        <v>314</v>
      </c>
      <c r="Y57" s="758" t="s">
        <v>314</v>
      </c>
      <c r="Z57" s="758" t="s">
        <v>314</v>
      </c>
      <c r="AA57" s="758" t="s">
        <v>314</v>
      </c>
      <c r="AB57" s="758" t="s">
        <v>314</v>
      </c>
      <c r="AC57" s="758" t="s">
        <v>314</v>
      </c>
      <c r="AD57" s="758" t="s">
        <v>314</v>
      </c>
      <c r="AE57" s="758" t="s">
        <v>314</v>
      </c>
      <c r="AF57" s="758" t="s">
        <v>314</v>
      </c>
    </row>
    <row r="58" customFormat="false" ht="16.5" hidden="false" customHeight="false" outlineLevel="0" collapsed="false">
      <c r="A58" s="758" t="s">
        <v>314</v>
      </c>
      <c r="B58" s="758" t="s">
        <v>314</v>
      </c>
      <c r="C58" s="758" t="s">
        <v>314</v>
      </c>
      <c r="D58" s="758" t="s">
        <v>314</v>
      </c>
      <c r="E58" s="758" t="s">
        <v>314</v>
      </c>
      <c r="F58" s="758" t="s">
        <v>314</v>
      </c>
      <c r="G58" s="758" t="s">
        <v>314</v>
      </c>
      <c r="H58" s="758" t="s">
        <v>314</v>
      </c>
      <c r="I58" s="758" t="s">
        <v>314</v>
      </c>
      <c r="J58" s="758" t="s">
        <v>314</v>
      </c>
      <c r="K58" s="758" t="s">
        <v>314</v>
      </c>
      <c r="L58" s="758" t="s">
        <v>314</v>
      </c>
      <c r="M58" s="758" t="s">
        <v>314</v>
      </c>
      <c r="N58" s="758" t="s">
        <v>314</v>
      </c>
      <c r="O58" s="758" t="s">
        <v>314</v>
      </c>
      <c r="P58" s="758" t="s">
        <v>314</v>
      </c>
      <c r="Q58" s="758" t="s">
        <v>314</v>
      </c>
      <c r="R58" s="758" t="s">
        <v>314</v>
      </c>
      <c r="S58" s="758" t="s">
        <v>314</v>
      </c>
      <c r="T58" s="758" t="s">
        <v>314</v>
      </c>
      <c r="U58" s="758" t="s">
        <v>314</v>
      </c>
      <c r="V58" s="758" t="s">
        <v>314</v>
      </c>
      <c r="W58" s="758" t="s">
        <v>314</v>
      </c>
      <c r="X58" s="758" t="s">
        <v>314</v>
      </c>
      <c r="Y58" s="758" t="s">
        <v>314</v>
      </c>
      <c r="Z58" s="758" t="s">
        <v>314</v>
      </c>
      <c r="AA58" s="758" t="s">
        <v>314</v>
      </c>
      <c r="AB58" s="758" t="s">
        <v>314</v>
      </c>
      <c r="AC58" s="758" t="s">
        <v>314</v>
      </c>
      <c r="AD58" s="758" t="s">
        <v>314</v>
      </c>
      <c r="AE58" s="758" t="s">
        <v>314</v>
      </c>
      <c r="AF58" s="758" t="s">
        <v>314</v>
      </c>
    </row>
    <row r="59" customFormat="false" ht="16.5" hidden="false" customHeight="false" outlineLevel="0" collapsed="false">
      <c r="A59" s="758" t="s">
        <v>314</v>
      </c>
      <c r="B59" s="758" t="s">
        <v>314</v>
      </c>
      <c r="C59" s="758" t="s">
        <v>314</v>
      </c>
      <c r="D59" s="758" t="s">
        <v>314</v>
      </c>
      <c r="E59" s="758" t="s">
        <v>314</v>
      </c>
      <c r="F59" s="758" t="s">
        <v>314</v>
      </c>
      <c r="G59" s="758" t="s">
        <v>314</v>
      </c>
      <c r="H59" s="758" t="s">
        <v>314</v>
      </c>
      <c r="I59" s="758" t="s">
        <v>314</v>
      </c>
      <c r="J59" s="758" t="s">
        <v>314</v>
      </c>
      <c r="K59" s="758" t="s">
        <v>314</v>
      </c>
      <c r="L59" s="758" t="s">
        <v>314</v>
      </c>
      <c r="M59" s="758" t="s">
        <v>314</v>
      </c>
      <c r="N59" s="758" t="s">
        <v>314</v>
      </c>
      <c r="O59" s="758" t="s">
        <v>314</v>
      </c>
      <c r="P59" s="758" t="s">
        <v>314</v>
      </c>
      <c r="Q59" s="758" t="s">
        <v>314</v>
      </c>
      <c r="R59" s="758" t="s">
        <v>314</v>
      </c>
      <c r="S59" s="758" t="s">
        <v>314</v>
      </c>
      <c r="T59" s="758" t="s">
        <v>314</v>
      </c>
      <c r="U59" s="758" t="s">
        <v>314</v>
      </c>
      <c r="V59" s="758" t="s">
        <v>314</v>
      </c>
      <c r="W59" s="758" t="s">
        <v>314</v>
      </c>
      <c r="X59" s="758" t="s">
        <v>314</v>
      </c>
      <c r="Y59" s="758" t="s">
        <v>314</v>
      </c>
      <c r="Z59" s="758" t="s">
        <v>314</v>
      </c>
      <c r="AA59" s="758" t="s">
        <v>314</v>
      </c>
      <c r="AB59" s="758" t="s">
        <v>314</v>
      </c>
      <c r="AC59" s="758" t="s">
        <v>314</v>
      </c>
      <c r="AD59" s="758" t="s">
        <v>314</v>
      </c>
      <c r="AE59" s="758" t="s">
        <v>314</v>
      </c>
      <c r="AF59" s="758" t="s">
        <v>314</v>
      </c>
    </row>
    <row r="60" customFormat="false" ht="16.5" hidden="false" customHeight="false" outlineLevel="0" collapsed="false">
      <c r="A60" s="758" t="s">
        <v>314</v>
      </c>
      <c r="B60" s="758" t="s">
        <v>314</v>
      </c>
      <c r="C60" s="758" t="s">
        <v>314</v>
      </c>
      <c r="D60" s="758" t="s">
        <v>314</v>
      </c>
      <c r="E60" s="758" t="s">
        <v>314</v>
      </c>
      <c r="F60" s="758" t="s">
        <v>314</v>
      </c>
      <c r="G60" s="758" t="s">
        <v>314</v>
      </c>
      <c r="H60" s="758" t="s">
        <v>314</v>
      </c>
      <c r="I60" s="758" t="s">
        <v>314</v>
      </c>
      <c r="J60" s="758" t="s">
        <v>314</v>
      </c>
      <c r="K60" s="758" t="s">
        <v>314</v>
      </c>
      <c r="L60" s="758" t="s">
        <v>314</v>
      </c>
      <c r="M60" s="758" t="s">
        <v>314</v>
      </c>
      <c r="N60" s="758" t="s">
        <v>314</v>
      </c>
      <c r="O60" s="758" t="s">
        <v>314</v>
      </c>
      <c r="P60" s="758" t="s">
        <v>314</v>
      </c>
      <c r="Q60" s="758" t="s">
        <v>314</v>
      </c>
      <c r="R60" s="758" t="s">
        <v>314</v>
      </c>
      <c r="S60" s="758" t="s">
        <v>314</v>
      </c>
      <c r="T60" s="758" t="s">
        <v>314</v>
      </c>
      <c r="U60" s="758" t="s">
        <v>314</v>
      </c>
      <c r="V60" s="758" t="s">
        <v>314</v>
      </c>
      <c r="W60" s="758" t="s">
        <v>314</v>
      </c>
      <c r="X60" s="758" t="s">
        <v>314</v>
      </c>
      <c r="Y60" s="758" t="s">
        <v>314</v>
      </c>
      <c r="Z60" s="758" t="s">
        <v>314</v>
      </c>
      <c r="AA60" s="758" t="s">
        <v>314</v>
      </c>
      <c r="AB60" s="758" t="s">
        <v>314</v>
      </c>
      <c r="AC60" s="758" t="s">
        <v>314</v>
      </c>
      <c r="AD60" s="758" t="s">
        <v>314</v>
      </c>
      <c r="AE60" s="758" t="s">
        <v>314</v>
      </c>
      <c r="AF60" s="758" t="s">
        <v>314</v>
      </c>
    </row>
    <row r="61" customFormat="false" ht="16.5" hidden="false" customHeight="false" outlineLevel="0" collapsed="false">
      <c r="A61" s="758" t="s">
        <v>314</v>
      </c>
      <c r="B61" s="758" t="s">
        <v>314</v>
      </c>
      <c r="C61" s="758" t="s">
        <v>314</v>
      </c>
      <c r="D61" s="758" t="s">
        <v>314</v>
      </c>
      <c r="E61" s="758" t="s">
        <v>314</v>
      </c>
      <c r="F61" s="758" t="s">
        <v>314</v>
      </c>
      <c r="G61" s="758" t="s">
        <v>314</v>
      </c>
      <c r="H61" s="758" t="s">
        <v>314</v>
      </c>
      <c r="I61" s="758" t="s">
        <v>314</v>
      </c>
      <c r="J61" s="758" t="s">
        <v>314</v>
      </c>
      <c r="K61" s="758" t="s">
        <v>314</v>
      </c>
      <c r="L61" s="758" t="s">
        <v>314</v>
      </c>
      <c r="M61" s="758" t="s">
        <v>314</v>
      </c>
      <c r="N61" s="758" t="s">
        <v>314</v>
      </c>
      <c r="O61" s="758" t="s">
        <v>314</v>
      </c>
      <c r="P61" s="758" t="s">
        <v>314</v>
      </c>
      <c r="Q61" s="758" t="s">
        <v>314</v>
      </c>
      <c r="R61" s="758" t="s">
        <v>314</v>
      </c>
      <c r="S61" s="758" t="s">
        <v>314</v>
      </c>
      <c r="T61" s="758" t="s">
        <v>314</v>
      </c>
      <c r="U61" s="758" t="s">
        <v>314</v>
      </c>
      <c r="V61" s="758" t="s">
        <v>314</v>
      </c>
      <c r="W61" s="758" t="s">
        <v>314</v>
      </c>
      <c r="X61" s="758" t="s">
        <v>314</v>
      </c>
      <c r="Y61" s="758" t="s">
        <v>314</v>
      </c>
      <c r="Z61" s="758" t="s">
        <v>314</v>
      </c>
      <c r="AA61" s="758" t="s">
        <v>314</v>
      </c>
      <c r="AB61" s="758" t="s">
        <v>314</v>
      </c>
      <c r="AC61" s="758" t="s">
        <v>314</v>
      </c>
      <c r="AD61" s="758" t="s">
        <v>314</v>
      </c>
      <c r="AE61" s="758" t="s">
        <v>314</v>
      </c>
      <c r="AF61" s="758" t="s">
        <v>314</v>
      </c>
    </row>
    <row r="62" customFormat="false" ht="16.5" hidden="false" customHeight="false" outlineLevel="0" collapsed="false">
      <c r="A62" s="758" t="s">
        <v>314</v>
      </c>
      <c r="B62" s="758" t="s">
        <v>314</v>
      </c>
      <c r="C62" s="758" t="s">
        <v>314</v>
      </c>
      <c r="D62" s="758" t="s">
        <v>314</v>
      </c>
      <c r="E62" s="758" t="s">
        <v>314</v>
      </c>
      <c r="F62" s="758" t="s">
        <v>314</v>
      </c>
      <c r="G62" s="758" t="s">
        <v>314</v>
      </c>
      <c r="H62" s="758" t="s">
        <v>314</v>
      </c>
      <c r="I62" s="758" t="s">
        <v>314</v>
      </c>
      <c r="J62" s="758" t="s">
        <v>314</v>
      </c>
      <c r="K62" s="758" t="s">
        <v>314</v>
      </c>
      <c r="L62" s="758" t="s">
        <v>314</v>
      </c>
      <c r="M62" s="758" t="s">
        <v>314</v>
      </c>
      <c r="N62" s="758" t="s">
        <v>314</v>
      </c>
      <c r="O62" s="758" t="s">
        <v>314</v>
      </c>
      <c r="P62" s="758" t="s">
        <v>314</v>
      </c>
      <c r="Q62" s="758" t="s">
        <v>314</v>
      </c>
      <c r="R62" s="758" t="s">
        <v>314</v>
      </c>
      <c r="S62" s="758" t="s">
        <v>314</v>
      </c>
      <c r="T62" s="758" t="s">
        <v>314</v>
      </c>
      <c r="U62" s="758" t="s">
        <v>314</v>
      </c>
      <c r="V62" s="758" t="s">
        <v>314</v>
      </c>
      <c r="W62" s="758" t="s">
        <v>314</v>
      </c>
      <c r="X62" s="758" t="s">
        <v>314</v>
      </c>
      <c r="Y62" s="758" t="s">
        <v>314</v>
      </c>
      <c r="Z62" s="758" t="s">
        <v>314</v>
      </c>
      <c r="AA62" s="758" t="s">
        <v>314</v>
      </c>
      <c r="AB62" s="758" t="s">
        <v>314</v>
      </c>
      <c r="AC62" s="758" t="s">
        <v>314</v>
      </c>
      <c r="AD62" s="758" t="s">
        <v>314</v>
      </c>
      <c r="AE62" s="758" t="s">
        <v>314</v>
      </c>
      <c r="AF62" s="758" t="s">
        <v>314</v>
      </c>
    </row>
    <row r="63" customFormat="false" ht="16.5" hidden="false" customHeight="false" outlineLevel="0" collapsed="false">
      <c r="A63" s="758" t="s">
        <v>314</v>
      </c>
      <c r="B63" s="758" t="s">
        <v>314</v>
      </c>
      <c r="C63" s="758" t="s">
        <v>314</v>
      </c>
      <c r="D63" s="758" t="s">
        <v>314</v>
      </c>
      <c r="E63" s="758" t="s">
        <v>314</v>
      </c>
      <c r="F63" s="758" t="s">
        <v>314</v>
      </c>
      <c r="G63" s="758" t="s">
        <v>314</v>
      </c>
      <c r="H63" s="758" t="s">
        <v>314</v>
      </c>
      <c r="I63" s="758" t="s">
        <v>314</v>
      </c>
      <c r="J63" s="758" t="s">
        <v>314</v>
      </c>
      <c r="K63" s="758" t="s">
        <v>314</v>
      </c>
      <c r="L63" s="758" t="s">
        <v>314</v>
      </c>
      <c r="M63" s="758" t="s">
        <v>314</v>
      </c>
      <c r="N63" s="758" t="s">
        <v>314</v>
      </c>
      <c r="O63" s="758" t="s">
        <v>314</v>
      </c>
      <c r="P63" s="758" t="s">
        <v>314</v>
      </c>
      <c r="Q63" s="758" t="s">
        <v>314</v>
      </c>
      <c r="R63" s="758" t="s">
        <v>314</v>
      </c>
      <c r="S63" s="758" t="s">
        <v>314</v>
      </c>
      <c r="T63" s="758" t="s">
        <v>314</v>
      </c>
      <c r="U63" s="758" t="s">
        <v>314</v>
      </c>
      <c r="V63" s="758" t="s">
        <v>314</v>
      </c>
      <c r="W63" s="758" t="s">
        <v>314</v>
      </c>
      <c r="X63" s="758" t="s">
        <v>314</v>
      </c>
      <c r="Y63" s="758" t="s">
        <v>314</v>
      </c>
      <c r="Z63" s="758" t="s">
        <v>314</v>
      </c>
      <c r="AA63" s="758" t="s">
        <v>314</v>
      </c>
      <c r="AB63" s="758" t="s">
        <v>314</v>
      </c>
      <c r="AC63" s="758" t="s">
        <v>314</v>
      </c>
      <c r="AD63" s="758" t="s">
        <v>314</v>
      </c>
      <c r="AE63" s="758" t="s">
        <v>314</v>
      </c>
      <c r="AF63" s="758" t="s">
        <v>314</v>
      </c>
    </row>
    <row r="64" customFormat="false" ht="16.5" hidden="false" customHeight="false" outlineLevel="0" collapsed="false">
      <c r="A64" s="758" t="s">
        <v>314</v>
      </c>
      <c r="B64" s="758" t="s">
        <v>314</v>
      </c>
      <c r="C64" s="758" t="s">
        <v>314</v>
      </c>
      <c r="D64" s="758" t="s">
        <v>314</v>
      </c>
      <c r="E64" s="758" t="s">
        <v>314</v>
      </c>
      <c r="F64" s="758" t="s">
        <v>314</v>
      </c>
      <c r="G64" s="758" t="s">
        <v>314</v>
      </c>
      <c r="H64" s="758" t="s">
        <v>314</v>
      </c>
      <c r="I64" s="758" t="s">
        <v>314</v>
      </c>
      <c r="J64" s="758" t="s">
        <v>314</v>
      </c>
      <c r="K64" s="758" t="s">
        <v>314</v>
      </c>
      <c r="L64" s="758" t="s">
        <v>314</v>
      </c>
      <c r="M64" s="758" t="s">
        <v>314</v>
      </c>
      <c r="N64" s="758" t="s">
        <v>314</v>
      </c>
      <c r="O64" s="758" t="s">
        <v>314</v>
      </c>
      <c r="P64" s="758" t="s">
        <v>314</v>
      </c>
      <c r="Q64" s="758" t="s">
        <v>314</v>
      </c>
      <c r="R64" s="758" t="s">
        <v>314</v>
      </c>
      <c r="S64" s="758" t="s">
        <v>314</v>
      </c>
      <c r="T64" s="758" t="s">
        <v>314</v>
      </c>
      <c r="U64" s="758" t="s">
        <v>314</v>
      </c>
      <c r="V64" s="758" t="s">
        <v>314</v>
      </c>
      <c r="W64" s="758" t="s">
        <v>314</v>
      </c>
      <c r="X64" s="758" t="s">
        <v>314</v>
      </c>
      <c r="Y64" s="758" t="s">
        <v>314</v>
      </c>
      <c r="Z64" s="758" t="s">
        <v>314</v>
      </c>
      <c r="AA64" s="758" t="s">
        <v>314</v>
      </c>
      <c r="AB64" s="758" t="s">
        <v>314</v>
      </c>
      <c r="AC64" s="758" t="s">
        <v>314</v>
      </c>
      <c r="AD64" s="758" t="s">
        <v>314</v>
      </c>
      <c r="AE64" s="758" t="s">
        <v>314</v>
      </c>
      <c r="AF64" s="758" t="s">
        <v>314</v>
      </c>
    </row>
    <row r="65" customFormat="false" ht="16.5" hidden="false" customHeight="false" outlineLevel="0" collapsed="false">
      <c r="A65" s="758" t="s">
        <v>314</v>
      </c>
      <c r="B65" s="758" t="s">
        <v>314</v>
      </c>
      <c r="C65" s="758" t="s">
        <v>314</v>
      </c>
      <c r="D65" s="758" t="s">
        <v>314</v>
      </c>
      <c r="E65" s="758" t="s">
        <v>314</v>
      </c>
      <c r="F65" s="758" t="s">
        <v>314</v>
      </c>
      <c r="G65" s="758" t="s">
        <v>314</v>
      </c>
      <c r="H65" s="758" t="s">
        <v>314</v>
      </c>
      <c r="I65" s="758" t="s">
        <v>314</v>
      </c>
      <c r="J65" s="758" t="s">
        <v>314</v>
      </c>
      <c r="K65" s="758" t="s">
        <v>314</v>
      </c>
      <c r="L65" s="758" t="s">
        <v>314</v>
      </c>
      <c r="M65" s="758" t="s">
        <v>314</v>
      </c>
      <c r="N65" s="758" t="s">
        <v>314</v>
      </c>
      <c r="O65" s="758" t="s">
        <v>314</v>
      </c>
      <c r="P65" s="758" t="s">
        <v>314</v>
      </c>
      <c r="Q65" s="758" t="s">
        <v>314</v>
      </c>
      <c r="R65" s="758" t="s">
        <v>314</v>
      </c>
      <c r="S65" s="758" t="s">
        <v>314</v>
      </c>
      <c r="T65" s="758" t="s">
        <v>314</v>
      </c>
      <c r="U65" s="758" t="s">
        <v>314</v>
      </c>
      <c r="V65" s="758" t="s">
        <v>314</v>
      </c>
      <c r="W65" s="758" t="s">
        <v>314</v>
      </c>
      <c r="X65" s="758" t="s">
        <v>314</v>
      </c>
      <c r="Y65" s="758" t="s">
        <v>314</v>
      </c>
      <c r="Z65" s="758" t="s">
        <v>314</v>
      </c>
      <c r="AA65" s="758" t="s">
        <v>314</v>
      </c>
      <c r="AB65" s="758" t="s">
        <v>314</v>
      </c>
      <c r="AC65" s="758" t="s">
        <v>314</v>
      </c>
      <c r="AD65" s="758" t="s">
        <v>314</v>
      </c>
      <c r="AE65" s="758" t="s">
        <v>314</v>
      </c>
      <c r="AF65" s="758" t="s">
        <v>314</v>
      </c>
    </row>
    <row r="66" customFormat="false" ht="16.5" hidden="false" customHeight="false" outlineLevel="0" collapsed="false">
      <c r="A66" s="758" t="s">
        <v>314</v>
      </c>
      <c r="B66" s="758" t="s">
        <v>314</v>
      </c>
      <c r="C66" s="758" t="s">
        <v>314</v>
      </c>
      <c r="D66" s="758" t="s">
        <v>314</v>
      </c>
      <c r="E66" s="758" t="s">
        <v>314</v>
      </c>
      <c r="F66" s="758" t="s">
        <v>314</v>
      </c>
      <c r="G66" s="758" t="s">
        <v>314</v>
      </c>
      <c r="H66" s="758" t="s">
        <v>314</v>
      </c>
      <c r="I66" s="758" t="s">
        <v>314</v>
      </c>
      <c r="J66" s="758" t="s">
        <v>314</v>
      </c>
      <c r="K66" s="758" t="s">
        <v>314</v>
      </c>
      <c r="L66" s="758" t="s">
        <v>314</v>
      </c>
      <c r="M66" s="758" t="s">
        <v>314</v>
      </c>
      <c r="N66" s="758" t="s">
        <v>314</v>
      </c>
      <c r="O66" s="758" t="s">
        <v>314</v>
      </c>
      <c r="P66" s="758" t="s">
        <v>314</v>
      </c>
      <c r="Q66" s="758" t="s">
        <v>314</v>
      </c>
      <c r="R66" s="758" t="s">
        <v>314</v>
      </c>
      <c r="S66" s="758" t="s">
        <v>314</v>
      </c>
      <c r="T66" s="758" t="s">
        <v>314</v>
      </c>
      <c r="U66" s="758" t="s">
        <v>314</v>
      </c>
      <c r="V66" s="758" t="s">
        <v>314</v>
      </c>
      <c r="W66" s="758" t="s">
        <v>314</v>
      </c>
      <c r="X66" s="758" t="s">
        <v>314</v>
      </c>
      <c r="Y66" s="758" t="s">
        <v>314</v>
      </c>
      <c r="Z66" s="758" t="s">
        <v>314</v>
      </c>
      <c r="AA66" s="758" t="s">
        <v>314</v>
      </c>
      <c r="AB66" s="758" t="s">
        <v>314</v>
      </c>
      <c r="AC66" s="758" t="s">
        <v>314</v>
      </c>
      <c r="AD66" s="758" t="s">
        <v>314</v>
      </c>
      <c r="AE66" s="758" t="s">
        <v>314</v>
      </c>
      <c r="AF66" s="758" t="s">
        <v>314</v>
      </c>
    </row>
    <row r="67" customFormat="false" ht="16.5" hidden="false" customHeight="false" outlineLevel="0" collapsed="false">
      <c r="A67" s="758" t="s">
        <v>314</v>
      </c>
      <c r="B67" s="758" t="s">
        <v>314</v>
      </c>
      <c r="C67" s="758" t="s">
        <v>314</v>
      </c>
      <c r="D67" s="758" t="s">
        <v>314</v>
      </c>
      <c r="E67" s="758" t="s">
        <v>314</v>
      </c>
      <c r="F67" s="758" t="s">
        <v>314</v>
      </c>
      <c r="G67" s="758" t="s">
        <v>314</v>
      </c>
      <c r="H67" s="758" t="s">
        <v>314</v>
      </c>
      <c r="I67" s="758" t="s">
        <v>314</v>
      </c>
      <c r="J67" s="758" t="s">
        <v>314</v>
      </c>
      <c r="K67" s="758" t="s">
        <v>314</v>
      </c>
      <c r="L67" s="758" t="s">
        <v>314</v>
      </c>
      <c r="M67" s="758" t="s">
        <v>314</v>
      </c>
      <c r="N67" s="758" t="s">
        <v>314</v>
      </c>
      <c r="O67" s="758" t="s">
        <v>314</v>
      </c>
      <c r="P67" s="758" t="s">
        <v>314</v>
      </c>
      <c r="Q67" s="758" t="s">
        <v>314</v>
      </c>
      <c r="R67" s="758" t="s">
        <v>314</v>
      </c>
      <c r="S67" s="758" t="s">
        <v>314</v>
      </c>
      <c r="T67" s="758" t="s">
        <v>314</v>
      </c>
      <c r="U67" s="758" t="s">
        <v>314</v>
      </c>
      <c r="V67" s="758" t="s">
        <v>314</v>
      </c>
      <c r="W67" s="758" t="s">
        <v>314</v>
      </c>
      <c r="X67" s="758" t="s">
        <v>314</v>
      </c>
      <c r="Y67" s="758" t="s">
        <v>314</v>
      </c>
      <c r="Z67" s="758" t="s">
        <v>314</v>
      </c>
      <c r="AA67" s="758" t="s">
        <v>314</v>
      </c>
      <c r="AB67" s="758" t="s">
        <v>314</v>
      </c>
      <c r="AC67" s="758" t="s">
        <v>314</v>
      </c>
      <c r="AD67" s="758" t="s">
        <v>314</v>
      </c>
      <c r="AE67" s="758" t="s">
        <v>314</v>
      </c>
      <c r="AF67" s="758" t="s">
        <v>314</v>
      </c>
    </row>
    <row r="68" customFormat="false" ht="16.5" hidden="false" customHeight="false" outlineLevel="0" collapsed="false">
      <c r="A68" s="758" t="s">
        <v>314</v>
      </c>
      <c r="B68" s="758" t="s">
        <v>314</v>
      </c>
      <c r="C68" s="758" t="s">
        <v>314</v>
      </c>
      <c r="D68" s="758" t="s">
        <v>314</v>
      </c>
      <c r="E68" s="758" t="s">
        <v>314</v>
      </c>
      <c r="F68" s="758" t="s">
        <v>314</v>
      </c>
      <c r="G68" s="758" t="s">
        <v>314</v>
      </c>
      <c r="H68" s="758" t="s">
        <v>314</v>
      </c>
      <c r="I68" s="758" t="s">
        <v>314</v>
      </c>
      <c r="J68" s="758" t="s">
        <v>314</v>
      </c>
      <c r="K68" s="758" t="s">
        <v>314</v>
      </c>
      <c r="L68" s="758" t="s">
        <v>314</v>
      </c>
      <c r="M68" s="758" t="s">
        <v>314</v>
      </c>
      <c r="N68" s="758" t="s">
        <v>314</v>
      </c>
      <c r="O68" s="758" t="s">
        <v>314</v>
      </c>
      <c r="P68" s="758" t="s">
        <v>314</v>
      </c>
      <c r="Q68" s="758" t="s">
        <v>314</v>
      </c>
      <c r="R68" s="758" t="s">
        <v>314</v>
      </c>
      <c r="S68" s="758" t="s">
        <v>314</v>
      </c>
      <c r="T68" s="758" t="s">
        <v>314</v>
      </c>
      <c r="U68" s="758" t="s">
        <v>314</v>
      </c>
      <c r="V68" s="758" t="s">
        <v>314</v>
      </c>
      <c r="W68" s="758" t="s">
        <v>314</v>
      </c>
      <c r="X68" s="758" t="s">
        <v>314</v>
      </c>
      <c r="Y68" s="758" t="s">
        <v>314</v>
      </c>
      <c r="Z68" s="758" t="s">
        <v>314</v>
      </c>
      <c r="AA68" s="758" t="s">
        <v>314</v>
      </c>
      <c r="AB68" s="758" t="s">
        <v>314</v>
      </c>
      <c r="AC68" s="758" t="s">
        <v>314</v>
      </c>
      <c r="AD68" s="758" t="s">
        <v>314</v>
      </c>
      <c r="AE68" s="758" t="s">
        <v>314</v>
      </c>
      <c r="AF68" s="758" t="s">
        <v>314</v>
      </c>
    </row>
    <row r="69" customFormat="false" ht="16.5" hidden="false" customHeight="false" outlineLevel="0" collapsed="false">
      <c r="A69" s="758" t="s">
        <v>314</v>
      </c>
      <c r="B69" s="758" t="s">
        <v>314</v>
      </c>
      <c r="C69" s="758" t="s">
        <v>314</v>
      </c>
      <c r="D69" s="758" t="s">
        <v>314</v>
      </c>
      <c r="E69" s="758" t="s">
        <v>314</v>
      </c>
      <c r="F69" s="758" t="s">
        <v>314</v>
      </c>
      <c r="G69" s="758" t="s">
        <v>314</v>
      </c>
      <c r="H69" s="758" t="s">
        <v>314</v>
      </c>
      <c r="I69" s="758" t="s">
        <v>314</v>
      </c>
      <c r="J69" s="758" t="s">
        <v>314</v>
      </c>
      <c r="K69" s="758" t="s">
        <v>314</v>
      </c>
      <c r="L69" s="758" t="s">
        <v>314</v>
      </c>
      <c r="M69" s="758" t="s">
        <v>314</v>
      </c>
      <c r="N69" s="758" t="s">
        <v>314</v>
      </c>
      <c r="O69" s="758" t="s">
        <v>314</v>
      </c>
      <c r="P69" s="758" t="s">
        <v>314</v>
      </c>
      <c r="Q69" s="758" t="s">
        <v>314</v>
      </c>
      <c r="R69" s="758" t="s">
        <v>314</v>
      </c>
      <c r="S69" s="758" t="s">
        <v>314</v>
      </c>
      <c r="T69" s="758" t="s">
        <v>314</v>
      </c>
      <c r="U69" s="758" t="s">
        <v>314</v>
      </c>
      <c r="V69" s="758" t="s">
        <v>314</v>
      </c>
      <c r="W69" s="758" t="s">
        <v>314</v>
      </c>
      <c r="X69" s="758" t="s">
        <v>314</v>
      </c>
      <c r="Y69" s="758" t="s">
        <v>314</v>
      </c>
      <c r="Z69" s="758" t="s">
        <v>314</v>
      </c>
      <c r="AA69" s="758" t="s">
        <v>314</v>
      </c>
      <c r="AB69" s="758" t="s">
        <v>314</v>
      </c>
      <c r="AC69" s="758" t="s">
        <v>314</v>
      </c>
      <c r="AD69" s="758" t="s">
        <v>314</v>
      </c>
      <c r="AE69" s="758" t="s">
        <v>314</v>
      </c>
      <c r="AF69" s="758" t="s">
        <v>314</v>
      </c>
    </row>
    <row r="70" customFormat="false" ht="16.5" hidden="false" customHeight="false" outlineLevel="0" collapsed="false">
      <c r="A70" s="758" t="s">
        <v>314</v>
      </c>
      <c r="B70" s="758" t="s">
        <v>314</v>
      </c>
      <c r="C70" s="758" t="s">
        <v>314</v>
      </c>
      <c r="D70" s="758" t="s">
        <v>314</v>
      </c>
      <c r="E70" s="758" t="s">
        <v>314</v>
      </c>
      <c r="F70" s="758" t="s">
        <v>314</v>
      </c>
      <c r="G70" s="758" t="s">
        <v>314</v>
      </c>
      <c r="H70" s="758" t="s">
        <v>314</v>
      </c>
      <c r="I70" s="758" t="s">
        <v>314</v>
      </c>
      <c r="J70" s="758" t="s">
        <v>314</v>
      </c>
      <c r="K70" s="758" t="s">
        <v>314</v>
      </c>
      <c r="L70" s="758" t="s">
        <v>314</v>
      </c>
      <c r="M70" s="758" t="s">
        <v>314</v>
      </c>
      <c r="N70" s="758" t="s">
        <v>314</v>
      </c>
      <c r="O70" s="758" t="s">
        <v>314</v>
      </c>
      <c r="P70" s="758" t="s">
        <v>314</v>
      </c>
      <c r="Q70" s="758" t="s">
        <v>314</v>
      </c>
      <c r="R70" s="758" t="s">
        <v>314</v>
      </c>
      <c r="S70" s="758" t="s">
        <v>314</v>
      </c>
      <c r="T70" s="758" t="s">
        <v>314</v>
      </c>
      <c r="U70" s="758" t="s">
        <v>314</v>
      </c>
      <c r="V70" s="758" t="s">
        <v>314</v>
      </c>
      <c r="W70" s="758" t="s">
        <v>314</v>
      </c>
      <c r="X70" s="758" t="s">
        <v>314</v>
      </c>
      <c r="Y70" s="758" t="s">
        <v>314</v>
      </c>
      <c r="Z70" s="758" t="s">
        <v>314</v>
      </c>
      <c r="AA70" s="758" t="s">
        <v>314</v>
      </c>
      <c r="AB70" s="758" t="s">
        <v>314</v>
      </c>
      <c r="AC70" s="758" t="s">
        <v>314</v>
      </c>
      <c r="AD70" s="758" t="s">
        <v>314</v>
      </c>
      <c r="AE70" s="758" t="s">
        <v>314</v>
      </c>
      <c r="AF70" s="758" t="s">
        <v>314</v>
      </c>
    </row>
    <row r="71" customFormat="false" ht="16.5" hidden="false" customHeight="false" outlineLevel="0" collapsed="false">
      <c r="A71" s="758" t="s">
        <v>314</v>
      </c>
      <c r="B71" s="758" t="s">
        <v>314</v>
      </c>
      <c r="C71" s="758" t="s">
        <v>314</v>
      </c>
      <c r="D71" s="758" t="s">
        <v>314</v>
      </c>
      <c r="E71" s="758" t="s">
        <v>314</v>
      </c>
      <c r="F71" s="758" t="s">
        <v>314</v>
      </c>
      <c r="G71" s="758" t="s">
        <v>314</v>
      </c>
      <c r="H71" s="758" t="s">
        <v>314</v>
      </c>
      <c r="I71" s="758" t="s">
        <v>314</v>
      </c>
      <c r="J71" s="758" t="s">
        <v>314</v>
      </c>
      <c r="K71" s="758" t="s">
        <v>314</v>
      </c>
      <c r="L71" s="758" t="s">
        <v>314</v>
      </c>
      <c r="M71" s="758" t="s">
        <v>314</v>
      </c>
      <c r="N71" s="758" t="s">
        <v>314</v>
      </c>
      <c r="O71" s="758" t="s">
        <v>314</v>
      </c>
      <c r="P71" s="758" t="s">
        <v>314</v>
      </c>
      <c r="Q71" s="758" t="s">
        <v>314</v>
      </c>
      <c r="R71" s="758" t="s">
        <v>314</v>
      </c>
      <c r="S71" s="758" t="s">
        <v>314</v>
      </c>
      <c r="T71" s="758" t="s">
        <v>314</v>
      </c>
      <c r="U71" s="758" t="s">
        <v>314</v>
      </c>
      <c r="V71" s="758" t="s">
        <v>314</v>
      </c>
      <c r="W71" s="758" t="s">
        <v>314</v>
      </c>
      <c r="X71" s="758" t="s">
        <v>314</v>
      </c>
      <c r="Y71" s="758" t="s">
        <v>314</v>
      </c>
      <c r="Z71" s="758" t="s">
        <v>314</v>
      </c>
      <c r="AA71" s="758" t="s">
        <v>314</v>
      </c>
      <c r="AB71" s="758" t="s">
        <v>314</v>
      </c>
      <c r="AC71" s="758" t="s">
        <v>314</v>
      </c>
      <c r="AD71" s="758" t="s">
        <v>314</v>
      </c>
      <c r="AE71" s="758" t="s">
        <v>314</v>
      </c>
      <c r="AF71" s="758" t="s">
        <v>314</v>
      </c>
    </row>
    <row r="72" customFormat="false" ht="16.5" hidden="false" customHeight="false" outlineLevel="0" collapsed="false">
      <c r="A72" s="758" t="s">
        <v>314</v>
      </c>
      <c r="B72" s="758" t="s">
        <v>314</v>
      </c>
      <c r="C72" s="758" t="s">
        <v>314</v>
      </c>
      <c r="D72" s="758" t="s">
        <v>314</v>
      </c>
      <c r="E72" s="758" t="s">
        <v>314</v>
      </c>
      <c r="F72" s="758" t="s">
        <v>314</v>
      </c>
      <c r="G72" s="758" t="s">
        <v>314</v>
      </c>
      <c r="H72" s="758" t="s">
        <v>314</v>
      </c>
      <c r="I72" s="758" t="s">
        <v>314</v>
      </c>
      <c r="J72" s="758" t="s">
        <v>314</v>
      </c>
      <c r="K72" s="758" t="s">
        <v>314</v>
      </c>
      <c r="L72" s="758" t="s">
        <v>314</v>
      </c>
      <c r="M72" s="758" t="s">
        <v>314</v>
      </c>
      <c r="N72" s="758" t="s">
        <v>314</v>
      </c>
      <c r="O72" s="758" t="s">
        <v>314</v>
      </c>
      <c r="P72" s="758" t="s">
        <v>314</v>
      </c>
      <c r="Q72" s="758" t="s">
        <v>314</v>
      </c>
      <c r="R72" s="758" t="s">
        <v>314</v>
      </c>
      <c r="S72" s="758" t="s">
        <v>314</v>
      </c>
      <c r="T72" s="758" t="s">
        <v>314</v>
      </c>
      <c r="U72" s="758" t="s">
        <v>314</v>
      </c>
      <c r="V72" s="758" t="s">
        <v>314</v>
      </c>
      <c r="W72" s="758" t="s">
        <v>314</v>
      </c>
      <c r="X72" s="758" t="s">
        <v>314</v>
      </c>
      <c r="Y72" s="758" t="s">
        <v>314</v>
      </c>
      <c r="Z72" s="758" t="s">
        <v>314</v>
      </c>
      <c r="AA72" s="758" t="s">
        <v>314</v>
      </c>
      <c r="AB72" s="758" t="s">
        <v>314</v>
      </c>
      <c r="AC72" s="758" t="s">
        <v>314</v>
      </c>
      <c r="AD72" s="758" t="s">
        <v>314</v>
      </c>
      <c r="AE72" s="758" t="s">
        <v>314</v>
      </c>
      <c r="AF72" s="758" t="s">
        <v>314</v>
      </c>
    </row>
    <row r="73" customFormat="false" ht="16.5" hidden="false" customHeight="false" outlineLevel="0" collapsed="false">
      <c r="A73" s="758" t="s">
        <v>314</v>
      </c>
      <c r="B73" s="758" t="s">
        <v>314</v>
      </c>
      <c r="C73" s="758" t="s">
        <v>314</v>
      </c>
      <c r="D73" s="758" t="s">
        <v>314</v>
      </c>
      <c r="E73" s="758" t="s">
        <v>314</v>
      </c>
      <c r="F73" s="758" t="s">
        <v>314</v>
      </c>
      <c r="G73" s="758" t="s">
        <v>314</v>
      </c>
      <c r="H73" s="758" t="s">
        <v>314</v>
      </c>
      <c r="I73" s="758" t="s">
        <v>314</v>
      </c>
      <c r="J73" s="758" t="s">
        <v>314</v>
      </c>
      <c r="K73" s="758" t="s">
        <v>314</v>
      </c>
      <c r="L73" s="758" t="s">
        <v>314</v>
      </c>
      <c r="M73" s="758" t="s">
        <v>314</v>
      </c>
      <c r="N73" s="758" t="s">
        <v>314</v>
      </c>
      <c r="O73" s="758" t="s">
        <v>314</v>
      </c>
      <c r="P73" s="758" t="s">
        <v>314</v>
      </c>
      <c r="Q73" s="758" t="s">
        <v>314</v>
      </c>
      <c r="R73" s="758" t="s">
        <v>314</v>
      </c>
      <c r="S73" s="758" t="s">
        <v>314</v>
      </c>
      <c r="T73" s="758" t="s">
        <v>314</v>
      </c>
      <c r="U73" s="758" t="s">
        <v>314</v>
      </c>
      <c r="V73" s="758" t="s">
        <v>314</v>
      </c>
      <c r="W73" s="758" t="s">
        <v>314</v>
      </c>
      <c r="X73" s="758" t="s">
        <v>314</v>
      </c>
      <c r="Y73" s="758" t="s">
        <v>314</v>
      </c>
      <c r="Z73" s="758" t="s">
        <v>314</v>
      </c>
      <c r="AA73" s="758" t="s">
        <v>314</v>
      </c>
      <c r="AB73" s="758" t="s">
        <v>314</v>
      </c>
      <c r="AC73" s="758" t="s">
        <v>314</v>
      </c>
      <c r="AD73" s="758" t="s">
        <v>314</v>
      </c>
      <c r="AE73" s="758" t="s">
        <v>314</v>
      </c>
      <c r="AF73" s="758" t="s">
        <v>314</v>
      </c>
    </row>
    <row r="74" customFormat="false" ht="16.5" hidden="false" customHeight="false" outlineLevel="0" collapsed="false">
      <c r="A74" s="758" t="s">
        <v>314</v>
      </c>
      <c r="B74" s="758" t="s">
        <v>314</v>
      </c>
      <c r="C74" s="758" t="s">
        <v>314</v>
      </c>
      <c r="D74" s="758" t="s">
        <v>314</v>
      </c>
      <c r="E74" s="758" t="s">
        <v>314</v>
      </c>
      <c r="F74" s="758" t="s">
        <v>314</v>
      </c>
      <c r="G74" s="758" t="s">
        <v>314</v>
      </c>
      <c r="H74" s="758" t="s">
        <v>314</v>
      </c>
      <c r="I74" s="758" t="s">
        <v>314</v>
      </c>
      <c r="J74" s="758" t="s">
        <v>314</v>
      </c>
      <c r="K74" s="758" t="s">
        <v>314</v>
      </c>
      <c r="L74" s="758" t="s">
        <v>314</v>
      </c>
      <c r="M74" s="758" t="s">
        <v>314</v>
      </c>
      <c r="N74" s="758" t="s">
        <v>314</v>
      </c>
      <c r="O74" s="758" t="s">
        <v>314</v>
      </c>
      <c r="P74" s="758" t="s">
        <v>314</v>
      </c>
      <c r="Q74" s="758" t="s">
        <v>314</v>
      </c>
      <c r="R74" s="758" t="s">
        <v>314</v>
      </c>
      <c r="S74" s="758" t="s">
        <v>314</v>
      </c>
      <c r="T74" s="758" t="s">
        <v>314</v>
      </c>
      <c r="U74" s="758" t="s">
        <v>314</v>
      </c>
      <c r="V74" s="758" t="s">
        <v>314</v>
      </c>
      <c r="W74" s="758" t="s">
        <v>314</v>
      </c>
      <c r="X74" s="758" t="s">
        <v>314</v>
      </c>
      <c r="Y74" s="758" t="s">
        <v>314</v>
      </c>
      <c r="Z74" s="758" t="s">
        <v>314</v>
      </c>
      <c r="AA74" s="758" t="s">
        <v>314</v>
      </c>
      <c r="AB74" s="758" t="s">
        <v>314</v>
      </c>
      <c r="AC74" s="758" t="s">
        <v>314</v>
      </c>
      <c r="AD74" s="758" t="s">
        <v>314</v>
      </c>
      <c r="AE74" s="758" t="s">
        <v>314</v>
      </c>
      <c r="AF74" s="758" t="s">
        <v>314</v>
      </c>
    </row>
    <row r="75" customFormat="false" ht="16.5" hidden="false" customHeight="false" outlineLevel="0" collapsed="false">
      <c r="A75" s="758" t="s">
        <v>314</v>
      </c>
      <c r="B75" s="758" t="s">
        <v>314</v>
      </c>
      <c r="C75" s="758" t="s">
        <v>314</v>
      </c>
      <c r="D75" s="758" t="s">
        <v>314</v>
      </c>
      <c r="E75" s="758" t="s">
        <v>314</v>
      </c>
      <c r="F75" s="758" t="s">
        <v>314</v>
      </c>
      <c r="G75" s="758" t="s">
        <v>314</v>
      </c>
      <c r="H75" s="758" t="s">
        <v>314</v>
      </c>
      <c r="I75" s="758" t="s">
        <v>314</v>
      </c>
      <c r="J75" s="758" t="s">
        <v>314</v>
      </c>
      <c r="K75" s="758" t="s">
        <v>314</v>
      </c>
      <c r="L75" s="758" t="s">
        <v>314</v>
      </c>
      <c r="M75" s="758" t="s">
        <v>314</v>
      </c>
      <c r="N75" s="758" t="s">
        <v>314</v>
      </c>
      <c r="O75" s="758" t="s">
        <v>314</v>
      </c>
      <c r="P75" s="758" t="s">
        <v>314</v>
      </c>
      <c r="Q75" s="758" t="s">
        <v>314</v>
      </c>
      <c r="R75" s="758" t="s">
        <v>314</v>
      </c>
      <c r="S75" s="758" t="s">
        <v>314</v>
      </c>
      <c r="T75" s="758" t="s">
        <v>314</v>
      </c>
      <c r="U75" s="758" t="s">
        <v>314</v>
      </c>
      <c r="V75" s="758" t="s">
        <v>314</v>
      </c>
      <c r="W75" s="758" t="s">
        <v>314</v>
      </c>
      <c r="X75" s="758" t="s">
        <v>314</v>
      </c>
      <c r="Y75" s="758" t="s">
        <v>314</v>
      </c>
      <c r="Z75" s="758" t="s">
        <v>314</v>
      </c>
      <c r="AA75" s="758" t="s">
        <v>314</v>
      </c>
      <c r="AB75" s="758" t="s">
        <v>314</v>
      </c>
      <c r="AC75" s="758" t="s">
        <v>314</v>
      </c>
      <c r="AD75" s="758" t="s">
        <v>314</v>
      </c>
      <c r="AE75" s="758" t="s">
        <v>314</v>
      </c>
      <c r="AF75" s="758" t="s">
        <v>314</v>
      </c>
    </row>
    <row r="76" customFormat="false" ht="16.5" hidden="false" customHeight="false" outlineLevel="0" collapsed="false">
      <c r="A76" s="758" t="s">
        <v>314</v>
      </c>
      <c r="B76" s="758" t="s">
        <v>314</v>
      </c>
      <c r="C76" s="758" t="s">
        <v>314</v>
      </c>
      <c r="D76" s="758" t="s">
        <v>314</v>
      </c>
      <c r="E76" s="758" t="s">
        <v>314</v>
      </c>
      <c r="F76" s="758" t="s">
        <v>314</v>
      </c>
      <c r="G76" s="758" t="s">
        <v>314</v>
      </c>
      <c r="H76" s="758" t="s">
        <v>314</v>
      </c>
      <c r="I76" s="758" t="s">
        <v>314</v>
      </c>
      <c r="J76" s="758" t="s">
        <v>314</v>
      </c>
      <c r="K76" s="758" t="s">
        <v>314</v>
      </c>
      <c r="L76" s="758" t="s">
        <v>314</v>
      </c>
      <c r="M76" s="758" t="s">
        <v>314</v>
      </c>
      <c r="N76" s="758" t="s">
        <v>314</v>
      </c>
      <c r="O76" s="758" t="s">
        <v>314</v>
      </c>
      <c r="P76" s="758" t="s">
        <v>314</v>
      </c>
      <c r="Q76" s="758" t="s">
        <v>314</v>
      </c>
      <c r="R76" s="758" t="s">
        <v>314</v>
      </c>
      <c r="S76" s="758" t="s">
        <v>314</v>
      </c>
      <c r="T76" s="758" t="s">
        <v>314</v>
      </c>
      <c r="U76" s="758" t="s">
        <v>314</v>
      </c>
      <c r="V76" s="758" t="s">
        <v>314</v>
      </c>
      <c r="W76" s="758" t="s">
        <v>314</v>
      </c>
      <c r="X76" s="758" t="s">
        <v>314</v>
      </c>
      <c r="Y76" s="758" t="s">
        <v>314</v>
      </c>
      <c r="Z76" s="758" t="s">
        <v>314</v>
      </c>
      <c r="AA76" s="758" t="s">
        <v>314</v>
      </c>
      <c r="AB76" s="758" t="s">
        <v>314</v>
      </c>
      <c r="AC76" s="758" t="s">
        <v>314</v>
      </c>
      <c r="AD76" s="758" t="s">
        <v>314</v>
      </c>
      <c r="AE76" s="758" t="s">
        <v>314</v>
      </c>
      <c r="AF76" s="758" t="s">
        <v>314</v>
      </c>
    </row>
    <row r="77" customFormat="false" ht="16.5" hidden="false" customHeight="false" outlineLevel="0" collapsed="false">
      <c r="A77" s="758" t="s">
        <v>314</v>
      </c>
      <c r="B77" s="758" t="s">
        <v>314</v>
      </c>
      <c r="C77" s="758" t="s">
        <v>314</v>
      </c>
      <c r="D77" s="758" t="s">
        <v>314</v>
      </c>
      <c r="E77" s="758" t="s">
        <v>314</v>
      </c>
      <c r="F77" s="758" t="s">
        <v>314</v>
      </c>
      <c r="G77" s="758" t="s">
        <v>314</v>
      </c>
      <c r="H77" s="758" t="s">
        <v>314</v>
      </c>
      <c r="I77" s="758" t="s">
        <v>314</v>
      </c>
      <c r="J77" s="758" t="s">
        <v>314</v>
      </c>
      <c r="K77" s="758" t="s">
        <v>314</v>
      </c>
      <c r="L77" s="758" t="s">
        <v>314</v>
      </c>
      <c r="M77" s="758" t="s">
        <v>314</v>
      </c>
      <c r="N77" s="758" t="s">
        <v>314</v>
      </c>
      <c r="O77" s="758" t="s">
        <v>314</v>
      </c>
      <c r="P77" s="758" t="s">
        <v>314</v>
      </c>
      <c r="Q77" s="758" t="s">
        <v>314</v>
      </c>
      <c r="R77" s="758" t="s">
        <v>314</v>
      </c>
      <c r="S77" s="758" t="s">
        <v>314</v>
      </c>
      <c r="T77" s="758" t="s">
        <v>314</v>
      </c>
      <c r="U77" s="758" t="s">
        <v>314</v>
      </c>
      <c r="V77" s="758" t="s">
        <v>314</v>
      </c>
      <c r="W77" s="758" t="s">
        <v>314</v>
      </c>
      <c r="X77" s="758" t="s">
        <v>314</v>
      </c>
      <c r="Y77" s="758" t="s">
        <v>314</v>
      </c>
      <c r="Z77" s="758" t="s">
        <v>314</v>
      </c>
      <c r="AA77" s="758" t="s">
        <v>314</v>
      </c>
      <c r="AB77" s="758" t="s">
        <v>314</v>
      </c>
      <c r="AC77" s="758" t="s">
        <v>314</v>
      </c>
      <c r="AD77" s="758" t="s">
        <v>314</v>
      </c>
      <c r="AE77" s="758" t="s">
        <v>314</v>
      </c>
      <c r="AF77" s="758" t="s">
        <v>314</v>
      </c>
    </row>
    <row r="78" customFormat="false" ht="16.5" hidden="false" customHeight="false" outlineLevel="0" collapsed="false">
      <c r="A78" s="758" t="s">
        <v>314</v>
      </c>
      <c r="B78" s="758" t="s">
        <v>314</v>
      </c>
      <c r="C78" s="758" t="s">
        <v>314</v>
      </c>
      <c r="D78" s="758" t="s">
        <v>314</v>
      </c>
      <c r="E78" s="758" t="s">
        <v>314</v>
      </c>
      <c r="F78" s="758" t="s">
        <v>314</v>
      </c>
      <c r="G78" s="758" t="s">
        <v>314</v>
      </c>
      <c r="H78" s="758" t="s">
        <v>314</v>
      </c>
      <c r="I78" s="758" t="s">
        <v>314</v>
      </c>
      <c r="J78" s="758" t="s">
        <v>314</v>
      </c>
      <c r="K78" s="758" t="s">
        <v>314</v>
      </c>
      <c r="L78" s="758" t="s">
        <v>314</v>
      </c>
      <c r="M78" s="758" t="s">
        <v>314</v>
      </c>
      <c r="N78" s="758" t="s">
        <v>314</v>
      </c>
      <c r="O78" s="758" t="s">
        <v>314</v>
      </c>
      <c r="P78" s="758" t="s">
        <v>314</v>
      </c>
      <c r="Q78" s="758" t="s">
        <v>314</v>
      </c>
      <c r="R78" s="758" t="s">
        <v>314</v>
      </c>
      <c r="S78" s="758" t="s">
        <v>314</v>
      </c>
      <c r="T78" s="758" t="s">
        <v>314</v>
      </c>
      <c r="U78" s="758" t="s">
        <v>314</v>
      </c>
      <c r="V78" s="758" t="s">
        <v>314</v>
      </c>
      <c r="W78" s="758" t="s">
        <v>314</v>
      </c>
      <c r="X78" s="758" t="s">
        <v>314</v>
      </c>
      <c r="Y78" s="758" t="s">
        <v>314</v>
      </c>
      <c r="Z78" s="758" t="s">
        <v>314</v>
      </c>
      <c r="AA78" s="758" t="s">
        <v>314</v>
      </c>
      <c r="AB78" s="758" t="s">
        <v>314</v>
      </c>
      <c r="AC78" s="758" t="s">
        <v>314</v>
      </c>
      <c r="AD78" s="758" t="s">
        <v>314</v>
      </c>
      <c r="AE78" s="758" t="s">
        <v>314</v>
      </c>
      <c r="AF78" s="758" t="s">
        <v>314</v>
      </c>
    </row>
    <row r="79" customFormat="false" ht="16.5" hidden="false" customHeight="false" outlineLevel="0" collapsed="false">
      <c r="A79" s="758" t="s">
        <v>314</v>
      </c>
      <c r="B79" s="758" t="s">
        <v>314</v>
      </c>
      <c r="C79" s="758" t="s">
        <v>314</v>
      </c>
      <c r="D79" s="758" t="s">
        <v>314</v>
      </c>
      <c r="E79" s="758" t="s">
        <v>314</v>
      </c>
      <c r="F79" s="758" t="s">
        <v>314</v>
      </c>
      <c r="G79" s="758" t="s">
        <v>314</v>
      </c>
      <c r="H79" s="758" t="s">
        <v>314</v>
      </c>
      <c r="I79" s="758" t="s">
        <v>314</v>
      </c>
      <c r="J79" s="758" t="s">
        <v>314</v>
      </c>
      <c r="K79" s="758" t="s">
        <v>314</v>
      </c>
      <c r="L79" s="758" t="s">
        <v>314</v>
      </c>
      <c r="M79" s="758" t="s">
        <v>314</v>
      </c>
      <c r="N79" s="758" t="s">
        <v>314</v>
      </c>
      <c r="O79" s="758" t="s">
        <v>314</v>
      </c>
      <c r="P79" s="758" t="s">
        <v>314</v>
      </c>
      <c r="Q79" s="758" t="s">
        <v>314</v>
      </c>
      <c r="R79" s="758" t="s">
        <v>314</v>
      </c>
      <c r="S79" s="758" t="s">
        <v>314</v>
      </c>
      <c r="T79" s="758" t="s">
        <v>314</v>
      </c>
      <c r="U79" s="758" t="s">
        <v>314</v>
      </c>
      <c r="V79" s="758" t="s">
        <v>314</v>
      </c>
      <c r="W79" s="758" t="s">
        <v>314</v>
      </c>
      <c r="X79" s="758" t="s">
        <v>314</v>
      </c>
      <c r="Y79" s="758" t="s">
        <v>314</v>
      </c>
      <c r="Z79" s="758" t="s">
        <v>314</v>
      </c>
      <c r="AA79" s="758" t="s">
        <v>314</v>
      </c>
      <c r="AB79" s="758" t="s">
        <v>314</v>
      </c>
      <c r="AC79" s="758" t="s">
        <v>314</v>
      </c>
      <c r="AD79" s="758" t="s">
        <v>314</v>
      </c>
      <c r="AE79" s="758" t="s">
        <v>314</v>
      </c>
      <c r="AF79" s="758" t="s">
        <v>314</v>
      </c>
    </row>
    <row r="80" customFormat="false" ht="16.5" hidden="false" customHeight="false" outlineLevel="0" collapsed="false">
      <c r="A80" s="758" t="s">
        <v>314</v>
      </c>
      <c r="B80" s="758" t="s">
        <v>314</v>
      </c>
      <c r="C80" s="758" t="s">
        <v>314</v>
      </c>
      <c r="D80" s="758" t="s">
        <v>314</v>
      </c>
      <c r="E80" s="758" t="s">
        <v>314</v>
      </c>
      <c r="F80" s="758" t="s">
        <v>314</v>
      </c>
      <c r="G80" s="758" t="s">
        <v>314</v>
      </c>
      <c r="H80" s="758" t="s">
        <v>314</v>
      </c>
      <c r="I80" s="758" t="s">
        <v>314</v>
      </c>
      <c r="J80" s="758" t="s">
        <v>314</v>
      </c>
      <c r="K80" s="758" t="s">
        <v>314</v>
      </c>
      <c r="L80" s="758" t="s">
        <v>314</v>
      </c>
      <c r="M80" s="758" t="s">
        <v>314</v>
      </c>
      <c r="N80" s="758" t="s">
        <v>314</v>
      </c>
      <c r="O80" s="758" t="s">
        <v>314</v>
      </c>
      <c r="P80" s="758" t="s">
        <v>314</v>
      </c>
      <c r="Q80" s="758" t="s">
        <v>314</v>
      </c>
      <c r="R80" s="758" t="s">
        <v>314</v>
      </c>
      <c r="S80" s="758" t="s">
        <v>314</v>
      </c>
      <c r="T80" s="758" t="s">
        <v>314</v>
      </c>
      <c r="U80" s="758" t="s">
        <v>314</v>
      </c>
      <c r="V80" s="758" t="s">
        <v>314</v>
      </c>
      <c r="W80" s="758" t="s">
        <v>314</v>
      </c>
      <c r="X80" s="758" t="s">
        <v>314</v>
      </c>
      <c r="Y80" s="758" t="s">
        <v>314</v>
      </c>
      <c r="Z80" s="758" t="s">
        <v>314</v>
      </c>
      <c r="AA80" s="758" t="s">
        <v>314</v>
      </c>
      <c r="AB80" s="758" t="s">
        <v>314</v>
      </c>
      <c r="AC80" s="758" t="s">
        <v>314</v>
      </c>
      <c r="AD80" s="758" t="s">
        <v>314</v>
      </c>
      <c r="AE80" s="758" t="s">
        <v>314</v>
      </c>
      <c r="AF80" s="758" t="s">
        <v>314</v>
      </c>
    </row>
    <row r="81" customFormat="false" ht="16.5" hidden="false" customHeight="false" outlineLevel="0" collapsed="false">
      <c r="A81" s="758" t="s">
        <v>314</v>
      </c>
      <c r="B81" s="758" t="s">
        <v>314</v>
      </c>
      <c r="C81" s="758" t="s">
        <v>314</v>
      </c>
      <c r="D81" s="758" t="s">
        <v>314</v>
      </c>
      <c r="E81" s="758" t="s">
        <v>314</v>
      </c>
      <c r="F81" s="758" t="s">
        <v>314</v>
      </c>
      <c r="G81" s="758" t="s">
        <v>314</v>
      </c>
      <c r="H81" s="758" t="s">
        <v>314</v>
      </c>
      <c r="I81" s="758" t="s">
        <v>314</v>
      </c>
      <c r="J81" s="758" t="s">
        <v>314</v>
      </c>
      <c r="K81" s="758" t="s">
        <v>314</v>
      </c>
      <c r="L81" s="758" t="s">
        <v>314</v>
      </c>
      <c r="M81" s="758" t="s">
        <v>314</v>
      </c>
      <c r="N81" s="758" t="s">
        <v>314</v>
      </c>
      <c r="O81" s="758" t="s">
        <v>314</v>
      </c>
      <c r="P81" s="758" t="s">
        <v>314</v>
      </c>
      <c r="Q81" s="758" t="s">
        <v>314</v>
      </c>
      <c r="R81" s="758" t="s">
        <v>314</v>
      </c>
      <c r="S81" s="758" t="s">
        <v>314</v>
      </c>
      <c r="T81" s="758" t="s">
        <v>314</v>
      </c>
      <c r="U81" s="758" t="s">
        <v>314</v>
      </c>
      <c r="V81" s="758" t="s">
        <v>314</v>
      </c>
      <c r="W81" s="758" t="s">
        <v>314</v>
      </c>
      <c r="X81" s="758" t="s">
        <v>314</v>
      </c>
      <c r="Y81" s="758" t="s">
        <v>314</v>
      </c>
      <c r="Z81" s="758" t="s">
        <v>314</v>
      </c>
      <c r="AA81" s="758" t="s">
        <v>314</v>
      </c>
      <c r="AB81" s="758" t="s">
        <v>314</v>
      </c>
      <c r="AC81" s="758" t="s">
        <v>314</v>
      </c>
      <c r="AD81" s="758" t="s">
        <v>314</v>
      </c>
      <c r="AE81" s="758" t="s">
        <v>314</v>
      </c>
      <c r="AF81" s="758" t="s">
        <v>314</v>
      </c>
    </row>
    <row r="82" customFormat="false" ht="16.5" hidden="false" customHeight="false" outlineLevel="0" collapsed="false">
      <c r="A82" s="758" t="s">
        <v>314</v>
      </c>
      <c r="B82" s="758" t="s">
        <v>314</v>
      </c>
      <c r="C82" s="758" t="s">
        <v>314</v>
      </c>
      <c r="D82" s="758" t="s">
        <v>314</v>
      </c>
      <c r="E82" s="758" t="s">
        <v>314</v>
      </c>
      <c r="F82" s="758" t="s">
        <v>314</v>
      </c>
      <c r="G82" s="758" t="s">
        <v>314</v>
      </c>
      <c r="H82" s="758" t="s">
        <v>314</v>
      </c>
      <c r="I82" s="758" t="s">
        <v>314</v>
      </c>
      <c r="J82" s="758" t="s">
        <v>314</v>
      </c>
      <c r="K82" s="758" t="s">
        <v>314</v>
      </c>
      <c r="L82" s="758" t="s">
        <v>314</v>
      </c>
      <c r="M82" s="758" t="s">
        <v>314</v>
      </c>
      <c r="N82" s="758" t="s">
        <v>314</v>
      </c>
      <c r="O82" s="758" t="s">
        <v>314</v>
      </c>
      <c r="P82" s="758" t="s">
        <v>314</v>
      </c>
      <c r="Q82" s="758" t="s">
        <v>314</v>
      </c>
      <c r="R82" s="758" t="s">
        <v>314</v>
      </c>
      <c r="S82" s="758" t="s">
        <v>314</v>
      </c>
      <c r="T82" s="758" t="s">
        <v>314</v>
      </c>
      <c r="U82" s="758" t="s">
        <v>314</v>
      </c>
      <c r="V82" s="758" t="s">
        <v>314</v>
      </c>
      <c r="W82" s="758" t="s">
        <v>314</v>
      </c>
      <c r="X82" s="758" t="s">
        <v>314</v>
      </c>
      <c r="Y82" s="758" t="s">
        <v>314</v>
      </c>
      <c r="Z82" s="758" t="s">
        <v>314</v>
      </c>
      <c r="AA82" s="758" t="s">
        <v>314</v>
      </c>
      <c r="AB82" s="758" t="s">
        <v>314</v>
      </c>
      <c r="AC82" s="758" t="s">
        <v>314</v>
      </c>
      <c r="AD82" s="758" t="s">
        <v>314</v>
      </c>
      <c r="AE82" s="758" t="s">
        <v>314</v>
      </c>
      <c r="AF82" s="758" t="s">
        <v>314</v>
      </c>
    </row>
    <row r="83" customFormat="false" ht="16.5" hidden="false" customHeight="false" outlineLevel="0" collapsed="false">
      <c r="A83" s="758" t="s">
        <v>314</v>
      </c>
      <c r="B83" s="758" t="s">
        <v>314</v>
      </c>
      <c r="C83" s="758" t="s">
        <v>314</v>
      </c>
      <c r="D83" s="758" t="s">
        <v>314</v>
      </c>
      <c r="E83" s="758" t="s">
        <v>314</v>
      </c>
      <c r="F83" s="758" t="s">
        <v>314</v>
      </c>
      <c r="G83" s="758" t="s">
        <v>314</v>
      </c>
      <c r="H83" s="758" t="s">
        <v>314</v>
      </c>
      <c r="I83" s="758" t="s">
        <v>314</v>
      </c>
      <c r="J83" s="758" t="s">
        <v>314</v>
      </c>
      <c r="K83" s="758" t="s">
        <v>314</v>
      </c>
      <c r="L83" s="758" t="s">
        <v>314</v>
      </c>
      <c r="M83" s="758" t="s">
        <v>314</v>
      </c>
      <c r="N83" s="758" t="s">
        <v>314</v>
      </c>
      <c r="O83" s="758" t="s">
        <v>314</v>
      </c>
      <c r="P83" s="758" t="s">
        <v>314</v>
      </c>
      <c r="Q83" s="758" t="s">
        <v>314</v>
      </c>
      <c r="R83" s="758" t="s">
        <v>314</v>
      </c>
      <c r="S83" s="758" t="s">
        <v>314</v>
      </c>
      <c r="T83" s="758" t="s">
        <v>314</v>
      </c>
      <c r="U83" s="758" t="s">
        <v>314</v>
      </c>
      <c r="V83" s="758" t="s">
        <v>314</v>
      </c>
      <c r="W83" s="758" t="s">
        <v>314</v>
      </c>
      <c r="X83" s="758" t="s">
        <v>314</v>
      </c>
      <c r="Y83" s="758" t="s">
        <v>314</v>
      </c>
      <c r="Z83" s="758" t="s">
        <v>314</v>
      </c>
      <c r="AA83" s="758" t="s">
        <v>314</v>
      </c>
      <c r="AB83" s="758" t="s">
        <v>314</v>
      </c>
      <c r="AC83" s="758" t="s">
        <v>314</v>
      </c>
      <c r="AD83" s="758" t="s">
        <v>314</v>
      </c>
      <c r="AE83" s="758" t="s">
        <v>314</v>
      </c>
      <c r="AF83" s="758" t="s">
        <v>314</v>
      </c>
    </row>
    <row r="84" customFormat="false" ht="16.5" hidden="false" customHeight="false" outlineLevel="0" collapsed="false">
      <c r="A84" s="758" t="s">
        <v>314</v>
      </c>
      <c r="B84" s="758" t="s">
        <v>314</v>
      </c>
      <c r="C84" s="758" t="s">
        <v>314</v>
      </c>
      <c r="D84" s="758" t="s">
        <v>314</v>
      </c>
      <c r="E84" s="758" t="s">
        <v>314</v>
      </c>
      <c r="F84" s="758" t="s">
        <v>314</v>
      </c>
      <c r="G84" s="758" t="s">
        <v>314</v>
      </c>
      <c r="H84" s="758" t="s">
        <v>314</v>
      </c>
      <c r="I84" s="758" t="s">
        <v>314</v>
      </c>
      <c r="J84" s="758" t="s">
        <v>314</v>
      </c>
      <c r="K84" s="758" t="s">
        <v>314</v>
      </c>
      <c r="L84" s="758" t="s">
        <v>314</v>
      </c>
      <c r="M84" s="758" t="s">
        <v>314</v>
      </c>
      <c r="N84" s="758" t="s">
        <v>314</v>
      </c>
      <c r="O84" s="758" t="s">
        <v>314</v>
      </c>
      <c r="P84" s="758" t="s">
        <v>314</v>
      </c>
      <c r="Q84" s="758" t="s">
        <v>314</v>
      </c>
      <c r="R84" s="758" t="s">
        <v>314</v>
      </c>
      <c r="S84" s="758" t="s">
        <v>314</v>
      </c>
      <c r="T84" s="758" t="s">
        <v>314</v>
      </c>
      <c r="U84" s="758" t="s">
        <v>314</v>
      </c>
      <c r="V84" s="758" t="s">
        <v>314</v>
      </c>
      <c r="W84" s="758" t="s">
        <v>314</v>
      </c>
      <c r="X84" s="758" t="s">
        <v>314</v>
      </c>
      <c r="Y84" s="758" t="s">
        <v>314</v>
      </c>
      <c r="Z84" s="758" t="s">
        <v>314</v>
      </c>
      <c r="AA84" s="758" t="s">
        <v>314</v>
      </c>
      <c r="AB84" s="758" t="s">
        <v>314</v>
      </c>
      <c r="AC84" s="758" t="s">
        <v>314</v>
      </c>
      <c r="AD84" s="758" t="s">
        <v>314</v>
      </c>
      <c r="AE84" s="758" t="s">
        <v>314</v>
      </c>
      <c r="AF84" s="758" t="s">
        <v>314</v>
      </c>
    </row>
    <row r="85" customFormat="false" ht="16.5" hidden="false" customHeight="false" outlineLevel="0" collapsed="false">
      <c r="A85" s="758" t="s">
        <v>314</v>
      </c>
      <c r="B85" s="758" t="s">
        <v>314</v>
      </c>
      <c r="C85" s="758" t="s">
        <v>314</v>
      </c>
      <c r="D85" s="758" t="s">
        <v>314</v>
      </c>
      <c r="E85" s="758" t="s">
        <v>314</v>
      </c>
      <c r="F85" s="758" t="s">
        <v>314</v>
      </c>
      <c r="G85" s="758" t="s">
        <v>314</v>
      </c>
      <c r="H85" s="758" t="s">
        <v>314</v>
      </c>
      <c r="I85" s="758" t="s">
        <v>314</v>
      </c>
      <c r="J85" s="758" t="s">
        <v>314</v>
      </c>
      <c r="K85" s="758" t="s">
        <v>314</v>
      </c>
      <c r="L85" s="758" t="s">
        <v>314</v>
      </c>
      <c r="M85" s="758" t="s">
        <v>314</v>
      </c>
      <c r="N85" s="758" t="s">
        <v>314</v>
      </c>
      <c r="O85" s="758" t="s">
        <v>314</v>
      </c>
      <c r="P85" s="758" t="s">
        <v>314</v>
      </c>
      <c r="Q85" s="758" t="s">
        <v>314</v>
      </c>
      <c r="R85" s="758" t="s">
        <v>314</v>
      </c>
      <c r="S85" s="758" t="s">
        <v>314</v>
      </c>
      <c r="T85" s="758" t="s">
        <v>314</v>
      </c>
      <c r="U85" s="758" t="s">
        <v>314</v>
      </c>
      <c r="V85" s="758" t="s">
        <v>314</v>
      </c>
      <c r="W85" s="758" t="s">
        <v>314</v>
      </c>
      <c r="X85" s="758" t="s">
        <v>314</v>
      </c>
      <c r="Y85" s="758" t="s">
        <v>314</v>
      </c>
      <c r="Z85" s="758" t="s">
        <v>314</v>
      </c>
      <c r="AA85" s="758" t="s">
        <v>314</v>
      </c>
      <c r="AB85" s="758" t="s">
        <v>314</v>
      </c>
      <c r="AC85" s="758" t="s">
        <v>314</v>
      </c>
      <c r="AD85" s="758" t="s">
        <v>314</v>
      </c>
      <c r="AE85" s="758" t="s">
        <v>314</v>
      </c>
      <c r="AF85" s="758" t="s">
        <v>314</v>
      </c>
    </row>
    <row r="86" customFormat="false" ht="16.5" hidden="false" customHeight="false" outlineLevel="0" collapsed="false">
      <c r="A86" s="758" t="s">
        <v>314</v>
      </c>
      <c r="B86" s="758" t="s">
        <v>314</v>
      </c>
      <c r="C86" s="758" t="s">
        <v>314</v>
      </c>
      <c r="D86" s="758" t="s">
        <v>314</v>
      </c>
      <c r="E86" s="758" t="s">
        <v>314</v>
      </c>
      <c r="F86" s="758" t="s">
        <v>314</v>
      </c>
      <c r="G86" s="758" t="s">
        <v>314</v>
      </c>
      <c r="H86" s="758" t="s">
        <v>314</v>
      </c>
      <c r="I86" s="758" t="s">
        <v>314</v>
      </c>
      <c r="J86" s="758" t="s">
        <v>314</v>
      </c>
      <c r="K86" s="758" t="s">
        <v>314</v>
      </c>
      <c r="L86" s="758" t="s">
        <v>314</v>
      </c>
      <c r="M86" s="758" t="s">
        <v>314</v>
      </c>
      <c r="N86" s="758" t="s">
        <v>314</v>
      </c>
      <c r="O86" s="758" t="s">
        <v>314</v>
      </c>
      <c r="P86" s="758" t="s">
        <v>314</v>
      </c>
      <c r="Q86" s="758" t="s">
        <v>314</v>
      </c>
      <c r="R86" s="758" t="s">
        <v>314</v>
      </c>
      <c r="S86" s="758" t="s">
        <v>314</v>
      </c>
      <c r="T86" s="758" t="s">
        <v>314</v>
      </c>
      <c r="U86" s="758" t="s">
        <v>314</v>
      </c>
      <c r="V86" s="758" t="s">
        <v>314</v>
      </c>
      <c r="W86" s="758" t="s">
        <v>314</v>
      </c>
      <c r="X86" s="758" t="s">
        <v>314</v>
      </c>
      <c r="Y86" s="758" t="s">
        <v>314</v>
      </c>
      <c r="Z86" s="758" t="s">
        <v>314</v>
      </c>
      <c r="AA86" s="758" t="s">
        <v>314</v>
      </c>
      <c r="AB86" s="758" t="s">
        <v>314</v>
      </c>
      <c r="AC86" s="758" t="s">
        <v>314</v>
      </c>
      <c r="AD86" s="758" t="s">
        <v>314</v>
      </c>
      <c r="AE86" s="758" t="s">
        <v>314</v>
      </c>
      <c r="AF86" s="758" t="s">
        <v>314</v>
      </c>
    </row>
    <row r="87" customFormat="false" ht="16.5" hidden="false" customHeight="false" outlineLevel="0" collapsed="false">
      <c r="A87" s="758" t="s">
        <v>314</v>
      </c>
      <c r="B87" s="758" t="s">
        <v>314</v>
      </c>
      <c r="C87" s="758" t="s">
        <v>314</v>
      </c>
      <c r="D87" s="758" t="s">
        <v>314</v>
      </c>
      <c r="E87" s="758" t="s">
        <v>314</v>
      </c>
      <c r="F87" s="758" t="s">
        <v>314</v>
      </c>
      <c r="G87" s="758" t="s">
        <v>314</v>
      </c>
      <c r="H87" s="758" t="s">
        <v>314</v>
      </c>
      <c r="I87" s="758" t="s">
        <v>314</v>
      </c>
      <c r="J87" s="758" t="s">
        <v>314</v>
      </c>
      <c r="K87" s="758" t="s">
        <v>314</v>
      </c>
      <c r="L87" s="758" t="s">
        <v>314</v>
      </c>
      <c r="M87" s="758" t="s">
        <v>314</v>
      </c>
      <c r="N87" s="758" t="s">
        <v>314</v>
      </c>
      <c r="O87" s="758" t="s">
        <v>314</v>
      </c>
      <c r="P87" s="758" t="s">
        <v>314</v>
      </c>
      <c r="Q87" s="758" t="s">
        <v>314</v>
      </c>
      <c r="R87" s="758" t="s">
        <v>314</v>
      </c>
      <c r="S87" s="758" t="s">
        <v>314</v>
      </c>
      <c r="T87" s="758" t="s">
        <v>314</v>
      </c>
      <c r="U87" s="758" t="s">
        <v>314</v>
      </c>
      <c r="V87" s="758" t="s">
        <v>314</v>
      </c>
      <c r="W87" s="758" t="s">
        <v>314</v>
      </c>
      <c r="X87" s="758" t="s">
        <v>314</v>
      </c>
      <c r="Y87" s="758" t="s">
        <v>314</v>
      </c>
      <c r="Z87" s="758" t="s">
        <v>314</v>
      </c>
      <c r="AA87" s="758" t="s">
        <v>314</v>
      </c>
      <c r="AB87" s="758" t="s">
        <v>314</v>
      </c>
      <c r="AC87" s="758" t="s">
        <v>314</v>
      </c>
      <c r="AD87" s="758" t="s">
        <v>314</v>
      </c>
      <c r="AE87" s="758" t="s">
        <v>314</v>
      </c>
      <c r="AF87" s="758" t="s">
        <v>314</v>
      </c>
    </row>
    <row r="88" customFormat="false" ht="16.5" hidden="false" customHeight="false" outlineLevel="0" collapsed="false">
      <c r="A88" s="758" t="s">
        <v>314</v>
      </c>
      <c r="B88" s="758" t="s">
        <v>314</v>
      </c>
      <c r="C88" s="758" t="s">
        <v>314</v>
      </c>
      <c r="D88" s="758" t="s">
        <v>314</v>
      </c>
      <c r="E88" s="758" t="s">
        <v>314</v>
      </c>
      <c r="F88" s="758" t="s">
        <v>314</v>
      </c>
      <c r="G88" s="758" t="s">
        <v>314</v>
      </c>
      <c r="H88" s="758" t="s">
        <v>314</v>
      </c>
      <c r="I88" s="758" t="s">
        <v>314</v>
      </c>
      <c r="J88" s="758" t="s">
        <v>314</v>
      </c>
      <c r="K88" s="758" t="s">
        <v>314</v>
      </c>
      <c r="L88" s="758" t="s">
        <v>314</v>
      </c>
      <c r="M88" s="758" t="s">
        <v>314</v>
      </c>
      <c r="N88" s="758" t="s">
        <v>314</v>
      </c>
      <c r="O88" s="758" t="s">
        <v>314</v>
      </c>
      <c r="P88" s="758" t="s">
        <v>314</v>
      </c>
      <c r="Q88" s="758" t="s">
        <v>314</v>
      </c>
      <c r="R88" s="758" t="s">
        <v>314</v>
      </c>
      <c r="S88" s="758" t="s">
        <v>314</v>
      </c>
      <c r="T88" s="758" t="s">
        <v>314</v>
      </c>
      <c r="U88" s="758" t="s">
        <v>314</v>
      </c>
      <c r="V88" s="758" t="s">
        <v>314</v>
      </c>
      <c r="W88" s="758" t="s">
        <v>314</v>
      </c>
      <c r="X88" s="758" t="s">
        <v>314</v>
      </c>
      <c r="Y88" s="758" t="s">
        <v>314</v>
      </c>
      <c r="Z88" s="758" t="s">
        <v>314</v>
      </c>
      <c r="AA88" s="758" t="s">
        <v>314</v>
      </c>
      <c r="AB88" s="758" t="s">
        <v>314</v>
      </c>
      <c r="AC88" s="758" t="s">
        <v>314</v>
      </c>
      <c r="AD88" s="758" t="s">
        <v>314</v>
      </c>
      <c r="AE88" s="758" t="s">
        <v>314</v>
      </c>
      <c r="AF88" s="758" t="s">
        <v>314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88"/>
  <sheetViews>
    <sheetView showFormulas="false" showGridLines="true" showRowColHeaders="true" showZeros="true" rightToLeft="false" tabSelected="false" showOutlineSymbols="true" defaultGridColor="true" view="normal" topLeftCell="A32" colorId="64" zoomScale="140" zoomScaleNormal="140" zoomScalePageLayoutView="100" workbookViewId="0">
      <selection pane="topLeft" activeCell="E52" activeCellId="0" sqref="E52"/>
    </sheetView>
  </sheetViews>
  <sheetFormatPr defaultColWidth="8.859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1"/>
    <col collapsed="false" customWidth="true" hidden="false" outlineLevel="0" max="10" min="3" style="0" width="23.71"/>
    <col collapsed="false" customWidth="true" hidden="false" outlineLevel="0" max="11" min="11" style="0" width="1.86"/>
    <col collapsed="false" customWidth="true" hidden="false" outlineLevel="0" max="12" min="12" style="0" width="33"/>
    <col collapsed="false" customWidth="true" hidden="false" outlineLevel="0" max="14" min="13" style="0" width="23.28"/>
  </cols>
  <sheetData>
    <row r="1" customFormat="false" ht="23.25" hidden="false" customHeight="true" outlineLevel="0" collapsed="false">
      <c r="A1" s="849"/>
      <c r="B1" s="849"/>
      <c r="C1" s="850" t="s">
        <v>0</v>
      </c>
      <c r="D1" s="851" t="n">
        <v>230.8</v>
      </c>
      <c r="E1" s="849"/>
      <c r="F1" s="852"/>
      <c r="G1" s="849"/>
      <c r="H1" s="849"/>
      <c r="I1" s="849"/>
      <c r="J1" s="849"/>
      <c r="K1" s="849"/>
      <c r="L1" s="849"/>
      <c r="M1" s="849"/>
      <c r="N1" s="849"/>
      <c r="O1" s="849"/>
      <c r="P1" s="849"/>
      <c r="Q1" s="849"/>
      <c r="R1" s="849"/>
      <c r="S1" s="849"/>
      <c r="T1" s="849"/>
      <c r="U1" s="849"/>
      <c r="V1" s="849"/>
      <c r="W1" s="849"/>
      <c r="X1" s="849"/>
      <c r="Y1" s="849"/>
      <c r="Z1" s="849"/>
      <c r="AA1" s="849"/>
      <c r="AB1" s="849"/>
      <c r="AC1" s="849"/>
      <c r="AD1" s="849"/>
      <c r="AE1" s="849"/>
      <c r="AF1" s="849"/>
    </row>
    <row r="2" customFormat="false" ht="23.25" hidden="false" customHeight="true" outlineLevel="0" collapsed="false">
      <c r="A2" s="849"/>
      <c r="B2" s="853" t="s">
        <v>351</v>
      </c>
      <c r="C2" s="854" t="s">
        <v>1</v>
      </c>
      <c r="D2" s="855" t="n">
        <f aca="false">J8+J16+J24+J32+J40+E48</f>
        <v>129.3</v>
      </c>
      <c r="E2" s="856" t="s">
        <v>2</v>
      </c>
      <c r="F2" s="857" t="n">
        <f aca="false">J9+J17+J25+J33+J41+E49</f>
        <v>2.4</v>
      </c>
      <c r="G2" s="856" t="s">
        <v>3</v>
      </c>
      <c r="H2" s="857" t="n">
        <f aca="false">J10+J18+J26+J34+J42+E50</f>
        <v>9.2</v>
      </c>
      <c r="I2" s="858"/>
      <c r="J2" s="859" t="s">
        <v>4</v>
      </c>
      <c r="K2" s="860"/>
      <c r="L2" s="859"/>
      <c r="M2" s="849"/>
      <c r="N2" s="849"/>
      <c r="O2" s="849"/>
      <c r="P2" s="849"/>
      <c r="Q2" s="849"/>
      <c r="R2" s="849"/>
      <c r="S2" s="849"/>
      <c r="T2" s="849"/>
      <c r="U2" s="849"/>
      <c r="V2" s="849"/>
      <c r="W2" s="849"/>
      <c r="X2" s="849"/>
      <c r="Y2" s="849"/>
      <c r="Z2" s="849"/>
      <c r="AA2" s="849"/>
      <c r="AB2" s="849"/>
      <c r="AC2" s="849"/>
      <c r="AD2" s="849"/>
      <c r="AE2" s="849"/>
      <c r="AF2" s="849"/>
    </row>
    <row r="3" customFormat="false" ht="23.25" hidden="false" customHeight="true" outlineLevel="0" collapsed="false">
      <c r="A3" s="849"/>
      <c r="B3" s="861" t="s">
        <v>5</v>
      </c>
      <c r="C3" s="862" t="s">
        <v>6</v>
      </c>
      <c r="D3" s="863" t="s">
        <v>7</v>
      </c>
      <c r="E3" s="864" t="s">
        <v>8</v>
      </c>
      <c r="F3" s="865" t="s">
        <v>9</v>
      </c>
      <c r="G3" s="863" t="s">
        <v>8</v>
      </c>
      <c r="H3" s="863" t="s">
        <v>11</v>
      </c>
      <c r="I3" s="866" t="s">
        <v>6</v>
      </c>
      <c r="J3" s="859" t="s">
        <v>13</v>
      </c>
      <c r="K3" s="867"/>
      <c r="L3" s="859"/>
      <c r="M3" s="849"/>
      <c r="N3" s="849"/>
      <c r="O3" s="849"/>
      <c r="P3" s="849"/>
      <c r="Q3" s="849"/>
      <c r="R3" s="849"/>
      <c r="S3" s="849"/>
      <c r="T3" s="849"/>
      <c r="U3" s="849"/>
      <c r="V3" s="849"/>
      <c r="W3" s="849"/>
      <c r="X3" s="849"/>
      <c r="Y3" s="849"/>
      <c r="Z3" s="849"/>
      <c r="AA3" s="849"/>
      <c r="AB3" s="849"/>
      <c r="AC3" s="849"/>
      <c r="AD3" s="849"/>
      <c r="AE3" s="849"/>
      <c r="AF3" s="849"/>
    </row>
    <row r="4" customFormat="false" ht="23.25" hidden="false" customHeight="true" outlineLevel="0" collapsed="false">
      <c r="A4" s="849"/>
      <c r="B4" s="868" t="s">
        <v>14</v>
      </c>
      <c r="C4" s="869" t="n">
        <v>1</v>
      </c>
      <c r="D4" s="869" t="n">
        <v>2</v>
      </c>
      <c r="E4" s="869" t="n">
        <v>3</v>
      </c>
      <c r="F4" s="869" t="n">
        <v>4</v>
      </c>
      <c r="G4" s="869" t="n">
        <v>5</v>
      </c>
      <c r="H4" s="870" t="n">
        <v>6</v>
      </c>
      <c r="I4" s="871" t="n">
        <v>7</v>
      </c>
      <c r="J4" s="859" t="s">
        <v>15</v>
      </c>
      <c r="K4" s="867"/>
      <c r="L4" s="872"/>
      <c r="M4" s="849"/>
      <c r="N4" s="849"/>
      <c r="O4" s="849"/>
      <c r="P4" s="849"/>
      <c r="Q4" s="849"/>
      <c r="R4" s="849"/>
      <c r="S4" s="849"/>
      <c r="T4" s="849"/>
      <c r="U4" s="849"/>
      <c r="V4" s="849"/>
      <c r="W4" s="849"/>
      <c r="X4" s="849"/>
      <c r="Y4" s="849"/>
      <c r="Z4" s="849"/>
      <c r="AA4" s="849"/>
      <c r="AB4" s="849"/>
      <c r="AC4" s="849"/>
      <c r="AD4" s="849"/>
      <c r="AE4" s="849"/>
      <c r="AF4" s="849"/>
    </row>
    <row r="5" customFormat="false" ht="23.25" hidden="false" customHeight="true" outlineLevel="0" collapsed="false">
      <c r="A5" s="849"/>
      <c r="B5" s="873" t="s">
        <v>16</v>
      </c>
      <c r="C5" s="874" t="s">
        <v>216</v>
      </c>
      <c r="D5" s="875" t="s">
        <v>216</v>
      </c>
      <c r="E5" s="876" t="s">
        <v>209</v>
      </c>
      <c r="F5" s="875" t="s">
        <v>45</v>
      </c>
      <c r="G5" s="875" t="s">
        <v>43</v>
      </c>
      <c r="H5" s="875" t="s">
        <v>43</v>
      </c>
      <c r="I5" s="877" t="s">
        <v>152</v>
      </c>
      <c r="J5" s="859" t="s">
        <v>17</v>
      </c>
      <c r="K5" s="867"/>
      <c r="L5" s="878"/>
      <c r="M5" s="849"/>
      <c r="N5" s="849"/>
      <c r="O5" s="849"/>
      <c r="P5" s="849"/>
      <c r="Q5" s="849"/>
      <c r="R5" s="849"/>
      <c r="S5" s="849"/>
      <c r="T5" s="849"/>
      <c r="U5" s="849"/>
      <c r="V5" s="849"/>
      <c r="W5" s="849"/>
      <c r="X5" s="849"/>
      <c r="Y5" s="849"/>
      <c r="Z5" s="849"/>
      <c r="AA5" s="849"/>
      <c r="AB5" s="849"/>
      <c r="AC5" s="849"/>
      <c r="AD5" s="849"/>
      <c r="AE5" s="849"/>
      <c r="AF5" s="849"/>
    </row>
    <row r="6" customFormat="false" ht="23.25" hidden="false" customHeight="true" outlineLevel="0" collapsed="false">
      <c r="A6" s="849"/>
      <c r="B6" s="868" t="s">
        <v>18</v>
      </c>
      <c r="C6" s="879" t="n">
        <v>0.01</v>
      </c>
      <c r="D6" s="880" t="n">
        <v>0.03</v>
      </c>
      <c r="E6" s="879" t="n">
        <v>0.08</v>
      </c>
      <c r="F6" s="879" t="n">
        <v>0.14</v>
      </c>
      <c r="G6" s="879" t="n">
        <v>0.23</v>
      </c>
      <c r="H6" s="881" t="n">
        <v>0.32</v>
      </c>
      <c r="I6" s="881" t="n">
        <v>0.43</v>
      </c>
      <c r="J6" s="882"/>
      <c r="K6" s="867"/>
      <c r="L6" s="849"/>
      <c r="M6" s="849"/>
      <c r="N6" s="849"/>
      <c r="O6" s="849"/>
      <c r="P6" s="849"/>
      <c r="Q6" s="849"/>
      <c r="R6" s="849"/>
      <c r="S6" s="849"/>
      <c r="T6" s="849"/>
      <c r="U6" s="849"/>
      <c r="V6" s="849"/>
      <c r="W6" s="849"/>
      <c r="X6" s="849"/>
      <c r="Y6" s="849"/>
      <c r="Z6" s="849"/>
      <c r="AA6" s="849"/>
      <c r="AB6" s="849"/>
      <c r="AC6" s="849"/>
      <c r="AD6" s="849"/>
      <c r="AE6" s="849"/>
      <c r="AF6" s="849"/>
    </row>
    <row r="7" customFormat="false" ht="23.25" hidden="false" customHeight="true" outlineLevel="0" collapsed="false">
      <c r="A7" s="849"/>
      <c r="B7" s="873" t="s">
        <v>19</v>
      </c>
      <c r="C7" s="883" t="s">
        <v>62</v>
      </c>
      <c r="D7" s="884" t="s">
        <v>54</v>
      </c>
      <c r="E7" s="885" t="s">
        <v>54</v>
      </c>
      <c r="F7" s="884" t="s">
        <v>352</v>
      </c>
      <c r="G7" s="884" t="s">
        <v>40</v>
      </c>
      <c r="H7" s="884" t="s">
        <v>40</v>
      </c>
      <c r="I7" s="886" t="s">
        <v>40</v>
      </c>
      <c r="J7" s="887" t="s">
        <v>20</v>
      </c>
      <c r="K7" s="867"/>
      <c r="L7" s="888"/>
      <c r="M7" s="849"/>
      <c r="N7" s="849"/>
      <c r="O7" s="849"/>
      <c r="P7" s="849"/>
      <c r="Q7" s="849"/>
      <c r="R7" s="849"/>
      <c r="S7" s="849"/>
      <c r="T7" s="849"/>
      <c r="U7" s="849"/>
      <c r="V7" s="849"/>
      <c r="W7" s="849"/>
      <c r="X7" s="849"/>
      <c r="Y7" s="849"/>
      <c r="Z7" s="849"/>
      <c r="AA7" s="849"/>
      <c r="AB7" s="849"/>
      <c r="AC7" s="849"/>
      <c r="AD7" s="849"/>
      <c r="AE7" s="849"/>
      <c r="AF7" s="849"/>
    </row>
    <row r="8" customFormat="false" ht="23.25" hidden="false" customHeight="true" outlineLevel="0" collapsed="false">
      <c r="A8" s="849"/>
      <c r="B8" s="868" t="s">
        <v>21</v>
      </c>
      <c r="C8" s="889" t="n">
        <v>11</v>
      </c>
      <c r="D8" s="890" t="n">
        <v>11</v>
      </c>
      <c r="E8" s="891" t="n">
        <v>3</v>
      </c>
      <c r="F8" s="890" t="n">
        <v>0</v>
      </c>
      <c r="G8" s="890" t="n">
        <v>8</v>
      </c>
      <c r="H8" s="890" t="n">
        <v>8</v>
      </c>
      <c r="I8" s="892" t="n">
        <v>6</v>
      </c>
      <c r="J8" s="893" t="n">
        <f aca="false" t="array" ref="J8:J8">SUM(IF(ISNUMBER(C8:I8), C8:I8, 0))</f>
        <v>47</v>
      </c>
      <c r="K8" s="867"/>
      <c r="L8" s="894" t="s">
        <v>22</v>
      </c>
      <c r="M8" s="849"/>
      <c r="N8" s="849"/>
      <c r="O8" s="849"/>
      <c r="P8" s="849"/>
      <c r="Q8" s="849"/>
      <c r="R8" s="849"/>
      <c r="S8" s="849"/>
      <c r="T8" s="849"/>
      <c r="U8" s="849"/>
      <c r="V8" s="849"/>
      <c r="W8" s="849"/>
      <c r="X8" s="849"/>
      <c r="Y8" s="849"/>
      <c r="Z8" s="849"/>
      <c r="AA8" s="849"/>
      <c r="AB8" s="849"/>
      <c r="AC8" s="849"/>
      <c r="AD8" s="849"/>
      <c r="AE8" s="849"/>
      <c r="AF8" s="849"/>
    </row>
    <row r="9" customFormat="false" ht="23.25" hidden="false" customHeight="true" outlineLevel="0" collapsed="false">
      <c r="A9" s="849"/>
      <c r="B9" s="868" t="s">
        <v>23</v>
      </c>
      <c r="C9" s="889" t="n">
        <v>0</v>
      </c>
      <c r="D9" s="890" t="n">
        <v>0</v>
      </c>
      <c r="E9" s="891" t="s">
        <v>180</v>
      </c>
      <c r="F9" s="890" t="s">
        <v>180</v>
      </c>
      <c r="G9" s="890" t="s">
        <v>180</v>
      </c>
      <c r="H9" s="890" t="s">
        <v>180</v>
      </c>
      <c r="I9" s="892"/>
      <c r="J9" s="893" t="n">
        <f aca="false" t="array" ref="J9:J9">SUM(IF(ISNUMBER(B9:I9), B9:I9, 0))</f>
        <v>0</v>
      </c>
      <c r="K9" s="867"/>
      <c r="L9" s="894" t="s">
        <v>24</v>
      </c>
      <c r="M9" s="849"/>
      <c r="N9" s="849"/>
      <c r="O9" s="849"/>
      <c r="P9" s="849"/>
      <c r="Q9" s="849"/>
      <c r="R9" s="849"/>
      <c r="S9" s="849"/>
      <c r="T9" s="849"/>
      <c r="U9" s="849"/>
      <c r="V9" s="849"/>
      <c r="W9" s="849"/>
      <c r="X9" s="849"/>
      <c r="Y9" s="849"/>
      <c r="Z9" s="849"/>
      <c r="AA9" s="849"/>
      <c r="AB9" s="849"/>
      <c r="AC9" s="849"/>
      <c r="AD9" s="849"/>
      <c r="AE9" s="849"/>
      <c r="AF9" s="849"/>
    </row>
    <row r="10" customFormat="false" ht="23.25" hidden="false" customHeight="true" outlineLevel="0" collapsed="false">
      <c r="A10" s="849"/>
      <c r="B10" s="868" t="s">
        <v>25</v>
      </c>
      <c r="C10" s="889" t="n">
        <v>0.8</v>
      </c>
      <c r="D10" s="890" t="n">
        <v>0.8</v>
      </c>
      <c r="E10" s="891" t="s">
        <v>154</v>
      </c>
      <c r="F10" s="890" t="n">
        <v>0</v>
      </c>
      <c r="G10" s="890" t="n">
        <v>0.8</v>
      </c>
      <c r="H10" s="890" t="n">
        <v>0.8</v>
      </c>
      <c r="I10" s="895" t="n">
        <v>0.8</v>
      </c>
      <c r="J10" s="896" t="n">
        <f aca="false" t="array" ref="J10:J10">SUM(IF(ISNUMBER(B10:I10), B10:I10, 0))</f>
        <v>4</v>
      </c>
      <c r="K10" s="867"/>
      <c r="L10" s="894" t="s">
        <v>26</v>
      </c>
      <c r="M10" s="849"/>
      <c r="N10" s="849"/>
      <c r="O10" s="849"/>
      <c r="P10" s="849"/>
      <c r="Q10" s="849"/>
      <c r="R10" s="849"/>
      <c r="S10" s="849"/>
      <c r="T10" s="849"/>
      <c r="U10" s="849"/>
      <c r="V10" s="849"/>
      <c r="W10" s="849"/>
      <c r="X10" s="849"/>
      <c r="Y10" s="849"/>
      <c r="Z10" s="849"/>
      <c r="AA10" s="849"/>
      <c r="AB10" s="849"/>
      <c r="AC10" s="849"/>
      <c r="AD10" s="849"/>
      <c r="AE10" s="849"/>
      <c r="AF10" s="849"/>
    </row>
    <row r="11" customFormat="false" ht="23.25" hidden="false" customHeight="true" outlineLevel="0" collapsed="false">
      <c r="A11" s="849"/>
      <c r="B11" s="897" t="s">
        <v>27</v>
      </c>
      <c r="C11" s="898" t="s">
        <v>353</v>
      </c>
      <c r="D11" s="899" t="s">
        <v>353</v>
      </c>
      <c r="E11" s="900" t="s">
        <v>354</v>
      </c>
      <c r="F11" s="901" t="s">
        <v>355</v>
      </c>
      <c r="G11" s="899" t="s">
        <v>356</v>
      </c>
      <c r="H11" s="902" t="s">
        <v>357</v>
      </c>
      <c r="I11" s="903" t="s">
        <v>358</v>
      </c>
      <c r="J11" s="51" t="n">
        <v>57.4</v>
      </c>
      <c r="K11" s="19"/>
      <c r="L11" s="49" t="s">
        <v>28</v>
      </c>
      <c r="M11" s="849"/>
      <c r="N11" s="849"/>
      <c r="O11" s="849"/>
      <c r="P11" s="849"/>
      <c r="Q11" s="849"/>
      <c r="R11" s="849"/>
      <c r="S11" s="849"/>
      <c r="T11" s="849"/>
      <c r="U11" s="849"/>
      <c r="V11" s="849"/>
      <c r="W11" s="849"/>
      <c r="X11" s="849"/>
      <c r="Y11" s="849"/>
      <c r="Z11" s="849"/>
      <c r="AA11" s="849"/>
      <c r="AB11" s="849"/>
      <c r="AC11" s="849"/>
      <c r="AD11" s="849"/>
      <c r="AE11" s="849"/>
      <c r="AF11" s="849"/>
    </row>
    <row r="12" customFormat="false" ht="23.25" hidden="false" customHeight="true" outlineLevel="0" collapsed="false">
      <c r="A12" s="849"/>
      <c r="B12" s="849" t="s">
        <v>4</v>
      </c>
      <c r="C12" s="904" t="n">
        <v>8</v>
      </c>
      <c r="D12" s="904" t="n">
        <v>9</v>
      </c>
      <c r="E12" s="904" t="n">
        <v>10</v>
      </c>
      <c r="F12" s="904" t="n">
        <v>11</v>
      </c>
      <c r="G12" s="904" t="n">
        <v>12</v>
      </c>
      <c r="H12" s="905" t="n">
        <v>13</v>
      </c>
      <c r="I12" s="869" t="n">
        <v>14</v>
      </c>
      <c r="J12" s="906"/>
      <c r="K12" s="867"/>
      <c r="L12" s="907"/>
      <c r="M12" s="849"/>
      <c r="N12" s="849"/>
      <c r="O12" s="849"/>
      <c r="P12" s="849"/>
      <c r="Q12" s="849"/>
      <c r="R12" s="849"/>
      <c r="S12" s="849"/>
      <c r="T12" s="849"/>
      <c r="U12" s="849"/>
      <c r="V12" s="849"/>
      <c r="W12" s="849"/>
      <c r="X12" s="849"/>
      <c r="Y12" s="849"/>
      <c r="Z12" s="849"/>
      <c r="AA12" s="849"/>
      <c r="AB12" s="849"/>
      <c r="AC12" s="849"/>
      <c r="AD12" s="849"/>
      <c r="AE12" s="849"/>
      <c r="AF12" s="849"/>
    </row>
    <row r="13" customFormat="false" ht="23.25" hidden="false" customHeight="true" outlineLevel="0" collapsed="false">
      <c r="A13" s="849"/>
      <c r="B13" s="849"/>
      <c r="C13" s="874" t="s">
        <v>43</v>
      </c>
      <c r="D13" s="875" t="s">
        <v>359</v>
      </c>
      <c r="E13" s="876" t="s">
        <v>216</v>
      </c>
      <c r="F13" s="875" t="s">
        <v>209</v>
      </c>
      <c r="G13" s="908"/>
      <c r="H13" s="908"/>
      <c r="I13" s="909"/>
      <c r="J13" s="906"/>
      <c r="K13" s="867"/>
      <c r="L13" s="907"/>
      <c r="M13" s="849"/>
      <c r="N13" s="849"/>
      <c r="O13" s="849"/>
      <c r="P13" s="849"/>
      <c r="Q13" s="849"/>
      <c r="R13" s="849"/>
      <c r="S13" s="849"/>
      <c r="T13" s="849"/>
      <c r="U13" s="849"/>
      <c r="V13" s="849"/>
      <c r="W13" s="849"/>
      <c r="X13" s="849"/>
      <c r="Y13" s="849"/>
      <c r="Z13" s="849"/>
      <c r="AA13" s="849"/>
      <c r="AB13" s="849"/>
      <c r="AC13" s="849"/>
      <c r="AD13" s="849"/>
      <c r="AE13" s="849"/>
      <c r="AF13" s="849"/>
    </row>
    <row r="14" customFormat="false" ht="23.25" hidden="false" customHeight="true" outlineLevel="0" collapsed="false">
      <c r="A14" s="849"/>
      <c r="B14" s="849"/>
      <c r="C14" s="879" t="n">
        <v>0.54</v>
      </c>
      <c r="D14" s="879" t="n">
        <v>0.66</v>
      </c>
      <c r="E14" s="879" t="n">
        <v>0.76</v>
      </c>
      <c r="F14" s="879" t="n">
        <v>0.85</v>
      </c>
      <c r="G14" s="879" t="n">
        <v>0.92</v>
      </c>
      <c r="H14" s="881" t="n">
        <v>0.97</v>
      </c>
      <c r="I14" s="881" t="n">
        <v>1</v>
      </c>
      <c r="J14" s="867"/>
      <c r="K14" s="867"/>
      <c r="L14" s="907"/>
      <c r="M14" s="849"/>
      <c r="N14" s="849"/>
      <c r="O14" s="849"/>
      <c r="P14" s="849"/>
      <c r="Q14" s="849"/>
      <c r="R14" s="849"/>
      <c r="S14" s="849"/>
      <c r="T14" s="849"/>
      <c r="U14" s="849"/>
      <c r="V14" s="849"/>
      <c r="W14" s="849"/>
      <c r="X14" s="849"/>
      <c r="Y14" s="849"/>
      <c r="Z14" s="849"/>
      <c r="AA14" s="849"/>
      <c r="AB14" s="849"/>
      <c r="AC14" s="849"/>
      <c r="AD14" s="849"/>
      <c r="AE14" s="849"/>
      <c r="AF14" s="849"/>
    </row>
    <row r="15" customFormat="false" ht="23.25" hidden="false" customHeight="true" outlineLevel="0" collapsed="false">
      <c r="A15" s="849"/>
      <c r="B15" s="849"/>
      <c r="C15" s="883" t="s">
        <v>62</v>
      </c>
      <c r="D15" s="884" t="s">
        <v>54</v>
      </c>
      <c r="E15" s="884" t="s">
        <v>40</v>
      </c>
      <c r="F15" s="884" t="s">
        <v>40</v>
      </c>
      <c r="G15" s="910"/>
      <c r="H15" s="910"/>
      <c r="I15" s="911"/>
      <c r="J15" s="887" t="s">
        <v>29</v>
      </c>
      <c r="K15" s="867"/>
      <c r="L15" s="907"/>
      <c r="M15" s="849"/>
      <c r="N15" s="849"/>
      <c r="O15" s="849"/>
      <c r="P15" s="849"/>
      <c r="Q15" s="849"/>
      <c r="R15" s="849"/>
      <c r="S15" s="849"/>
      <c r="T15" s="849"/>
      <c r="U15" s="849"/>
      <c r="V15" s="849"/>
      <c r="W15" s="849"/>
      <c r="X15" s="849"/>
      <c r="Y15" s="849"/>
      <c r="Z15" s="849"/>
      <c r="AA15" s="849"/>
      <c r="AB15" s="849"/>
      <c r="AC15" s="849"/>
      <c r="AD15" s="849"/>
      <c r="AE15" s="849"/>
      <c r="AF15" s="849"/>
    </row>
    <row r="16" customFormat="false" ht="23.25" hidden="false" customHeight="true" outlineLevel="0" collapsed="false">
      <c r="A16" s="849"/>
      <c r="B16" s="849"/>
      <c r="C16" s="889" t="n">
        <v>5</v>
      </c>
      <c r="D16" s="890" t="n">
        <v>4</v>
      </c>
      <c r="E16" s="890" t="n">
        <v>1</v>
      </c>
      <c r="F16" s="890" t="n">
        <v>2</v>
      </c>
      <c r="G16" s="890"/>
      <c r="H16" s="890"/>
      <c r="I16" s="892"/>
      <c r="J16" s="893" t="n">
        <f aca="false" t="array" ref="J16:J16">SUM(IF(ISNUMBER(B16:I16), B16:I16, 0))</f>
        <v>12</v>
      </c>
      <c r="K16" s="867"/>
      <c r="L16" s="803" t="s">
        <v>22</v>
      </c>
      <c r="M16" s="849"/>
      <c r="N16" s="849"/>
      <c r="O16" s="849"/>
      <c r="P16" s="849"/>
      <c r="Q16" s="849"/>
      <c r="R16" s="849"/>
      <c r="S16" s="849"/>
      <c r="T16" s="849"/>
      <c r="U16" s="849"/>
      <c r="V16" s="849"/>
      <c r="W16" s="849"/>
      <c r="X16" s="849"/>
      <c r="Y16" s="849"/>
      <c r="Z16" s="849"/>
      <c r="AA16" s="849"/>
      <c r="AB16" s="849"/>
      <c r="AC16" s="849"/>
      <c r="AD16" s="849"/>
      <c r="AE16" s="849"/>
      <c r="AF16" s="849"/>
    </row>
    <row r="17" customFormat="false" ht="23.25" hidden="false" customHeight="true" outlineLevel="0" collapsed="false">
      <c r="A17" s="849"/>
      <c r="B17" s="849"/>
      <c r="C17" s="889" t="n">
        <v>0</v>
      </c>
      <c r="D17" s="890" t="n">
        <v>0</v>
      </c>
      <c r="E17" s="890" t="n">
        <v>0</v>
      </c>
      <c r="F17" s="890" t="n">
        <v>0</v>
      </c>
      <c r="G17" s="890"/>
      <c r="H17" s="890"/>
      <c r="I17" s="892"/>
      <c r="J17" s="893" t="n">
        <f aca="false" t="array" ref="J17:J17">SUM(IF(ISNUMBER(B17:I17), B17:I17, 0))</f>
        <v>0</v>
      </c>
      <c r="K17" s="867"/>
      <c r="L17" s="803" t="s">
        <v>24</v>
      </c>
      <c r="M17" s="849"/>
      <c r="N17" s="849"/>
      <c r="O17" s="849"/>
      <c r="P17" s="849"/>
      <c r="Q17" s="849"/>
      <c r="R17" s="849"/>
      <c r="S17" s="849"/>
      <c r="T17" s="849"/>
      <c r="U17" s="849"/>
      <c r="V17" s="849"/>
      <c r="W17" s="849"/>
      <c r="X17" s="849"/>
      <c r="Y17" s="849"/>
      <c r="Z17" s="849"/>
      <c r="AA17" s="849"/>
      <c r="AB17" s="849"/>
      <c r="AC17" s="849"/>
      <c r="AD17" s="849"/>
      <c r="AE17" s="849"/>
      <c r="AF17" s="849"/>
    </row>
    <row r="18" customFormat="false" ht="23.25" hidden="false" customHeight="true" outlineLevel="0" collapsed="false">
      <c r="A18" s="849"/>
      <c r="B18" s="849"/>
      <c r="C18" s="889" t="n">
        <v>0.8</v>
      </c>
      <c r="D18" s="890" t="n">
        <v>0.8</v>
      </c>
      <c r="E18" s="890" t="n">
        <v>0</v>
      </c>
      <c r="F18" s="890" t="n">
        <v>0</v>
      </c>
      <c r="G18" s="890"/>
      <c r="H18" s="890"/>
      <c r="I18" s="892"/>
      <c r="J18" s="896" t="n">
        <f aca="false" t="array" ref="J18:J18">SUM(IF(ISNUMBER(B18:I18), B18:I18, 0))</f>
        <v>1.6</v>
      </c>
      <c r="K18" s="867"/>
      <c r="L18" s="803" t="s">
        <v>26</v>
      </c>
      <c r="M18" s="849"/>
      <c r="N18" s="849"/>
      <c r="O18" s="849"/>
      <c r="P18" s="849"/>
      <c r="Q18" s="849"/>
      <c r="R18" s="849"/>
      <c r="S18" s="849"/>
      <c r="T18" s="849"/>
      <c r="U18" s="849"/>
      <c r="V18" s="849"/>
      <c r="W18" s="849"/>
      <c r="X18" s="849"/>
      <c r="Y18" s="849"/>
      <c r="Z18" s="849"/>
      <c r="AA18" s="849"/>
      <c r="AB18" s="849"/>
      <c r="AC18" s="849"/>
      <c r="AD18" s="849"/>
      <c r="AE18" s="849"/>
      <c r="AF18" s="849"/>
    </row>
    <row r="19" customFormat="false" ht="23.25" hidden="false" customHeight="true" outlineLevel="0" collapsed="false">
      <c r="A19" s="849"/>
      <c r="B19" s="849"/>
      <c r="C19" s="912" t="s">
        <v>360</v>
      </c>
      <c r="D19" s="913" t="s">
        <v>361</v>
      </c>
      <c r="E19" s="899" t="s">
        <v>362</v>
      </c>
      <c r="F19" s="899" t="s">
        <v>363</v>
      </c>
      <c r="G19" s="914" t="s">
        <v>364</v>
      </c>
      <c r="H19" s="915" t="s">
        <v>365</v>
      </c>
      <c r="I19" s="903" t="s">
        <v>366</v>
      </c>
      <c r="J19" s="51" t="n">
        <v>18.61</v>
      </c>
      <c r="K19" s="867"/>
      <c r="L19" s="49" t="s">
        <v>28</v>
      </c>
      <c r="M19" s="849"/>
      <c r="N19" s="849"/>
      <c r="O19" s="849"/>
      <c r="P19" s="849"/>
      <c r="Q19" s="849"/>
      <c r="R19" s="849"/>
      <c r="S19" s="849"/>
      <c r="T19" s="849"/>
      <c r="U19" s="849"/>
      <c r="V19" s="849"/>
      <c r="W19" s="849"/>
      <c r="X19" s="849"/>
      <c r="Y19" s="849"/>
      <c r="Z19" s="849"/>
      <c r="AA19" s="849"/>
      <c r="AB19" s="849"/>
      <c r="AC19" s="849"/>
      <c r="AD19" s="849"/>
      <c r="AE19" s="849"/>
      <c r="AF19" s="849"/>
    </row>
    <row r="20" customFormat="false" ht="23.25" hidden="false" customHeight="true" outlineLevel="0" collapsed="false">
      <c r="A20" s="849"/>
      <c r="B20" s="849"/>
      <c r="C20" s="904" t="n">
        <v>15</v>
      </c>
      <c r="D20" s="904" t="n">
        <v>16</v>
      </c>
      <c r="E20" s="904" t="n">
        <v>17</v>
      </c>
      <c r="F20" s="904" t="n">
        <v>18</v>
      </c>
      <c r="G20" s="904" t="n">
        <v>19</v>
      </c>
      <c r="H20" s="905" t="n">
        <v>20</v>
      </c>
      <c r="I20" s="869" t="n">
        <v>21</v>
      </c>
      <c r="J20" s="906"/>
      <c r="K20" s="867"/>
      <c r="L20" s="907"/>
      <c r="M20" s="849"/>
      <c r="N20" s="849"/>
      <c r="O20" s="849"/>
      <c r="P20" s="849"/>
      <c r="Q20" s="849"/>
      <c r="R20" s="849"/>
      <c r="S20" s="849"/>
      <c r="T20" s="849"/>
      <c r="U20" s="849"/>
      <c r="V20" s="849"/>
      <c r="W20" s="849"/>
      <c r="X20" s="849"/>
      <c r="Y20" s="849"/>
      <c r="Z20" s="849"/>
      <c r="AA20" s="849"/>
      <c r="AB20" s="849"/>
      <c r="AC20" s="849"/>
      <c r="AD20" s="849"/>
      <c r="AE20" s="849"/>
      <c r="AF20" s="849"/>
    </row>
    <row r="21" customFormat="false" ht="23.25" hidden="false" customHeight="true" outlineLevel="0" collapsed="false">
      <c r="A21" s="849"/>
      <c r="B21" s="849"/>
      <c r="C21" s="916"/>
      <c r="D21" s="908"/>
      <c r="E21" s="917"/>
      <c r="F21" s="918" t="s">
        <v>209</v>
      </c>
      <c r="G21" s="918" t="s">
        <v>79</v>
      </c>
      <c r="H21" s="918" t="s">
        <v>79</v>
      </c>
      <c r="I21" s="877" t="s">
        <v>43</v>
      </c>
      <c r="J21" s="906"/>
      <c r="K21" s="867"/>
      <c r="L21" s="907"/>
      <c r="M21" s="849"/>
      <c r="N21" s="849"/>
      <c r="O21" s="849"/>
      <c r="P21" s="849"/>
      <c r="Q21" s="849"/>
      <c r="R21" s="849"/>
      <c r="S21" s="849"/>
      <c r="T21" s="849"/>
      <c r="U21" s="849"/>
      <c r="V21" s="849"/>
      <c r="W21" s="849"/>
      <c r="X21" s="849"/>
      <c r="Y21" s="849"/>
      <c r="Z21" s="849"/>
      <c r="AA21" s="849"/>
      <c r="AB21" s="849"/>
      <c r="AC21" s="849"/>
      <c r="AD21" s="849"/>
      <c r="AE21" s="849"/>
      <c r="AF21" s="849"/>
    </row>
    <row r="22" customFormat="false" ht="23.25" hidden="false" customHeight="true" outlineLevel="0" collapsed="false">
      <c r="A22" s="849"/>
      <c r="B22" s="849"/>
      <c r="C22" s="879" t="n">
        <v>0.99</v>
      </c>
      <c r="D22" s="879" t="n">
        <v>0.96</v>
      </c>
      <c r="E22" s="879" t="n">
        <v>0.92</v>
      </c>
      <c r="F22" s="879" t="n">
        <v>0.85</v>
      </c>
      <c r="G22" s="879" t="n">
        <v>0.77</v>
      </c>
      <c r="H22" s="881" t="n">
        <v>0.68</v>
      </c>
      <c r="I22" s="881" t="n">
        <v>0.59</v>
      </c>
      <c r="J22" s="867"/>
      <c r="K22" s="867"/>
      <c r="L22" s="907"/>
      <c r="M22" s="849"/>
      <c r="N22" s="849"/>
      <c r="O22" s="849"/>
      <c r="P22" s="849"/>
      <c r="Q22" s="849"/>
      <c r="R22" s="849"/>
      <c r="S22" s="849"/>
      <c r="T22" s="849"/>
      <c r="U22" s="849"/>
      <c r="V22" s="849"/>
      <c r="W22" s="849"/>
      <c r="X22" s="849"/>
      <c r="Y22" s="849"/>
      <c r="Z22" s="849"/>
      <c r="AA22" s="849"/>
      <c r="AB22" s="849"/>
      <c r="AC22" s="849"/>
      <c r="AD22" s="849"/>
      <c r="AE22" s="849"/>
      <c r="AF22" s="849"/>
    </row>
    <row r="23" customFormat="false" ht="23.25" hidden="false" customHeight="true" outlineLevel="0" collapsed="false">
      <c r="A23" s="849"/>
      <c r="B23" s="849"/>
      <c r="C23" s="919"/>
      <c r="D23" s="910"/>
      <c r="E23" s="910"/>
      <c r="F23" s="884" t="s">
        <v>169</v>
      </c>
      <c r="G23" s="884" t="s">
        <v>62</v>
      </c>
      <c r="H23" s="884" t="s">
        <v>169</v>
      </c>
      <c r="I23" s="920" t="s">
        <v>62</v>
      </c>
      <c r="J23" s="836" t="s">
        <v>30</v>
      </c>
      <c r="K23" s="867"/>
      <c r="L23" s="907"/>
      <c r="M23" s="849"/>
      <c r="N23" s="849"/>
      <c r="O23" s="849"/>
      <c r="P23" s="849"/>
      <c r="Q23" s="849"/>
      <c r="R23" s="849"/>
      <c r="S23" s="849"/>
      <c r="T23" s="849"/>
      <c r="U23" s="849"/>
      <c r="V23" s="849"/>
      <c r="W23" s="849"/>
      <c r="X23" s="849"/>
      <c r="Y23" s="849"/>
      <c r="Z23" s="849"/>
      <c r="AA23" s="849"/>
      <c r="AB23" s="849"/>
      <c r="AC23" s="849"/>
      <c r="AD23" s="849"/>
      <c r="AE23" s="849"/>
      <c r="AF23" s="849"/>
    </row>
    <row r="24" customFormat="false" ht="23.25" hidden="false" customHeight="true" outlineLevel="0" collapsed="false">
      <c r="A24" s="849"/>
      <c r="B24" s="849"/>
      <c r="C24" s="889"/>
      <c r="D24" s="921"/>
      <c r="E24" s="890"/>
      <c r="F24" s="890" t="n">
        <v>2</v>
      </c>
      <c r="G24" s="890" t="n">
        <v>2</v>
      </c>
      <c r="H24" s="922" t="n">
        <v>4.5</v>
      </c>
      <c r="I24" s="923" t="n">
        <v>6.4</v>
      </c>
      <c r="J24" s="924" t="n">
        <f aca="false" t="array" ref="J24:J24">SUM(IF(ISNUMBER(B24:I24), B24:I24, 0))</f>
        <v>14.9</v>
      </c>
      <c r="K24" s="867"/>
      <c r="L24" s="803" t="s">
        <v>22</v>
      </c>
      <c r="M24" s="849"/>
      <c r="N24" s="849"/>
      <c r="O24" s="849"/>
      <c r="P24" s="849"/>
      <c r="Q24" s="849"/>
      <c r="R24" s="849"/>
      <c r="S24" s="849"/>
      <c r="T24" s="849"/>
      <c r="U24" s="849"/>
      <c r="V24" s="849"/>
      <c r="W24" s="849"/>
      <c r="X24" s="849"/>
      <c r="Y24" s="849"/>
      <c r="Z24" s="849"/>
      <c r="AA24" s="849"/>
      <c r="AB24" s="849"/>
      <c r="AC24" s="849"/>
      <c r="AD24" s="849"/>
      <c r="AE24" s="849"/>
      <c r="AF24" s="849"/>
    </row>
    <row r="25" customFormat="false" ht="23.25" hidden="false" customHeight="true" outlineLevel="0" collapsed="false">
      <c r="A25" s="849"/>
      <c r="B25" s="849"/>
      <c r="C25" s="889"/>
      <c r="D25" s="921"/>
      <c r="E25" s="890"/>
      <c r="F25" s="890" t="s">
        <v>217</v>
      </c>
      <c r="G25" s="890" t="s">
        <v>250</v>
      </c>
      <c r="H25" s="922" t="s">
        <v>217</v>
      </c>
      <c r="I25" s="923" t="s">
        <v>217</v>
      </c>
      <c r="J25" s="924" t="n">
        <f aca="false" t="array" ref="J25:J25">SUM(IF(ISNUMBER(B25:I25), B25:I25, 0))</f>
        <v>0</v>
      </c>
      <c r="K25" s="867"/>
      <c r="L25" s="803" t="s">
        <v>24</v>
      </c>
      <c r="M25" s="849"/>
      <c r="N25" s="849"/>
      <c r="O25" s="849"/>
      <c r="P25" s="849"/>
      <c r="Q25" s="849"/>
      <c r="R25" s="849"/>
      <c r="S25" s="849"/>
      <c r="T25" s="849"/>
      <c r="U25" s="849"/>
      <c r="V25" s="849"/>
      <c r="W25" s="849"/>
      <c r="X25" s="849"/>
      <c r="Y25" s="849"/>
      <c r="Z25" s="849"/>
      <c r="AA25" s="849"/>
      <c r="AB25" s="849"/>
      <c r="AC25" s="849"/>
      <c r="AD25" s="849"/>
      <c r="AE25" s="849"/>
      <c r="AF25" s="849"/>
    </row>
    <row r="26" customFormat="false" ht="23.25" hidden="false" customHeight="true" outlineLevel="0" collapsed="false">
      <c r="A26" s="849"/>
      <c r="B26" s="849"/>
      <c r="C26" s="889"/>
      <c r="D26" s="922"/>
      <c r="E26" s="922"/>
      <c r="F26" s="922" t="n">
        <v>0</v>
      </c>
      <c r="G26" s="922" t="n">
        <v>0</v>
      </c>
      <c r="H26" s="922" t="n">
        <v>0</v>
      </c>
      <c r="I26" s="923" t="n">
        <v>0</v>
      </c>
      <c r="J26" s="925" t="n">
        <f aca="false" t="array" ref="J26:J26">SUM(IF(ISNUMBER(B26:I26), B26:I26, 0))</f>
        <v>0</v>
      </c>
      <c r="K26" s="867"/>
      <c r="L26" s="803" t="s">
        <v>26</v>
      </c>
      <c r="M26" s="849"/>
      <c r="N26" s="849"/>
      <c r="O26" s="849"/>
      <c r="P26" s="849"/>
      <c r="Q26" s="849"/>
      <c r="R26" s="849"/>
      <c r="S26" s="849"/>
      <c r="T26" s="849"/>
      <c r="U26" s="849"/>
      <c r="V26" s="849"/>
      <c r="W26" s="849"/>
      <c r="X26" s="849"/>
      <c r="Y26" s="849"/>
      <c r="Z26" s="849"/>
      <c r="AA26" s="849"/>
      <c r="AB26" s="849"/>
      <c r="AC26" s="849"/>
      <c r="AD26" s="849"/>
      <c r="AE26" s="849"/>
      <c r="AF26" s="849"/>
    </row>
    <row r="27" customFormat="false" ht="23.25" hidden="false" customHeight="true" outlineLevel="0" collapsed="false">
      <c r="A27" s="849"/>
      <c r="B27" s="849"/>
      <c r="C27" s="926" t="s">
        <v>367</v>
      </c>
      <c r="D27" s="899" t="s">
        <v>368</v>
      </c>
      <c r="E27" s="899" t="s">
        <v>369</v>
      </c>
      <c r="F27" s="902" t="s">
        <v>370</v>
      </c>
      <c r="G27" s="899" t="s">
        <v>371</v>
      </c>
      <c r="H27" s="899" t="s">
        <v>372</v>
      </c>
      <c r="I27" s="927" t="s">
        <v>373</v>
      </c>
      <c r="J27" s="51" t="n">
        <v>41.43</v>
      </c>
      <c r="K27" s="867"/>
      <c r="L27" s="49" t="s">
        <v>28</v>
      </c>
      <c r="M27" s="849"/>
      <c r="N27" s="849"/>
      <c r="O27" s="849"/>
      <c r="P27" s="849"/>
      <c r="Q27" s="849"/>
      <c r="R27" s="849"/>
      <c r="S27" s="849"/>
      <c r="T27" s="849"/>
      <c r="U27" s="849"/>
      <c r="V27" s="849"/>
      <c r="W27" s="849"/>
      <c r="X27" s="849"/>
      <c r="Y27" s="849"/>
      <c r="Z27" s="849"/>
      <c r="AA27" s="849"/>
      <c r="AB27" s="849"/>
      <c r="AC27" s="849"/>
      <c r="AD27" s="849"/>
      <c r="AE27" s="849"/>
      <c r="AF27" s="849"/>
    </row>
    <row r="28" customFormat="false" ht="23.25" hidden="false" customHeight="true" outlineLevel="0" collapsed="false">
      <c r="A28" s="849"/>
      <c r="B28" s="849"/>
      <c r="C28" s="904" t="n">
        <v>22</v>
      </c>
      <c r="D28" s="904" t="n">
        <v>23</v>
      </c>
      <c r="E28" s="904" t="n">
        <v>24</v>
      </c>
      <c r="F28" s="904" t="n">
        <v>25</v>
      </c>
      <c r="G28" s="904" t="n">
        <v>26</v>
      </c>
      <c r="H28" s="905" t="n">
        <v>27</v>
      </c>
      <c r="I28" s="904" t="n">
        <v>28</v>
      </c>
      <c r="J28" s="928"/>
      <c r="K28" s="867"/>
      <c r="L28" s="907"/>
      <c r="M28" s="849"/>
      <c r="N28" s="849"/>
      <c r="O28" s="849"/>
      <c r="P28" s="849"/>
      <c r="Q28" s="849"/>
      <c r="R28" s="849"/>
      <c r="S28" s="849"/>
      <c r="T28" s="849"/>
      <c r="U28" s="849"/>
      <c r="V28" s="849"/>
      <c r="W28" s="849"/>
      <c r="X28" s="849"/>
      <c r="Y28" s="849"/>
      <c r="Z28" s="849"/>
      <c r="AA28" s="849"/>
      <c r="AB28" s="849"/>
      <c r="AC28" s="849"/>
      <c r="AD28" s="849"/>
      <c r="AE28" s="849"/>
      <c r="AF28" s="849"/>
    </row>
    <row r="29" customFormat="false" ht="23.25" hidden="false" customHeight="true" outlineLevel="0" collapsed="false">
      <c r="A29" s="849"/>
      <c r="B29" s="849"/>
      <c r="C29" s="874" t="s">
        <v>152</v>
      </c>
      <c r="D29" s="875" t="s">
        <v>209</v>
      </c>
      <c r="E29" s="876" t="s">
        <v>45</v>
      </c>
      <c r="F29" s="875" t="s">
        <v>152</v>
      </c>
      <c r="G29" s="875" t="s">
        <v>40</v>
      </c>
      <c r="H29" s="875" t="s">
        <v>43</v>
      </c>
      <c r="I29" s="877" t="s">
        <v>79</v>
      </c>
      <c r="J29" s="906"/>
      <c r="K29" s="867"/>
      <c r="L29" s="907"/>
      <c r="M29" s="849"/>
      <c r="N29" s="849"/>
      <c r="O29" s="849"/>
      <c r="P29" s="849"/>
      <c r="Q29" s="849"/>
      <c r="R29" s="849"/>
      <c r="S29" s="849"/>
      <c r="T29" s="849"/>
      <c r="U29" s="849"/>
      <c r="V29" s="849"/>
      <c r="W29" s="849"/>
      <c r="X29" s="849"/>
      <c r="Y29" s="849"/>
      <c r="Z29" s="849"/>
      <c r="AA29" s="849"/>
      <c r="AB29" s="849"/>
      <c r="AC29" s="849"/>
      <c r="AD29" s="849"/>
      <c r="AE29" s="849"/>
      <c r="AF29" s="849"/>
    </row>
    <row r="30" customFormat="false" ht="23.25" hidden="false" customHeight="true" outlineLevel="0" collapsed="false">
      <c r="A30" s="849"/>
      <c r="B30" s="849"/>
      <c r="C30" s="929" t="n">
        <v>0.49</v>
      </c>
      <c r="D30" s="879" t="n">
        <v>0.4</v>
      </c>
      <c r="E30" s="879" t="n">
        <v>0.31</v>
      </c>
      <c r="F30" s="879" t="n">
        <v>0.23</v>
      </c>
      <c r="G30" s="879" t="n">
        <v>0.15</v>
      </c>
      <c r="H30" s="879" t="n">
        <v>0.09</v>
      </c>
      <c r="I30" s="881" t="n">
        <v>0.04</v>
      </c>
      <c r="J30" s="867"/>
      <c r="K30" s="867"/>
      <c r="L30" s="907"/>
      <c r="M30" s="849"/>
      <c r="N30" s="849"/>
      <c r="O30" s="849"/>
      <c r="P30" s="849"/>
      <c r="Q30" s="849"/>
      <c r="R30" s="849"/>
      <c r="S30" s="849"/>
      <c r="T30" s="849"/>
      <c r="U30" s="849"/>
      <c r="V30" s="849"/>
      <c r="W30" s="849"/>
      <c r="X30" s="849"/>
      <c r="Y30" s="849"/>
      <c r="Z30" s="849"/>
      <c r="AA30" s="849"/>
      <c r="AB30" s="849"/>
      <c r="AC30" s="849"/>
      <c r="AD30" s="849"/>
      <c r="AE30" s="849"/>
      <c r="AF30" s="849"/>
    </row>
    <row r="31" customFormat="false" ht="23.25" hidden="false" customHeight="true" outlineLevel="0" collapsed="false">
      <c r="A31" s="849"/>
      <c r="B31" s="849"/>
      <c r="C31" s="883" t="s">
        <v>169</v>
      </c>
      <c r="D31" s="884" t="s">
        <v>54</v>
      </c>
      <c r="E31" s="884" t="s">
        <v>62</v>
      </c>
      <c r="F31" s="884" t="s">
        <v>169</v>
      </c>
      <c r="G31" s="884" t="s">
        <v>80</v>
      </c>
      <c r="H31" s="884" t="s">
        <v>169</v>
      </c>
      <c r="I31" s="920" t="s">
        <v>62</v>
      </c>
      <c r="J31" s="836" t="s">
        <v>31</v>
      </c>
      <c r="K31" s="867"/>
      <c r="L31" s="907"/>
      <c r="M31" s="849"/>
      <c r="N31" s="849"/>
      <c r="O31" s="849"/>
      <c r="P31" s="849"/>
      <c r="Q31" s="849"/>
      <c r="R31" s="849"/>
      <c r="S31" s="849"/>
      <c r="T31" s="849"/>
      <c r="U31" s="849"/>
      <c r="V31" s="849"/>
      <c r="W31" s="849"/>
      <c r="X31" s="849"/>
      <c r="Y31" s="849"/>
      <c r="Z31" s="849"/>
      <c r="AA31" s="849"/>
      <c r="AB31" s="849"/>
      <c r="AC31" s="849"/>
      <c r="AD31" s="849"/>
      <c r="AE31" s="849"/>
      <c r="AF31" s="849"/>
    </row>
    <row r="32" customFormat="false" ht="23.25" hidden="false" customHeight="true" outlineLevel="0" collapsed="false">
      <c r="A32" s="849"/>
      <c r="B32" s="849"/>
      <c r="C32" s="889" t="n">
        <v>0</v>
      </c>
      <c r="D32" s="45" t="n">
        <v>10</v>
      </c>
      <c r="E32" s="890" t="s">
        <v>210</v>
      </c>
      <c r="F32" s="890" t="s">
        <v>210</v>
      </c>
      <c r="G32" s="890" t="n">
        <v>6</v>
      </c>
      <c r="H32" s="890" t="n">
        <v>12</v>
      </c>
      <c r="I32" s="930" t="n">
        <v>11.5</v>
      </c>
      <c r="J32" s="924" t="n">
        <f aca="false" t="array" ref="J32:J32">SUM(IF(ISNUMBER(B32:I32), B32:I32, 0))</f>
        <v>39.5</v>
      </c>
      <c r="K32" s="867"/>
      <c r="L32" s="803" t="s">
        <v>22</v>
      </c>
      <c r="M32" s="849"/>
      <c r="N32" s="849"/>
      <c r="O32" s="849"/>
      <c r="P32" s="849"/>
      <c r="Q32" s="849"/>
      <c r="R32" s="849"/>
      <c r="S32" s="849"/>
      <c r="T32" s="849"/>
      <c r="U32" s="849"/>
      <c r="V32" s="849"/>
      <c r="W32" s="849"/>
      <c r="X32" s="849"/>
      <c r="Y32" s="849"/>
      <c r="Z32" s="849"/>
      <c r="AA32" s="849"/>
      <c r="AB32" s="849"/>
      <c r="AC32" s="849"/>
      <c r="AD32" s="849"/>
      <c r="AE32" s="849"/>
      <c r="AF32" s="849"/>
    </row>
    <row r="33" customFormat="false" ht="23.25" hidden="false" customHeight="true" outlineLevel="0" collapsed="false">
      <c r="A33" s="849"/>
      <c r="B33" s="849"/>
      <c r="C33" s="889" t="n">
        <v>0</v>
      </c>
      <c r="D33" s="45" t="n">
        <v>0</v>
      </c>
      <c r="E33" s="890" t="n">
        <v>0</v>
      </c>
      <c r="F33" s="890" t="n">
        <v>0</v>
      </c>
      <c r="G33" s="892" t="n">
        <v>0</v>
      </c>
      <c r="H33" s="890" t="n">
        <v>0.8</v>
      </c>
      <c r="I33" s="930" t="n">
        <v>0.8</v>
      </c>
      <c r="J33" s="924" t="n">
        <f aca="false" t="array" ref="J33:J33">SUM(IF(ISNUMBER(B33:I33), B33:I33, 0))</f>
        <v>1.6</v>
      </c>
      <c r="K33" s="867"/>
      <c r="L33" s="803" t="s">
        <v>24</v>
      </c>
      <c r="M33" s="849"/>
      <c r="N33" s="849"/>
      <c r="O33" s="849"/>
      <c r="P33" s="849"/>
      <c r="Q33" s="849"/>
      <c r="R33" s="849"/>
      <c r="S33" s="849"/>
      <c r="T33" s="849"/>
      <c r="U33" s="849"/>
      <c r="V33" s="849"/>
      <c r="W33" s="849"/>
      <c r="X33" s="849"/>
      <c r="Y33" s="849"/>
      <c r="Z33" s="849"/>
      <c r="AA33" s="849"/>
      <c r="AB33" s="849"/>
      <c r="AC33" s="849"/>
      <c r="AD33" s="849"/>
      <c r="AE33" s="849"/>
      <c r="AF33" s="849"/>
    </row>
    <row r="34" customFormat="false" ht="23.25" hidden="false" customHeight="true" outlineLevel="0" collapsed="false">
      <c r="A34" s="849"/>
      <c r="B34" s="849"/>
      <c r="C34" s="889" t="n">
        <v>0</v>
      </c>
      <c r="D34" s="45" t="n">
        <v>0.8</v>
      </c>
      <c r="E34" s="890" t="n">
        <v>0</v>
      </c>
      <c r="F34" s="890" t="n">
        <v>0</v>
      </c>
      <c r="G34" s="931" t="n">
        <v>0</v>
      </c>
      <c r="H34" s="890" t="n">
        <v>0.8</v>
      </c>
      <c r="I34" s="930" t="n">
        <v>0.8</v>
      </c>
      <c r="J34" s="925" t="n">
        <f aca="false" t="array" ref="J34:J34">SUM(IF(ISNUMBER(B34:I34), B34:I34, 0))</f>
        <v>2.4</v>
      </c>
      <c r="K34" s="867"/>
      <c r="L34" s="803" t="s">
        <v>26</v>
      </c>
      <c r="M34" s="849"/>
      <c r="N34" s="849"/>
      <c r="O34" s="849"/>
      <c r="P34" s="849"/>
      <c r="Q34" s="849"/>
      <c r="R34" s="849"/>
      <c r="S34" s="849"/>
      <c r="T34" s="849"/>
      <c r="U34" s="849"/>
      <c r="V34" s="849"/>
      <c r="W34" s="849"/>
      <c r="X34" s="849"/>
      <c r="Y34" s="849"/>
      <c r="Z34" s="849"/>
      <c r="AA34" s="849"/>
      <c r="AB34" s="849"/>
      <c r="AC34" s="849"/>
      <c r="AD34" s="849"/>
      <c r="AE34" s="849"/>
      <c r="AF34" s="849"/>
    </row>
    <row r="35" customFormat="false" ht="23.25" hidden="false" customHeight="true" outlineLevel="0" collapsed="false">
      <c r="A35" s="849"/>
      <c r="B35" s="849"/>
      <c r="C35" s="912" t="s">
        <v>373</v>
      </c>
      <c r="D35" s="899" t="s">
        <v>374</v>
      </c>
      <c r="E35" s="899" t="s">
        <v>374</v>
      </c>
      <c r="F35" s="899" t="s">
        <v>375</v>
      </c>
      <c r="G35" s="899" t="s">
        <v>376</v>
      </c>
      <c r="H35" s="899" t="s">
        <v>376</v>
      </c>
      <c r="I35" s="932" t="s">
        <v>377</v>
      </c>
      <c r="J35" s="51" t="n">
        <v>79.4</v>
      </c>
      <c r="K35" s="867"/>
      <c r="L35" s="49" t="s">
        <v>28</v>
      </c>
      <c r="M35" s="849"/>
      <c r="N35" s="849"/>
      <c r="O35" s="849"/>
      <c r="P35" s="849"/>
      <c r="Q35" s="849"/>
      <c r="R35" s="849"/>
      <c r="S35" s="849"/>
      <c r="T35" s="849"/>
      <c r="U35" s="849"/>
      <c r="V35" s="849"/>
      <c r="W35" s="849"/>
      <c r="X35" s="849"/>
      <c r="Y35" s="849"/>
      <c r="Z35" s="849"/>
      <c r="AA35" s="849"/>
      <c r="AB35" s="849"/>
      <c r="AC35" s="849"/>
      <c r="AD35" s="849"/>
      <c r="AE35" s="849"/>
      <c r="AF35" s="849"/>
    </row>
    <row r="36" customFormat="false" ht="23.25" hidden="false" customHeight="true" outlineLevel="0" collapsed="false">
      <c r="A36" s="849"/>
      <c r="B36" s="849"/>
      <c r="C36" s="904" t="n">
        <v>29</v>
      </c>
      <c r="D36" s="904" t="n">
        <v>30</v>
      </c>
      <c r="E36" s="904" t="n">
        <v>31</v>
      </c>
      <c r="F36" s="904"/>
      <c r="G36" s="904"/>
      <c r="H36" s="905"/>
      <c r="I36" s="904"/>
      <c r="J36" s="928"/>
      <c r="K36" s="867"/>
      <c r="L36" s="907"/>
      <c r="M36" s="849"/>
      <c r="N36" s="849"/>
      <c r="O36" s="849"/>
      <c r="P36" s="849"/>
      <c r="Q36" s="849"/>
      <c r="R36" s="849"/>
      <c r="S36" s="849"/>
      <c r="T36" s="849"/>
      <c r="U36" s="849"/>
      <c r="V36" s="849"/>
      <c r="W36" s="849"/>
      <c r="X36" s="849"/>
      <c r="Y36" s="849"/>
      <c r="Z36" s="849"/>
      <c r="AA36" s="849"/>
      <c r="AB36" s="849"/>
      <c r="AC36" s="849"/>
      <c r="AD36" s="849"/>
      <c r="AE36" s="849"/>
      <c r="AF36" s="849"/>
    </row>
    <row r="37" customFormat="false" ht="23.25" hidden="false" customHeight="true" outlineLevel="0" collapsed="false">
      <c r="A37" s="849"/>
      <c r="B37" s="849"/>
      <c r="C37" s="933" t="s">
        <v>62</v>
      </c>
      <c r="D37" s="918" t="s">
        <v>43</v>
      </c>
      <c r="E37" s="918" t="s">
        <v>45</v>
      </c>
      <c r="F37" s="918" t="s">
        <v>80</v>
      </c>
      <c r="G37" s="918" t="s">
        <v>80</v>
      </c>
      <c r="H37" s="918" t="s">
        <v>80</v>
      </c>
      <c r="I37" s="877" t="s">
        <v>80</v>
      </c>
      <c r="J37" s="906"/>
      <c r="K37" s="867"/>
      <c r="L37" s="907"/>
      <c r="M37" s="849"/>
      <c r="N37" s="849"/>
      <c r="O37" s="849"/>
      <c r="P37" s="849"/>
      <c r="Q37" s="849"/>
      <c r="R37" s="849"/>
      <c r="S37" s="849"/>
      <c r="T37" s="849"/>
      <c r="U37" s="849"/>
      <c r="V37" s="849"/>
      <c r="W37" s="849"/>
      <c r="X37" s="849"/>
      <c r="Y37" s="849"/>
      <c r="Z37" s="849"/>
      <c r="AA37" s="849"/>
      <c r="AB37" s="849"/>
      <c r="AC37" s="849"/>
      <c r="AD37" s="849"/>
      <c r="AE37" s="849"/>
      <c r="AF37" s="849"/>
    </row>
    <row r="38" customFormat="false" ht="23.25" hidden="false" customHeight="true" outlineLevel="0" collapsed="false">
      <c r="A38" s="849"/>
      <c r="B38" s="849"/>
      <c r="C38" s="929" t="n">
        <v>0.01</v>
      </c>
      <c r="D38" s="879" t="n">
        <v>0</v>
      </c>
      <c r="E38" s="879" t="n">
        <v>0.01</v>
      </c>
      <c r="F38" s="879"/>
      <c r="G38" s="879"/>
      <c r="H38" s="879"/>
      <c r="I38" s="881"/>
      <c r="J38" s="867"/>
      <c r="K38" s="867"/>
      <c r="L38" s="907"/>
      <c r="M38" s="849"/>
      <c r="N38" s="849"/>
      <c r="O38" s="849"/>
      <c r="P38" s="849"/>
      <c r="Q38" s="849"/>
      <c r="R38" s="849"/>
      <c r="S38" s="849"/>
      <c r="T38" s="849"/>
      <c r="U38" s="849"/>
      <c r="V38" s="849"/>
      <c r="W38" s="849"/>
      <c r="X38" s="849"/>
      <c r="Y38" s="849"/>
      <c r="Z38" s="849"/>
      <c r="AA38" s="849"/>
      <c r="AB38" s="849"/>
      <c r="AC38" s="849"/>
      <c r="AD38" s="849"/>
      <c r="AE38" s="849"/>
      <c r="AF38" s="849"/>
    </row>
    <row r="39" customFormat="false" ht="23.25" hidden="false" customHeight="true" outlineLevel="0" collapsed="false">
      <c r="A39" s="849"/>
      <c r="B39" s="849"/>
      <c r="C39" s="883" t="s">
        <v>180</v>
      </c>
      <c r="D39" s="884" t="s">
        <v>378</v>
      </c>
      <c r="E39" s="884" t="s">
        <v>169</v>
      </c>
      <c r="F39" s="884"/>
      <c r="G39" s="884"/>
      <c r="H39" s="884"/>
      <c r="I39" s="886"/>
      <c r="J39" s="887" t="s">
        <v>32</v>
      </c>
      <c r="K39" s="867"/>
      <c r="L39" s="907"/>
      <c r="M39" s="849"/>
      <c r="N39" s="849"/>
      <c r="O39" s="849"/>
      <c r="P39" s="849"/>
      <c r="Q39" s="849"/>
      <c r="R39" s="849"/>
      <c r="S39" s="849"/>
      <c r="T39" s="849"/>
      <c r="U39" s="849"/>
      <c r="V39" s="849"/>
      <c r="W39" s="849"/>
      <c r="X39" s="849"/>
      <c r="Y39" s="849"/>
      <c r="Z39" s="849"/>
      <c r="AA39" s="849"/>
      <c r="AB39" s="849"/>
      <c r="AC39" s="849"/>
      <c r="AD39" s="849"/>
      <c r="AE39" s="849"/>
      <c r="AF39" s="849"/>
    </row>
    <row r="40" customFormat="false" ht="23.25" hidden="false" customHeight="true" outlineLevel="0" collapsed="false">
      <c r="A40" s="849"/>
      <c r="B40" s="849"/>
      <c r="C40" s="934" t="n">
        <v>7.5</v>
      </c>
      <c r="D40" s="922" t="n">
        <v>7</v>
      </c>
      <c r="E40" s="922" t="n">
        <v>1.4</v>
      </c>
      <c r="F40" s="922"/>
      <c r="G40" s="922"/>
      <c r="H40" s="922"/>
      <c r="I40" s="935"/>
      <c r="J40" s="893" t="n">
        <f aca="false" t="array" ref="J40:J40">SUM(IF(ISNUMBER(B40:I40), B40:I40, 0))</f>
        <v>15.9</v>
      </c>
      <c r="K40" s="867"/>
      <c r="L40" s="803" t="s">
        <v>22</v>
      </c>
      <c r="M40" s="849"/>
      <c r="N40" s="849"/>
      <c r="O40" s="849"/>
      <c r="P40" s="849"/>
      <c r="Q40" s="849"/>
      <c r="R40" s="849"/>
      <c r="S40" s="849"/>
      <c r="T40" s="849"/>
      <c r="U40" s="849"/>
      <c r="V40" s="849"/>
      <c r="W40" s="849"/>
      <c r="X40" s="849"/>
      <c r="Y40" s="849"/>
      <c r="Z40" s="849"/>
      <c r="AA40" s="849"/>
      <c r="AB40" s="849"/>
      <c r="AC40" s="849"/>
      <c r="AD40" s="849"/>
      <c r="AE40" s="849"/>
      <c r="AF40" s="849"/>
    </row>
    <row r="41" customFormat="false" ht="23.25" hidden="false" customHeight="true" outlineLevel="0" collapsed="false">
      <c r="A41" s="849"/>
      <c r="B41" s="849"/>
      <c r="C41" s="889" t="n">
        <v>0.8</v>
      </c>
      <c r="D41" s="890" t="n">
        <v>0</v>
      </c>
      <c r="E41" s="890" t="n">
        <v>0</v>
      </c>
      <c r="F41" s="890"/>
      <c r="G41" s="890"/>
      <c r="H41" s="890"/>
      <c r="I41" s="892"/>
      <c r="J41" s="893" t="n">
        <f aca="false" t="array" ref="J41:J41">SUM(IF(ISNUMBER(B41:I41), B41:I41, 0))</f>
        <v>0.8</v>
      </c>
      <c r="K41" s="867"/>
      <c r="L41" s="803" t="s">
        <v>24</v>
      </c>
      <c r="M41" s="849"/>
      <c r="N41" s="849"/>
      <c r="O41" s="849"/>
      <c r="P41" s="849"/>
      <c r="Q41" s="849"/>
      <c r="R41" s="849"/>
      <c r="S41" s="849"/>
      <c r="T41" s="849"/>
      <c r="U41" s="849"/>
      <c r="V41" s="849"/>
      <c r="W41" s="849"/>
      <c r="X41" s="849"/>
      <c r="Y41" s="849"/>
      <c r="Z41" s="849"/>
      <c r="AA41" s="849"/>
      <c r="AB41" s="849"/>
      <c r="AC41" s="849"/>
      <c r="AD41" s="849"/>
      <c r="AE41" s="849"/>
      <c r="AF41" s="849"/>
    </row>
    <row r="42" customFormat="false" ht="23.25" hidden="false" customHeight="true" outlineLevel="0" collapsed="false">
      <c r="A42" s="849"/>
      <c r="B42" s="849"/>
      <c r="C42" s="889" t="n">
        <v>0.7</v>
      </c>
      <c r="D42" s="890" t="n">
        <v>0.5</v>
      </c>
      <c r="E42" s="890" t="n">
        <v>0</v>
      </c>
      <c r="F42" s="890"/>
      <c r="G42" s="890"/>
      <c r="H42" s="890"/>
      <c r="I42" s="892"/>
      <c r="J42" s="896" t="n">
        <f aca="false" t="array" ref="J42:J42">SUM(IF(ISNUMBER(B42:I42), B42:I42, 0))</f>
        <v>1.2</v>
      </c>
      <c r="K42" s="867"/>
      <c r="L42" s="803" t="s">
        <v>26</v>
      </c>
      <c r="M42" s="849"/>
      <c r="N42" s="849"/>
      <c r="O42" s="849"/>
      <c r="P42" s="849"/>
      <c r="Q42" s="849"/>
      <c r="R42" s="849"/>
      <c r="S42" s="849"/>
      <c r="T42" s="849"/>
      <c r="U42" s="849"/>
      <c r="V42" s="849"/>
      <c r="W42" s="849"/>
      <c r="X42" s="849"/>
      <c r="Y42" s="849"/>
      <c r="Z42" s="849"/>
      <c r="AA42" s="849"/>
      <c r="AB42" s="849"/>
      <c r="AC42" s="849"/>
      <c r="AD42" s="849"/>
      <c r="AE42" s="849"/>
      <c r="AF42" s="849"/>
    </row>
    <row r="43" customFormat="false" ht="23.25" hidden="false" customHeight="true" outlineLevel="0" collapsed="false">
      <c r="A43" s="849"/>
      <c r="B43" s="849"/>
      <c r="C43" s="936" t="s">
        <v>379</v>
      </c>
      <c r="D43" s="937" t="s">
        <v>379</v>
      </c>
      <c r="E43" s="902" t="s">
        <v>380</v>
      </c>
      <c r="F43" s="899"/>
      <c r="G43" s="899"/>
      <c r="H43" s="899"/>
      <c r="I43" s="927"/>
      <c r="J43" s="51" t="n">
        <v>33.93</v>
      </c>
      <c r="K43" s="867"/>
      <c r="L43" s="49" t="s">
        <v>28</v>
      </c>
      <c r="M43" s="849"/>
      <c r="N43" s="849"/>
      <c r="O43" s="849"/>
      <c r="P43" s="849"/>
      <c r="Q43" s="849"/>
      <c r="R43" s="849"/>
      <c r="S43" s="849"/>
      <c r="T43" s="849"/>
      <c r="U43" s="849"/>
      <c r="V43" s="849"/>
      <c r="W43" s="849"/>
      <c r="X43" s="849"/>
      <c r="Y43" s="849"/>
      <c r="Z43" s="849"/>
      <c r="AA43" s="849"/>
      <c r="AB43" s="849"/>
      <c r="AC43" s="849"/>
      <c r="AD43" s="849"/>
      <c r="AE43" s="849"/>
      <c r="AF43" s="849"/>
    </row>
    <row r="44" customFormat="false" ht="23.25" hidden="false" customHeight="true" outlineLevel="0" collapsed="false">
      <c r="A44" s="849"/>
      <c r="B44" s="849"/>
      <c r="C44" s="938"/>
      <c r="D44" s="939"/>
      <c r="E44" s="928"/>
      <c r="F44" s="867"/>
      <c r="G44" s="867"/>
      <c r="H44" s="867"/>
      <c r="I44" s="867"/>
      <c r="J44" s="867"/>
      <c r="K44" s="867"/>
      <c r="L44" s="888"/>
      <c r="M44" s="849"/>
      <c r="N44" s="849"/>
      <c r="O44" s="849"/>
      <c r="P44" s="849"/>
      <c r="Q44" s="849"/>
      <c r="R44" s="849"/>
      <c r="S44" s="849"/>
      <c r="T44" s="849"/>
      <c r="U44" s="849"/>
      <c r="V44" s="849"/>
      <c r="W44" s="849"/>
      <c r="X44" s="849"/>
      <c r="Y44" s="849"/>
      <c r="Z44" s="849"/>
      <c r="AA44" s="849"/>
      <c r="AB44" s="849"/>
      <c r="AC44" s="849"/>
      <c r="AD44" s="849"/>
      <c r="AE44" s="849"/>
      <c r="AF44" s="849"/>
    </row>
    <row r="45" customFormat="false" ht="23.25" hidden="false" customHeight="true" outlineLevel="0" collapsed="false">
      <c r="A45" s="849"/>
      <c r="B45" s="849"/>
      <c r="C45" s="883" t="s">
        <v>80</v>
      </c>
      <c r="D45" s="920" t="s">
        <v>80</v>
      </c>
      <c r="E45" s="906"/>
      <c r="F45" s="867"/>
      <c r="G45" s="867"/>
      <c r="H45" s="867"/>
      <c r="I45" s="867"/>
      <c r="J45" s="867"/>
      <c r="K45" s="867"/>
      <c r="L45" s="849"/>
      <c r="M45" s="849"/>
      <c r="N45" s="849"/>
      <c r="O45" s="849"/>
      <c r="P45" s="849"/>
      <c r="Q45" s="849"/>
      <c r="R45" s="849"/>
      <c r="S45" s="849"/>
      <c r="T45" s="849"/>
      <c r="U45" s="849"/>
      <c r="V45" s="849"/>
      <c r="W45" s="849"/>
      <c r="X45" s="849"/>
      <c r="Y45" s="849"/>
      <c r="Z45" s="849"/>
      <c r="AA45" s="849"/>
      <c r="AB45" s="849"/>
      <c r="AC45" s="849"/>
      <c r="AD45" s="849"/>
      <c r="AE45" s="849"/>
      <c r="AF45" s="849"/>
    </row>
    <row r="46" customFormat="false" ht="23.25" hidden="false" customHeight="true" outlineLevel="0" collapsed="false">
      <c r="A46" s="849"/>
      <c r="B46" s="849"/>
      <c r="C46" s="940"/>
      <c r="D46" s="941"/>
      <c r="E46" s="867"/>
      <c r="F46" s="867"/>
      <c r="G46" s="867"/>
      <c r="H46" s="867"/>
      <c r="I46" s="867"/>
      <c r="J46" s="867"/>
      <c r="K46" s="867"/>
      <c r="L46" s="849"/>
      <c r="M46" s="849"/>
      <c r="N46" s="849"/>
      <c r="O46" s="849"/>
      <c r="P46" s="849"/>
      <c r="Q46" s="849"/>
      <c r="R46" s="849"/>
      <c r="S46" s="849"/>
      <c r="T46" s="849"/>
      <c r="U46" s="849"/>
      <c r="V46" s="849"/>
      <c r="W46" s="849"/>
      <c r="X46" s="849"/>
      <c r="Y46" s="849"/>
      <c r="Z46" s="849"/>
      <c r="AA46" s="849"/>
      <c r="AB46" s="849"/>
      <c r="AC46" s="849"/>
      <c r="AD46" s="849"/>
      <c r="AE46" s="849"/>
      <c r="AF46" s="849"/>
    </row>
    <row r="47" customFormat="false" ht="23.25" hidden="false" customHeight="true" outlineLevel="0" collapsed="false">
      <c r="A47" s="849"/>
      <c r="B47" s="849"/>
      <c r="C47" s="883"/>
      <c r="D47" s="886"/>
      <c r="E47" s="887" t="s">
        <v>33</v>
      </c>
      <c r="F47" s="942"/>
      <c r="G47" s="867"/>
      <c r="H47" s="867"/>
      <c r="I47" s="867"/>
      <c r="J47" s="867"/>
      <c r="K47" s="867"/>
      <c r="L47" s="849"/>
      <c r="M47" s="849"/>
      <c r="N47" s="849"/>
      <c r="O47" s="849"/>
      <c r="P47" s="849"/>
      <c r="Q47" s="849"/>
      <c r="R47" s="849"/>
      <c r="S47" s="849"/>
      <c r="T47" s="849"/>
      <c r="U47" s="849"/>
      <c r="V47" s="849"/>
      <c r="W47" s="849"/>
      <c r="X47" s="849"/>
      <c r="Y47" s="849"/>
      <c r="Z47" s="849"/>
      <c r="AA47" s="849"/>
      <c r="AB47" s="849"/>
      <c r="AC47" s="849"/>
      <c r="AD47" s="849"/>
      <c r="AE47" s="849"/>
      <c r="AF47" s="849"/>
    </row>
    <row r="48" customFormat="false" ht="23.25" hidden="false" customHeight="true" outlineLevel="0" collapsed="false">
      <c r="A48" s="849"/>
      <c r="B48" s="849"/>
      <c r="C48" s="934"/>
      <c r="D48" s="935"/>
      <c r="E48" s="893" t="n">
        <f aca="false" t="array" ref="E48:E48">SUM(IF(ISNUMBER(B48:D48), B48:D48, 0))</f>
        <v>0</v>
      </c>
      <c r="F48" s="803" t="s">
        <v>34</v>
      </c>
      <c r="G48" s="867"/>
      <c r="H48" s="867"/>
      <c r="I48" s="867"/>
      <c r="J48" s="867"/>
      <c r="K48" s="867"/>
      <c r="L48" s="849"/>
      <c r="M48" s="849"/>
      <c r="N48" s="849"/>
      <c r="O48" s="849"/>
      <c r="P48" s="849"/>
      <c r="Q48" s="849"/>
      <c r="R48" s="849"/>
      <c r="S48" s="849"/>
      <c r="T48" s="849"/>
      <c r="U48" s="849"/>
      <c r="V48" s="849"/>
      <c r="W48" s="849"/>
      <c r="X48" s="849"/>
      <c r="Y48" s="849"/>
      <c r="Z48" s="849"/>
      <c r="AA48" s="849"/>
      <c r="AB48" s="849"/>
      <c r="AC48" s="849"/>
      <c r="AD48" s="849"/>
      <c r="AE48" s="849"/>
      <c r="AF48" s="849"/>
    </row>
    <row r="49" customFormat="false" ht="23.25" hidden="false" customHeight="true" outlineLevel="0" collapsed="false">
      <c r="A49" s="849"/>
      <c r="B49" s="849"/>
      <c r="C49" s="889"/>
      <c r="D49" s="892"/>
      <c r="E49" s="893" t="n">
        <f aca="false" t="array" ref="E49:E49">SUM(IF(ISNUMBER(B49:D49), B49:D49, 0))</f>
        <v>0</v>
      </c>
      <c r="F49" s="803" t="s">
        <v>35</v>
      </c>
      <c r="G49" s="867"/>
      <c r="H49" s="867"/>
      <c r="I49" s="867"/>
      <c r="J49" s="867"/>
      <c r="K49" s="867"/>
      <c r="L49" s="849"/>
      <c r="M49" s="849"/>
      <c r="N49" s="849"/>
      <c r="O49" s="849"/>
      <c r="P49" s="849"/>
      <c r="Q49" s="849"/>
      <c r="R49" s="849"/>
      <c r="S49" s="849"/>
      <c r="T49" s="849"/>
      <c r="U49" s="849"/>
      <c r="V49" s="849"/>
      <c r="W49" s="849"/>
      <c r="X49" s="849"/>
      <c r="Y49" s="849"/>
      <c r="Z49" s="849"/>
      <c r="AA49" s="849"/>
      <c r="AB49" s="849"/>
      <c r="AC49" s="849"/>
      <c r="AD49" s="849"/>
      <c r="AE49" s="849"/>
      <c r="AF49" s="849"/>
    </row>
    <row r="50" customFormat="false" ht="23.25" hidden="false" customHeight="true" outlineLevel="0" collapsed="false">
      <c r="A50" s="849"/>
      <c r="B50" s="849"/>
      <c r="C50" s="889"/>
      <c r="D50" s="892"/>
      <c r="E50" s="896" t="n">
        <f aca="false" t="array" ref="E50:E50">SUM(IF(ISNUMBER(B50:D50), B50:D50, 0))</f>
        <v>0</v>
      </c>
      <c r="F50" s="803" t="s">
        <v>36</v>
      </c>
      <c r="G50" s="867"/>
      <c r="H50" s="867"/>
      <c r="I50" s="867"/>
      <c r="J50" s="867"/>
      <c r="K50" s="867"/>
      <c r="L50" s="849"/>
      <c r="M50" s="849"/>
      <c r="N50" s="849"/>
      <c r="O50" s="849"/>
      <c r="P50" s="849"/>
      <c r="Q50" s="849"/>
      <c r="R50" s="849"/>
      <c r="S50" s="849"/>
      <c r="T50" s="849"/>
      <c r="U50" s="849"/>
      <c r="V50" s="849"/>
      <c r="W50" s="849"/>
      <c r="X50" s="849"/>
      <c r="Y50" s="849"/>
      <c r="Z50" s="849"/>
      <c r="AA50" s="849"/>
      <c r="AB50" s="849"/>
      <c r="AC50" s="849"/>
      <c r="AD50" s="849"/>
      <c r="AE50" s="849"/>
      <c r="AF50" s="849"/>
    </row>
    <row r="51" customFormat="false" ht="23.25" hidden="false" customHeight="true" outlineLevel="0" collapsed="false">
      <c r="A51" s="849"/>
      <c r="B51" s="849"/>
      <c r="C51" s="912"/>
      <c r="D51" s="927"/>
      <c r="E51" s="51"/>
      <c r="F51" s="49" t="s">
        <v>28</v>
      </c>
      <c r="G51" s="867"/>
      <c r="H51" s="867"/>
      <c r="I51" s="867"/>
      <c r="J51" s="867"/>
      <c r="K51" s="867"/>
      <c r="L51" s="849"/>
      <c r="M51" s="849"/>
      <c r="N51" s="849"/>
      <c r="O51" s="849"/>
      <c r="P51" s="849"/>
      <c r="Q51" s="849"/>
      <c r="R51" s="849"/>
      <c r="S51" s="849"/>
      <c r="T51" s="849"/>
      <c r="U51" s="849"/>
      <c r="V51" s="849"/>
      <c r="W51" s="849"/>
      <c r="X51" s="849"/>
      <c r="Y51" s="849"/>
      <c r="Z51" s="849"/>
      <c r="AA51" s="849"/>
      <c r="AB51" s="849"/>
      <c r="AC51" s="849"/>
      <c r="AD51" s="849"/>
      <c r="AE51" s="849"/>
      <c r="AF51" s="849"/>
    </row>
    <row r="52" customFormat="false" ht="23.25" hidden="false" customHeight="true" outlineLevel="0" collapsed="false">
      <c r="A52" s="849"/>
      <c r="B52" s="849"/>
      <c r="C52" s="867"/>
      <c r="D52" s="867"/>
      <c r="E52" s="867"/>
      <c r="F52" s="867"/>
      <c r="G52" s="867"/>
      <c r="H52" s="867"/>
      <c r="I52" s="867"/>
      <c r="J52" s="867"/>
      <c r="K52" s="867"/>
      <c r="L52" s="849"/>
      <c r="M52" s="849"/>
      <c r="N52" s="849"/>
      <c r="O52" s="849"/>
      <c r="P52" s="849"/>
      <c r="Q52" s="849"/>
      <c r="R52" s="849"/>
      <c r="S52" s="849"/>
      <c r="T52" s="849"/>
      <c r="U52" s="849"/>
      <c r="V52" s="849"/>
      <c r="W52" s="849"/>
      <c r="X52" s="849"/>
      <c r="Y52" s="849"/>
      <c r="Z52" s="849"/>
      <c r="AA52" s="849"/>
      <c r="AB52" s="849"/>
      <c r="AC52" s="849"/>
      <c r="AD52" s="849"/>
      <c r="AE52" s="849"/>
      <c r="AF52" s="849"/>
    </row>
    <row r="53" customFormat="false" ht="22.5" hidden="false" customHeight="true" outlineLevel="0" collapsed="false">
      <c r="A53" s="849"/>
      <c r="B53" s="849"/>
      <c r="C53" s="849"/>
      <c r="D53" s="849"/>
      <c r="E53" s="849"/>
      <c r="F53" s="849"/>
      <c r="G53" s="849"/>
      <c r="H53" s="849"/>
      <c r="I53" s="849"/>
      <c r="J53" s="849"/>
      <c r="K53" s="849"/>
      <c r="L53" s="849"/>
      <c r="M53" s="849"/>
      <c r="N53" s="849"/>
      <c r="O53" s="849"/>
      <c r="P53" s="849"/>
      <c r="Q53" s="849"/>
      <c r="R53" s="849"/>
      <c r="S53" s="849"/>
      <c r="T53" s="849"/>
      <c r="U53" s="849"/>
      <c r="V53" s="849"/>
      <c r="W53" s="849"/>
      <c r="X53" s="849"/>
      <c r="Y53" s="849"/>
      <c r="Z53" s="849"/>
      <c r="AA53" s="849"/>
      <c r="AB53" s="849"/>
      <c r="AC53" s="849"/>
      <c r="AD53" s="849"/>
      <c r="AE53" s="849"/>
      <c r="AF53" s="849"/>
    </row>
    <row r="54" customFormat="false" ht="16.5" hidden="false" customHeight="false" outlineLevel="0" collapsed="false">
      <c r="A54" s="849"/>
      <c r="B54" s="849"/>
      <c r="C54" s="849"/>
      <c r="D54" s="849"/>
      <c r="E54" s="849"/>
      <c r="F54" s="849"/>
      <c r="G54" s="849"/>
      <c r="H54" s="849"/>
      <c r="I54" s="849"/>
      <c r="J54" s="849"/>
      <c r="K54" s="849"/>
      <c r="L54" s="849"/>
      <c r="M54" s="849"/>
      <c r="N54" s="849"/>
      <c r="O54" s="849"/>
      <c r="P54" s="849"/>
      <c r="Q54" s="849"/>
      <c r="R54" s="849"/>
      <c r="S54" s="849"/>
      <c r="T54" s="849"/>
      <c r="U54" s="849"/>
      <c r="V54" s="849"/>
      <c r="W54" s="849"/>
      <c r="X54" s="849"/>
      <c r="Y54" s="849"/>
      <c r="Z54" s="849"/>
      <c r="AA54" s="849"/>
      <c r="AB54" s="849"/>
      <c r="AC54" s="849"/>
      <c r="AD54" s="849"/>
      <c r="AE54" s="849"/>
      <c r="AF54" s="849"/>
    </row>
    <row r="55" customFormat="false" ht="16.5" hidden="false" customHeight="false" outlineLevel="0" collapsed="false">
      <c r="A55" s="849"/>
      <c r="B55" s="849"/>
      <c r="C55" s="849"/>
      <c r="D55" s="849"/>
      <c r="E55" s="849"/>
      <c r="F55" s="849"/>
      <c r="G55" s="849"/>
      <c r="H55" s="849"/>
      <c r="I55" s="849"/>
      <c r="J55" s="849"/>
      <c r="K55" s="849"/>
      <c r="L55" s="849"/>
      <c r="M55" s="849"/>
      <c r="N55" s="849"/>
      <c r="O55" s="849"/>
      <c r="P55" s="849"/>
      <c r="Q55" s="849"/>
      <c r="R55" s="849"/>
      <c r="S55" s="849"/>
      <c r="T55" s="849"/>
      <c r="U55" s="849"/>
      <c r="V55" s="849"/>
      <c r="W55" s="849"/>
      <c r="X55" s="849"/>
      <c r="Y55" s="849"/>
      <c r="Z55" s="849"/>
      <c r="AA55" s="849"/>
      <c r="AB55" s="849"/>
      <c r="AC55" s="849"/>
      <c r="AD55" s="849"/>
      <c r="AE55" s="849"/>
      <c r="AF55" s="849"/>
    </row>
    <row r="56" customFormat="false" ht="16.5" hidden="false" customHeight="false" outlineLevel="0" collapsed="false">
      <c r="A56" s="849"/>
      <c r="B56" s="849"/>
      <c r="C56" s="849"/>
      <c r="D56" s="849"/>
      <c r="E56" s="849"/>
      <c r="F56" s="849"/>
      <c r="G56" s="849"/>
      <c r="H56" s="849"/>
      <c r="I56" s="849"/>
      <c r="J56" s="849"/>
      <c r="K56" s="849"/>
      <c r="L56" s="849"/>
      <c r="M56" s="849"/>
      <c r="N56" s="849"/>
      <c r="O56" s="849"/>
      <c r="P56" s="849"/>
      <c r="Q56" s="849"/>
      <c r="R56" s="849"/>
      <c r="S56" s="849"/>
      <c r="T56" s="849"/>
      <c r="U56" s="849"/>
      <c r="V56" s="849"/>
      <c r="W56" s="849"/>
      <c r="X56" s="849"/>
      <c r="Y56" s="849"/>
      <c r="Z56" s="849"/>
      <c r="AA56" s="849"/>
      <c r="AB56" s="849"/>
      <c r="AC56" s="849"/>
      <c r="AD56" s="849"/>
      <c r="AE56" s="849"/>
      <c r="AF56" s="849"/>
    </row>
    <row r="57" customFormat="false" ht="16.5" hidden="false" customHeight="false" outlineLevel="0" collapsed="false">
      <c r="A57" s="849"/>
      <c r="B57" s="849"/>
      <c r="C57" s="849"/>
      <c r="D57" s="849"/>
      <c r="E57" s="849"/>
      <c r="F57" s="849"/>
      <c r="G57" s="849"/>
      <c r="H57" s="849"/>
      <c r="I57" s="849"/>
      <c r="J57" s="849"/>
      <c r="K57" s="849"/>
      <c r="L57" s="849"/>
      <c r="M57" s="849"/>
      <c r="N57" s="849"/>
      <c r="O57" s="849"/>
      <c r="P57" s="849"/>
      <c r="Q57" s="849"/>
      <c r="R57" s="849"/>
      <c r="S57" s="849"/>
      <c r="T57" s="849"/>
      <c r="U57" s="849"/>
      <c r="V57" s="849"/>
      <c r="W57" s="849"/>
      <c r="X57" s="849"/>
      <c r="Y57" s="849"/>
      <c r="Z57" s="849"/>
      <c r="AA57" s="849"/>
      <c r="AB57" s="849"/>
      <c r="AC57" s="849"/>
      <c r="AD57" s="849"/>
      <c r="AE57" s="849"/>
      <c r="AF57" s="849"/>
    </row>
    <row r="58" customFormat="false" ht="16.5" hidden="false" customHeight="false" outlineLevel="0" collapsed="false">
      <c r="A58" s="849"/>
      <c r="B58" s="849"/>
      <c r="C58" s="849"/>
      <c r="D58" s="849"/>
      <c r="E58" s="849"/>
      <c r="F58" s="849"/>
      <c r="G58" s="849"/>
      <c r="H58" s="849"/>
      <c r="I58" s="849"/>
      <c r="J58" s="849"/>
      <c r="K58" s="849"/>
      <c r="L58" s="849"/>
      <c r="M58" s="849"/>
      <c r="N58" s="849"/>
      <c r="O58" s="849"/>
      <c r="P58" s="849"/>
      <c r="Q58" s="849"/>
      <c r="R58" s="849"/>
      <c r="S58" s="849"/>
      <c r="T58" s="849"/>
      <c r="U58" s="849"/>
      <c r="V58" s="849"/>
      <c r="W58" s="849"/>
      <c r="X58" s="849"/>
      <c r="Y58" s="849"/>
      <c r="Z58" s="849"/>
      <c r="AA58" s="849"/>
      <c r="AB58" s="849"/>
      <c r="AC58" s="849"/>
      <c r="AD58" s="849"/>
      <c r="AE58" s="849"/>
      <c r="AF58" s="849"/>
    </row>
    <row r="59" customFormat="false" ht="16.5" hidden="false" customHeight="false" outlineLevel="0" collapsed="false">
      <c r="A59" s="849"/>
      <c r="B59" s="849"/>
      <c r="C59" s="849"/>
      <c r="D59" s="849"/>
      <c r="E59" s="849"/>
      <c r="F59" s="849"/>
      <c r="G59" s="849"/>
      <c r="H59" s="849"/>
      <c r="I59" s="849"/>
      <c r="J59" s="849"/>
      <c r="K59" s="849"/>
      <c r="L59" s="849"/>
      <c r="M59" s="849"/>
      <c r="N59" s="849"/>
      <c r="O59" s="849"/>
      <c r="P59" s="849"/>
      <c r="Q59" s="849"/>
      <c r="R59" s="849"/>
      <c r="S59" s="849"/>
      <c r="T59" s="849"/>
      <c r="U59" s="849"/>
      <c r="V59" s="849"/>
      <c r="W59" s="849"/>
      <c r="X59" s="849"/>
      <c r="Y59" s="849"/>
      <c r="Z59" s="849"/>
      <c r="AA59" s="849"/>
      <c r="AB59" s="849"/>
      <c r="AC59" s="849"/>
      <c r="AD59" s="849"/>
      <c r="AE59" s="849"/>
      <c r="AF59" s="849"/>
    </row>
    <row r="60" customFormat="false" ht="16.5" hidden="false" customHeight="false" outlineLevel="0" collapsed="false">
      <c r="A60" s="849"/>
      <c r="B60" s="849"/>
      <c r="C60" s="849"/>
      <c r="D60" s="849"/>
      <c r="E60" s="849"/>
      <c r="F60" s="849"/>
      <c r="G60" s="849"/>
      <c r="H60" s="849"/>
      <c r="I60" s="849"/>
      <c r="J60" s="849"/>
      <c r="K60" s="849"/>
      <c r="L60" s="849"/>
      <c r="M60" s="849"/>
      <c r="N60" s="849"/>
      <c r="O60" s="849"/>
      <c r="P60" s="849"/>
      <c r="Q60" s="849"/>
      <c r="R60" s="849"/>
      <c r="S60" s="849"/>
      <c r="T60" s="849"/>
      <c r="U60" s="849"/>
      <c r="V60" s="849"/>
      <c r="W60" s="849"/>
      <c r="X60" s="849"/>
      <c r="Y60" s="849"/>
      <c r="Z60" s="849"/>
      <c r="AA60" s="849"/>
      <c r="AB60" s="849"/>
      <c r="AC60" s="849"/>
      <c r="AD60" s="849"/>
      <c r="AE60" s="849"/>
      <c r="AF60" s="849"/>
    </row>
    <row r="61" customFormat="false" ht="16.5" hidden="false" customHeight="false" outlineLevel="0" collapsed="false">
      <c r="A61" s="849"/>
      <c r="B61" s="849"/>
      <c r="C61" s="849"/>
      <c r="D61" s="849"/>
      <c r="E61" s="849"/>
      <c r="F61" s="849"/>
      <c r="G61" s="849"/>
      <c r="H61" s="849"/>
      <c r="I61" s="849"/>
      <c r="J61" s="849"/>
      <c r="K61" s="849"/>
      <c r="L61" s="849"/>
      <c r="M61" s="849"/>
      <c r="N61" s="849"/>
      <c r="O61" s="849"/>
      <c r="P61" s="849"/>
      <c r="Q61" s="849"/>
      <c r="R61" s="849"/>
      <c r="S61" s="849"/>
      <c r="T61" s="849"/>
      <c r="U61" s="849"/>
      <c r="V61" s="849"/>
      <c r="W61" s="849"/>
      <c r="X61" s="849"/>
      <c r="Y61" s="849"/>
      <c r="Z61" s="849"/>
      <c r="AA61" s="849"/>
      <c r="AB61" s="849"/>
      <c r="AC61" s="849"/>
      <c r="AD61" s="849"/>
      <c r="AE61" s="849"/>
      <c r="AF61" s="849"/>
    </row>
    <row r="62" customFormat="false" ht="16.5" hidden="false" customHeight="false" outlineLevel="0" collapsed="false">
      <c r="A62" s="849"/>
      <c r="B62" s="849"/>
      <c r="C62" s="849"/>
      <c r="D62" s="849"/>
      <c r="E62" s="849"/>
      <c r="F62" s="849"/>
      <c r="G62" s="849"/>
      <c r="H62" s="849"/>
      <c r="I62" s="849"/>
      <c r="J62" s="849"/>
      <c r="K62" s="849"/>
      <c r="L62" s="849"/>
      <c r="M62" s="849"/>
      <c r="N62" s="849"/>
      <c r="O62" s="849"/>
      <c r="P62" s="849"/>
      <c r="Q62" s="849"/>
      <c r="R62" s="849"/>
      <c r="S62" s="849"/>
      <c r="T62" s="849"/>
      <c r="U62" s="849"/>
      <c r="V62" s="849"/>
      <c r="W62" s="849"/>
      <c r="X62" s="849"/>
      <c r="Y62" s="849"/>
      <c r="Z62" s="849"/>
      <c r="AA62" s="849"/>
      <c r="AB62" s="849"/>
      <c r="AC62" s="849"/>
      <c r="AD62" s="849"/>
      <c r="AE62" s="849"/>
      <c r="AF62" s="849"/>
    </row>
    <row r="63" customFormat="false" ht="16.5" hidden="false" customHeight="false" outlineLevel="0" collapsed="false">
      <c r="A63" s="849"/>
      <c r="B63" s="849"/>
      <c r="C63" s="849"/>
      <c r="D63" s="849"/>
      <c r="E63" s="849"/>
      <c r="F63" s="849"/>
      <c r="G63" s="849"/>
      <c r="H63" s="849"/>
      <c r="I63" s="849"/>
      <c r="J63" s="849"/>
      <c r="K63" s="849"/>
      <c r="L63" s="849"/>
      <c r="M63" s="849"/>
      <c r="N63" s="849"/>
      <c r="O63" s="849"/>
      <c r="P63" s="849"/>
      <c r="Q63" s="849"/>
      <c r="R63" s="849"/>
      <c r="S63" s="849"/>
      <c r="T63" s="849"/>
      <c r="U63" s="849"/>
      <c r="V63" s="849"/>
      <c r="W63" s="849"/>
      <c r="X63" s="849"/>
      <c r="Y63" s="849"/>
      <c r="Z63" s="849"/>
      <c r="AA63" s="849"/>
      <c r="AB63" s="849"/>
      <c r="AC63" s="849"/>
      <c r="AD63" s="849"/>
      <c r="AE63" s="849"/>
      <c r="AF63" s="849"/>
    </row>
    <row r="64" customFormat="false" ht="16.5" hidden="false" customHeight="false" outlineLevel="0" collapsed="false">
      <c r="A64" s="849"/>
      <c r="B64" s="849"/>
      <c r="C64" s="849"/>
      <c r="D64" s="849"/>
      <c r="E64" s="849"/>
      <c r="F64" s="849"/>
      <c r="G64" s="849"/>
      <c r="H64" s="849"/>
      <c r="I64" s="849"/>
      <c r="J64" s="849"/>
      <c r="K64" s="849"/>
      <c r="L64" s="849"/>
      <c r="M64" s="849"/>
      <c r="N64" s="849"/>
      <c r="O64" s="849"/>
      <c r="P64" s="849"/>
      <c r="Q64" s="849"/>
      <c r="R64" s="849"/>
      <c r="S64" s="849"/>
      <c r="T64" s="849"/>
      <c r="U64" s="849"/>
      <c r="V64" s="849"/>
      <c r="W64" s="849"/>
      <c r="X64" s="849"/>
      <c r="Y64" s="849"/>
      <c r="Z64" s="849"/>
      <c r="AA64" s="849"/>
      <c r="AB64" s="849"/>
      <c r="AC64" s="849"/>
      <c r="AD64" s="849"/>
      <c r="AE64" s="849"/>
      <c r="AF64" s="849"/>
    </row>
    <row r="65" customFormat="false" ht="16.5" hidden="false" customHeight="false" outlineLevel="0" collapsed="false">
      <c r="A65" s="849"/>
      <c r="B65" s="849"/>
      <c r="C65" s="849"/>
      <c r="D65" s="849"/>
      <c r="E65" s="849"/>
      <c r="F65" s="849"/>
      <c r="G65" s="849"/>
      <c r="H65" s="849"/>
      <c r="I65" s="849"/>
      <c r="J65" s="849"/>
      <c r="K65" s="849"/>
      <c r="L65" s="849"/>
      <c r="M65" s="849"/>
      <c r="N65" s="849"/>
      <c r="O65" s="849"/>
      <c r="P65" s="849"/>
      <c r="Q65" s="849"/>
      <c r="R65" s="849"/>
      <c r="S65" s="849"/>
      <c r="T65" s="849"/>
      <c r="U65" s="849"/>
      <c r="V65" s="849"/>
      <c r="W65" s="849"/>
      <c r="X65" s="849"/>
      <c r="Y65" s="849"/>
      <c r="Z65" s="849"/>
      <c r="AA65" s="849"/>
      <c r="AB65" s="849"/>
      <c r="AC65" s="849"/>
      <c r="AD65" s="849"/>
      <c r="AE65" s="849"/>
      <c r="AF65" s="849"/>
    </row>
    <row r="66" customFormat="false" ht="16.5" hidden="false" customHeight="false" outlineLevel="0" collapsed="false">
      <c r="A66" s="849"/>
      <c r="B66" s="849"/>
      <c r="C66" s="849"/>
      <c r="D66" s="849"/>
      <c r="E66" s="849"/>
      <c r="F66" s="849"/>
      <c r="G66" s="849"/>
      <c r="H66" s="849"/>
      <c r="I66" s="849"/>
      <c r="J66" s="849"/>
      <c r="K66" s="849"/>
      <c r="L66" s="849"/>
      <c r="M66" s="849"/>
      <c r="N66" s="849"/>
      <c r="O66" s="849"/>
      <c r="P66" s="849"/>
      <c r="Q66" s="849"/>
      <c r="R66" s="849"/>
      <c r="S66" s="849"/>
      <c r="T66" s="849"/>
      <c r="U66" s="849"/>
      <c r="V66" s="849"/>
      <c r="W66" s="849"/>
      <c r="X66" s="849"/>
      <c r="Y66" s="849"/>
      <c r="Z66" s="849"/>
      <c r="AA66" s="849"/>
      <c r="AB66" s="849"/>
      <c r="AC66" s="849"/>
      <c r="AD66" s="849"/>
      <c r="AE66" s="849"/>
      <c r="AF66" s="849"/>
    </row>
    <row r="67" customFormat="false" ht="16.5" hidden="false" customHeight="false" outlineLevel="0" collapsed="false">
      <c r="A67" s="849"/>
      <c r="B67" s="849"/>
      <c r="C67" s="849"/>
      <c r="D67" s="849"/>
      <c r="E67" s="849"/>
      <c r="F67" s="849"/>
      <c r="G67" s="849"/>
      <c r="H67" s="849"/>
      <c r="I67" s="849"/>
      <c r="J67" s="849"/>
      <c r="K67" s="849"/>
      <c r="L67" s="849"/>
      <c r="M67" s="849"/>
      <c r="N67" s="849"/>
      <c r="O67" s="849"/>
      <c r="P67" s="849"/>
      <c r="Q67" s="849"/>
      <c r="R67" s="849"/>
      <c r="S67" s="849"/>
      <c r="T67" s="849"/>
      <c r="U67" s="849"/>
      <c r="V67" s="849"/>
      <c r="W67" s="849"/>
      <c r="X67" s="849"/>
      <c r="Y67" s="849"/>
      <c r="Z67" s="849"/>
      <c r="AA67" s="849"/>
      <c r="AB67" s="849"/>
      <c r="AC67" s="849"/>
      <c r="AD67" s="849"/>
      <c r="AE67" s="849"/>
      <c r="AF67" s="849"/>
    </row>
    <row r="68" customFormat="false" ht="16.5" hidden="false" customHeight="false" outlineLevel="0" collapsed="false">
      <c r="A68" s="849"/>
      <c r="B68" s="849"/>
      <c r="C68" s="849"/>
      <c r="D68" s="849"/>
      <c r="E68" s="849"/>
      <c r="F68" s="849"/>
      <c r="G68" s="849"/>
      <c r="H68" s="849"/>
      <c r="I68" s="849"/>
      <c r="J68" s="849"/>
      <c r="K68" s="849"/>
      <c r="L68" s="849"/>
      <c r="M68" s="849"/>
      <c r="N68" s="849"/>
      <c r="O68" s="849"/>
      <c r="P68" s="849"/>
      <c r="Q68" s="849"/>
      <c r="R68" s="849"/>
      <c r="S68" s="849"/>
      <c r="T68" s="849"/>
      <c r="U68" s="849"/>
      <c r="V68" s="849"/>
      <c r="W68" s="849"/>
      <c r="X68" s="849"/>
      <c r="Y68" s="849"/>
      <c r="Z68" s="849"/>
      <c r="AA68" s="849"/>
      <c r="AB68" s="849"/>
      <c r="AC68" s="849"/>
      <c r="AD68" s="849"/>
      <c r="AE68" s="849"/>
      <c r="AF68" s="849"/>
    </row>
    <row r="69" customFormat="false" ht="16.5" hidden="false" customHeight="false" outlineLevel="0" collapsed="false">
      <c r="A69" s="849"/>
      <c r="B69" s="849"/>
      <c r="C69" s="849"/>
      <c r="D69" s="849"/>
      <c r="E69" s="849"/>
      <c r="F69" s="849"/>
      <c r="G69" s="849"/>
      <c r="H69" s="849"/>
      <c r="I69" s="849"/>
      <c r="J69" s="849"/>
      <c r="K69" s="849"/>
      <c r="L69" s="849"/>
      <c r="M69" s="849"/>
      <c r="N69" s="849"/>
      <c r="O69" s="849"/>
      <c r="P69" s="849"/>
      <c r="Q69" s="849"/>
      <c r="R69" s="849"/>
      <c r="S69" s="849"/>
      <c r="T69" s="849"/>
      <c r="U69" s="849"/>
      <c r="V69" s="849"/>
      <c r="W69" s="849"/>
      <c r="X69" s="849"/>
      <c r="Y69" s="849"/>
      <c r="Z69" s="849"/>
      <c r="AA69" s="849"/>
      <c r="AB69" s="849"/>
      <c r="AC69" s="849"/>
      <c r="AD69" s="849"/>
      <c r="AE69" s="849"/>
      <c r="AF69" s="849"/>
    </row>
    <row r="70" customFormat="false" ht="16.5" hidden="false" customHeight="false" outlineLevel="0" collapsed="false">
      <c r="A70" s="849"/>
      <c r="B70" s="849"/>
      <c r="C70" s="849"/>
      <c r="D70" s="849"/>
      <c r="E70" s="849"/>
      <c r="F70" s="849"/>
      <c r="G70" s="849"/>
      <c r="H70" s="849"/>
      <c r="I70" s="849"/>
      <c r="J70" s="849"/>
      <c r="K70" s="849"/>
      <c r="L70" s="849"/>
      <c r="M70" s="849"/>
      <c r="N70" s="849"/>
      <c r="O70" s="849"/>
      <c r="P70" s="849"/>
      <c r="Q70" s="849"/>
      <c r="R70" s="849"/>
      <c r="S70" s="849"/>
      <c r="T70" s="849"/>
      <c r="U70" s="849"/>
      <c r="V70" s="849"/>
      <c r="W70" s="849"/>
      <c r="X70" s="849"/>
      <c r="Y70" s="849"/>
      <c r="Z70" s="849"/>
      <c r="AA70" s="849"/>
      <c r="AB70" s="849"/>
      <c r="AC70" s="849"/>
      <c r="AD70" s="849"/>
      <c r="AE70" s="849"/>
      <c r="AF70" s="849"/>
    </row>
    <row r="71" customFormat="false" ht="16.5" hidden="false" customHeight="false" outlineLevel="0" collapsed="false">
      <c r="A71" s="849"/>
      <c r="B71" s="849"/>
      <c r="C71" s="849"/>
      <c r="D71" s="849"/>
      <c r="E71" s="849"/>
      <c r="F71" s="849"/>
      <c r="G71" s="849"/>
      <c r="H71" s="849"/>
      <c r="I71" s="849"/>
      <c r="J71" s="849"/>
      <c r="K71" s="849"/>
      <c r="L71" s="849"/>
      <c r="M71" s="849"/>
      <c r="N71" s="849"/>
      <c r="O71" s="849"/>
      <c r="P71" s="849"/>
      <c r="Q71" s="849"/>
      <c r="R71" s="849"/>
      <c r="S71" s="849"/>
      <c r="T71" s="849"/>
      <c r="U71" s="849"/>
      <c r="V71" s="849"/>
      <c r="W71" s="849"/>
      <c r="X71" s="849"/>
      <c r="Y71" s="849"/>
      <c r="Z71" s="849"/>
      <c r="AA71" s="849"/>
      <c r="AB71" s="849"/>
      <c r="AC71" s="849"/>
      <c r="AD71" s="849"/>
      <c r="AE71" s="849"/>
      <c r="AF71" s="849"/>
    </row>
    <row r="72" customFormat="false" ht="16.5" hidden="false" customHeight="false" outlineLevel="0" collapsed="false">
      <c r="A72" s="849"/>
      <c r="B72" s="849"/>
      <c r="C72" s="849"/>
      <c r="D72" s="849"/>
      <c r="E72" s="849"/>
      <c r="F72" s="849"/>
      <c r="G72" s="849"/>
      <c r="H72" s="849"/>
      <c r="I72" s="849"/>
      <c r="J72" s="849"/>
      <c r="K72" s="849"/>
      <c r="L72" s="849"/>
      <c r="M72" s="849"/>
      <c r="N72" s="849"/>
      <c r="O72" s="849"/>
      <c r="P72" s="849"/>
      <c r="Q72" s="849"/>
      <c r="R72" s="849"/>
      <c r="S72" s="849"/>
      <c r="T72" s="849"/>
      <c r="U72" s="849"/>
      <c r="V72" s="849"/>
      <c r="W72" s="849"/>
      <c r="X72" s="849"/>
      <c r="Y72" s="849"/>
      <c r="Z72" s="849"/>
      <c r="AA72" s="849"/>
      <c r="AB72" s="849"/>
      <c r="AC72" s="849"/>
      <c r="AD72" s="849"/>
      <c r="AE72" s="849"/>
      <c r="AF72" s="849"/>
    </row>
    <row r="73" customFormat="false" ht="16.5" hidden="false" customHeight="false" outlineLevel="0" collapsed="false">
      <c r="A73" s="849"/>
      <c r="B73" s="849"/>
      <c r="C73" s="849"/>
      <c r="D73" s="849"/>
      <c r="E73" s="849"/>
      <c r="F73" s="849"/>
      <c r="G73" s="849"/>
      <c r="H73" s="849"/>
      <c r="I73" s="849"/>
      <c r="J73" s="849"/>
      <c r="K73" s="849"/>
      <c r="L73" s="849"/>
      <c r="M73" s="849"/>
      <c r="N73" s="849"/>
      <c r="O73" s="849"/>
      <c r="P73" s="849"/>
      <c r="Q73" s="849"/>
      <c r="R73" s="849"/>
      <c r="S73" s="849"/>
      <c r="T73" s="849"/>
      <c r="U73" s="849"/>
      <c r="V73" s="849"/>
      <c r="W73" s="849"/>
      <c r="X73" s="849"/>
      <c r="Y73" s="849"/>
      <c r="Z73" s="849"/>
      <c r="AA73" s="849"/>
      <c r="AB73" s="849"/>
      <c r="AC73" s="849"/>
      <c r="AD73" s="849"/>
      <c r="AE73" s="849"/>
      <c r="AF73" s="849"/>
    </row>
    <row r="74" customFormat="false" ht="16.5" hidden="false" customHeight="false" outlineLevel="0" collapsed="false">
      <c r="A74" s="849"/>
      <c r="B74" s="849"/>
      <c r="C74" s="849"/>
      <c r="D74" s="849"/>
      <c r="E74" s="849"/>
      <c r="F74" s="849"/>
      <c r="G74" s="849"/>
      <c r="H74" s="849"/>
      <c r="I74" s="849"/>
      <c r="J74" s="849"/>
      <c r="K74" s="849"/>
      <c r="L74" s="849"/>
      <c r="M74" s="849"/>
      <c r="N74" s="849"/>
      <c r="O74" s="849"/>
      <c r="P74" s="849"/>
      <c r="Q74" s="849"/>
      <c r="R74" s="849"/>
      <c r="S74" s="849"/>
      <c r="T74" s="849"/>
      <c r="U74" s="849"/>
      <c r="V74" s="849"/>
      <c r="W74" s="849"/>
      <c r="X74" s="849"/>
      <c r="Y74" s="849"/>
      <c r="Z74" s="849"/>
      <c r="AA74" s="849"/>
      <c r="AB74" s="849"/>
      <c r="AC74" s="849"/>
      <c r="AD74" s="849"/>
      <c r="AE74" s="849"/>
      <c r="AF74" s="849"/>
    </row>
    <row r="75" customFormat="false" ht="16.5" hidden="false" customHeight="false" outlineLevel="0" collapsed="false">
      <c r="A75" s="849"/>
      <c r="B75" s="849"/>
      <c r="C75" s="849"/>
      <c r="D75" s="849"/>
      <c r="E75" s="849"/>
      <c r="F75" s="849"/>
      <c r="G75" s="849"/>
      <c r="H75" s="849"/>
      <c r="I75" s="849"/>
      <c r="J75" s="849"/>
      <c r="K75" s="849"/>
      <c r="L75" s="849"/>
      <c r="M75" s="849"/>
      <c r="N75" s="849"/>
      <c r="O75" s="849"/>
      <c r="P75" s="849"/>
      <c r="Q75" s="849"/>
      <c r="R75" s="849"/>
      <c r="S75" s="849"/>
      <c r="T75" s="849"/>
      <c r="U75" s="849"/>
      <c r="V75" s="849"/>
      <c r="W75" s="849"/>
      <c r="X75" s="849"/>
      <c r="Y75" s="849"/>
      <c r="Z75" s="849"/>
      <c r="AA75" s="849"/>
      <c r="AB75" s="849"/>
      <c r="AC75" s="849"/>
      <c r="AD75" s="849"/>
      <c r="AE75" s="849"/>
      <c r="AF75" s="849"/>
    </row>
    <row r="76" customFormat="false" ht="16.5" hidden="false" customHeight="false" outlineLevel="0" collapsed="false">
      <c r="A76" s="849"/>
      <c r="B76" s="849"/>
      <c r="C76" s="849"/>
      <c r="D76" s="849"/>
      <c r="E76" s="849"/>
      <c r="F76" s="849"/>
      <c r="G76" s="849"/>
      <c r="H76" s="849"/>
      <c r="I76" s="849"/>
      <c r="J76" s="849"/>
      <c r="K76" s="849"/>
      <c r="L76" s="849"/>
      <c r="M76" s="849"/>
      <c r="N76" s="849"/>
      <c r="O76" s="849"/>
      <c r="P76" s="849"/>
      <c r="Q76" s="849"/>
      <c r="R76" s="849"/>
      <c r="S76" s="849"/>
      <c r="T76" s="849"/>
      <c r="U76" s="849"/>
      <c r="V76" s="849"/>
      <c r="W76" s="849"/>
      <c r="X76" s="849"/>
      <c r="Y76" s="849"/>
      <c r="Z76" s="849"/>
      <c r="AA76" s="849"/>
      <c r="AB76" s="849"/>
      <c r="AC76" s="849"/>
      <c r="AD76" s="849"/>
      <c r="AE76" s="849"/>
      <c r="AF76" s="849"/>
    </row>
    <row r="77" customFormat="false" ht="16.5" hidden="false" customHeight="false" outlineLevel="0" collapsed="false">
      <c r="A77" s="849"/>
      <c r="B77" s="849"/>
      <c r="C77" s="849"/>
      <c r="D77" s="849"/>
      <c r="E77" s="849"/>
      <c r="F77" s="849"/>
      <c r="G77" s="849"/>
      <c r="H77" s="849"/>
      <c r="I77" s="849"/>
      <c r="J77" s="849"/>
      <c r="K77" s="849"/>
      <c r="L77" s="849"/>
      <c r="M77" s="849"/>
      <c r="N77" s="849"/>
      <c r="O77" s="849"/>
      <c r="P77" s="849"/>
      <c r="Q77" s="849"/>
      <c r="R77" s="849"/>
      <c r="S77" s="849"/>
      <c r="T77" s="849"/>
      <c r="U77" s="849"/>
      <c r="V77" s="849"/>
      <c r="W77" s="849"/>
      <c r="X77" s="849"/>
      <c r="Y77" s="849"/>
      <c r="Z77" s="849"/>
      <c r="AA77" s="849"/>
      <c r="AB77" s="849"/>
      <c r="AC77" s="849"/>
      <c r="AD77" s="849"/>
      <c r="AE77" s="849"/>
      <c r="AF77" s="849"/>
    </row>
    <row r="78" customFormat="false" ht="16.5" hidden="false" customHeight="false" outlineLevel="0" collapsed="false">
      <c r="A78" s="849"/>
      <c r="B78" s="849"/>
      <c r="C78" s="849"/>
      <c r="D78" s="849"/>
      <c r="E78" s="849"/>
      <c r="F78" s="849"/>
      <c r="G78" s="849"/>
      <c r="H78" s="849"/>
      <c r="I78" s="849"/>
      <c r="J78" s="849"/>
      <c r="K78" s="849"/>
      <c r="L78" s="849"/>
      <c r="M78" s="849"/>
      <c r="N78" s="849"/>
      <c r="O78" s="849"/>
      <c r="P78" s="849"/>
      <c r="Q78" s="849"/>
      <c r="R78" s="849"/>
      <c r="S78" s="849"/>
      <c r="T78" s="849"/>
      <c r="U78" s="849"/>
      <c r="V78" s="849"/>
      <c r="W78" s="849"/>
      <c r="X78" s="849"/>
      <c r="Y78" s="849"/>
      <c r="Z78" s="849"/>
      <c r="AA78" s="849"/>
      <c r="AB78" s="849"/>
      <c r="AC78" s="849"/>
      <c r="AD78" s="849"/>
      <c r="AE78" s="849"/>
      <c r="AF78" s="849"/>
    </row>
    <row r="79" customFormat="false" ht="16.5" hidden="false" customHeight="false" outlineLevel="0" collapsed="false">
      <c r="A79" s="849"/>
      <c r="B79" s="849"/>
      <c r="C79" s="849"/>
      <c r="D79" s="849"/>
      <c r="E79" s="849"/>
      <c r="F79" s="849"/>
      <c r="G79" s="849"/>
      <c r="H79" s="849"/>
      <c r="I79" s="849"/>
      <c r="J79" s="849"/>
      <c r="K79" s="849"/>
      <c r="L79" s="849"/>
      <c r="M79" s="849"/>
      <c r="N79" s="849"/>
      <c r="O79" s="849"/>
      <c r="P79" s="849"/>
      <c r="Q79" s="849"/>
      <c r="R79" s="849"/>
      <c r="S79" s="849"/>
      <c r="T79" s="849"/>
      <c r="U79" s="849"/>
      <c r="V79" s="849"/>
      <c r="W79" s="849"/>
      <c r="X79" s="849"/>
      <c r="Y79" s="849"/>
      <c r="Z79" s="849"/>
      <c r="AA79" s="849"/>
      <c r="AB79" s="849"/>
      <c r="AC79" s="849"/>
      <c r="AD79" s="849"/>
      <c r="AE79" s="849"/>
      <c r="AF79" s="849"/>
    </row>
    <row r="80" customFormat="false" ht="16.5" hidden="false" customHeight="false" outlineLevel="0" collapsed="false">
      <c r="A80" s="849"/>
      <c r="B80" s="849"/>
      <c r="C80" s="849"/>
      <c r="D80" s="849"/>
      <c r="E80" s="849"/>
      <c r="F80" s="849"/>
      <c r="G80" s="849"/>
      <c r="H80" s="849"/>
      <c r="I80" s="849"/>
      <c r="J80" s="849"/>
      <c r="K80" s="849"/>
      <c r="L80" s="849"/>
      <c r="M80" s="849"/>
      <c r="N80" s="849"/>
      <c r="O80" s="849"/>
      <c r="P80" s="849"/>
      <c r="Q80" s="849"/>
      <c r="R80" s="849"/>
      <c r="S80" s="849"/>
      <c r="T80" s="849"/>
      <c r="U80" s="849"/>
      <c r="V80" s="849"/>
      <c r="W80" s="849"/>
      <c r="X80" s="849"/>
      <c r="Y80" s="849"/>
      <c r="Z80" s="849"/>
      <c r="AA80" s="849"/>
      <c r="AB80" s="849"/>
      <c r="AC80" s="849"/>
      <c r="AD80" s="849"/>
      <c r="AE80" s="849"/>
      <c r="AF80" s="849"/>
    </row>
    <row r="81" customFormat="false" ht="16.5" hidden="false" customHeight="false" outlineLevel="0" collapsed="false">
      <c r="A81" s="849"/>
      <c r="B81" s="849"/>
      <c r="C81" s="849"/>
      <c r="D81" s="849"/>
      <c r="E81" s="849"/>
      <c r="F81" s="849"/>
      <c r="G81" s="849"/>
      <c r="H81" s="849"/>
      <c r="I81" s="849"/>
      <c r="J81" s="849"/>
      <c r="K81" s="849"/>
      <c r="L81" s="849"/>
      <c r="M81" s="849"/>
      <c r="N81" s="849"/>
      <c r="O81" s="849"/>
      <c r="P81" s="849"/>
      <c r="Q81" s="849"/>
      <c r="R81" s="849"/>
      <c r="S81" s="849"/>
      <c r="T81" s="849"/>
      <c r="U81" s="849"/>
      <c r="V81" s="849"/>
      <c r="W81" s="849"/>
      <c r="X81" s="849"/>
      <c r="Y81" s="849"/>
      <c r="Z81" s="849"/>
      <c r="AA81" s="849"/>
      <c r="AB81" s="849"/>
      <c r="AC81" s="849"/>
      <c r="AD81" s="849"/>
      <c r="AE81" s="849"/>
      <c r="AF81" s="849"/>
    </row>
    <row r="82" customFormat="false" ht="16.5" hidden="false" customHeight="false" outlineLevel="0" collapsed="false">
      <c r="A82" s="849"/>
      <c r="B82" s="849"/>
      <c r="C82" s="849"/>
      <c r="D82" s="849"/>
      <c r="E82" s="849"/>
      <c r="F82" s="849"/>
      <c r="G82" s="849"/>
      <c r="H82" s="849"/>
      <c r="I82" s="849"/>
      <c r="J82" s="849"/>
      <c r="K82" s="849"/>
      <c r="L82" s="849"/>
      <c r="M82" s="849"/>
      <c r="N82" s="849"/>
      <c r="O82" s="849"/>
      <c r="P82" s="849"/>
      <c r="Q82" s="849"/>
      <c r="R82" s="849"/>
      <c r="S82" s="849"/>
      <c r="T82" s="849"/>
      <c r="U82" s="849"/>
      <c r="V82" s="849"/>
      <c r="W82" s="849"/>
      <c r="X82" s="849"/>
      <c r="Y82" s="849"/>
      <c r="Z82" s="849"/>
      <c r="AA82" s="849"/>
      <c r="AB82" s="849"/>
      <c r="AC82" s="849"/>
      <c r="AD82" s="849"/>
      <c r="AE82" s="849"/>
      <c r="AF82" s="849"/>
    </row>
    <row r="83" customFormat="false" ht="16.5" hidden="false" customHeight="false" outlineLevel="0" collapsed="false">
      <c r="A83" s="849"/>
      <c r="B83" s="849"/>
      <c r="C83" s="849"/>
      <c r="D83" s="849"/>
      <c r="E83" s="849"/>
      <c r="F83" s="849"/>
      <c r="G83" s="849"/>
      <c r="H83" s="849"/>
      <c r="I83" s="849"/>
      <c r="J83" s="849"/>
      <c r="K83" s="849"/>
      <c r="L83" s="849"/>
      <c r="M83" s="849"/>
      <c r="N83" s="849"/>
      <c r="O83" s="849"/>
      <c r="P83" s="849"/>
      <c r="Q83" s="849"/>
      <c r="R83" s="849"/>
      <c r="S83" s="849"/>
      <c r="T83" s="849"/>
      <c r="U83" s="849"/>
      <c r="V83" s="849"/>
      <c r="W83" s="849"/>
      <c r="X83" s="849"/>
      <c r="Y83" s="849"/>
      <c r="Z83" s="849"/>
      <c r="AA83" s="849"/>
      <c r="AB83" s="849"/>
      <c r="AC83" s="849"/>
      <c r="AD83" s="849"/>
      <c r="AE83" s="849"/>
      <c r="AF83" s="849"/>
    </row>
    <row r="84" customFormat="false" ht="16.5" hidden="false" customHeight="false" outlineLevel="0" collapsed="false">
      <c r="A84" s="849"/>
      <c r="B84" s="849"/>
      <c r="C84" s="849"/>
      <c r="D84" s="849"/>
      <c r="E84" s="849"/>
      <c r="F84" s="849"/>
      <c r="G84" s="849"/>
      <c r="H84" s="849"/>
      <c r="I84" s="849"/>
      <c r="J84" s="849"/>
      <c r="K84" s="849"/>
      <c r="L84" s="849"/>
      <c r="M84" s="849"/>
      <c r="N84" s="849"/>
      <c r="O84" s="849"/>
      <c r="P84" s="849"/>
      <c r="Q84" s="849"/>
      <c r="R84" s="849"/>
      <c r="S84" s="849"/>
      <c r="T84" s="849"/>
      <c r="U84" s="849"/>
      <c r="V84" s="849"/>
      <c r="W84" s="849"/>
      <c r="X84" s="849"/>
      <c r="Y84" s="849"/>
      <c r="Z84" s="849"/>
      <c r="AA84" s="849"/>
      <c r="AB84" s="849"/>
      <c r="AC84" s="849"/>
      <c r="AD84" s="849"/>
      <c r="AE84" s="849"/>
      <c r="AF84" s="849"/>
    </row>
    <row r="85" customFormat="false" ht="16.5" hidden="false" customHeight="false" outlineLevel="0" collapsed="false">
      <c r="A85" s="849"/>
      <c r="B85" s="849"/>
      <c r="C85" s="849"/>
      <c r="D85" s="849"/>
      <c r="E85" s="849"/>
      <c r="F85" s="849"/>
      <c r="G85" s="849"/>
      <c r="H85" s="849"/>
      <c r="I85" s="849"/>
      <c r="J85" s="849"/>
      <c r="K85" s="849"/>
      <c r="L85" s="849"/>
      <c r="M85" s="849"/>
      <c r="N85" s="849"/>
      <c r="O85" s="849"/>
      <c r="P85" s="849"/>
      <c r="Q85" s="849"/>
      <c r="R85" s="849"/>
      <c r="S85" s="849"/>
      <c r="T85" s="849"/>
      <c r="U85" s="849"/>
      <c r="V85" s="849"/>
      <c r="W85" s="849"/>
      <c r="X85" s="849"/>
      <c r="Y85" s="849"/>
      <c r="Z85" s="849"/>
      <c r="AA85" s="849"/>
      <c r="AB85" s="849"/>
      <c r="AC85" s="849"/>
      <c r="AD85" s="849"/>
      <c r="AE85" s="849"/>
      <c r="AF85" s="849"/>
    </row>
    <row r="86" customFormat="false" ht="16.5" hidden="false" customHeight="false" outlineLevel="0" collapsed="false">
      <c r="A86" s="849"/>
      <c r="B86" s="849"/>
      <c r="C86" s="849"/>
      <c r="D86" s="849"/>
      <c r="E86" s="849"/>
      <c r="F86" s="849"/>
      <c r="G86" s="849"/>
      <c r="H86" s="849"/>
      <c r="I86" s="849"/>
      <c r="J86" s="849"/>
      <c r="K86" s="849"/>
      <c r="L86" s="849"/>
      <c r="M86" s="849"/>
      <c r="N86" s="849"/>
      <c r="O86" s="849"/>
      <c r="P86" s="849"/>
      <c r="Q86" s="849"/>
      <c r="R86" s="849"/>
      <c r="S86" s="849"/>
      <c r="T86" s="849"/>
      <c r="U86" s="849"/>
      <c r="V86" s="849"/>
      <c r="W86" s="849"/>
      <c r="X86" s="849"/>
      <c r="Y86" s="849"/>
      <c r="Z86" s="849"/>
      <c r="AA86" s="849"/>
      <c r="AB86" s="849"/>
      <c r="AC86" s="849"/>
      <c r="AD86" s="849"/>
      <c r="AE86" s="849"/>
      <c r="AF86" s="849"/>
    </row>
    <row r="87" customFormat="false" ht="16.5" hidden="false" customHeight="false" outlineLevel="0" collapsed="false">
      <c r="A87" s="849"/>
      <c r="B87" s="849"/>
      <c r="C87" s="849"/>
      <c r="D87" s="849"/>
      <c r="E87" s="849"/>
      <c r="F87" s="849"/>
      <c r="G87" s="849"/>
      <c r="H87" s="849"/>
      <c r="I87" s="849"/>
      <c r="J87" s="849"/>
      <c r="K87" s="849"/>
      <c r="L87" s="849"/>
      <c r="M87" s="849"/>
      <c r="N87" s="849"/>
      <c r="O87" s="849"/>
      <c r="P87" s="849"/>
      <c r="Q87" s="849"/>
      <c r="R87" s="849"/>
      <c r="S87" s="849"/>
      <c r="T87" s="849"/>
      <c r="U87" s="849"/>
      <c r="V87" s="849"/>
      <c r="W87" s="849"/>
      <c r="X87" s="849"/>
      <c r="Y87" s="849"/>
      <c r="Z87" s="849"/>
      <c r="AA87" s="849"/>
      <c r="AB87" s="849"/>
      <c r="AC87" s="849"/>
      <c r="AD87" s="849"/>
      <c r="AE87" s="849"/>
      <c r="AF87" s="849"/>
    </row>
    <row r="88" customFormat="false" ht="16.5" hidden="false" customHeight="false" outlineLevel="0" collapsed="false">
      <c r="A88" s="849"/>
      <c r="B88" s="849"/>
      <c r="C88" s="849"/>
      <c r="D88" s="849"/>
      <c r="E88" s="849"/>
      <c r="F88" s="849"/>
      <c r="G88" s="849"/>
      <c r="H88" s="849"/>
      <c r="I88" s="849"/>
      <c r="J88" s="849"/>
      <c r="K88" s="849"/>
      <c r="L88" s="849"/>
      <c r="M88" s="849"/>
      <c r="N88" s="849"/>
      <c r="O88" s="849"/>
      <c r="P88" s="849"/>
      <c r="Q88" s="849"/>
      <c r="R88" s="849"/>
      <c r="S88" s="849"/>
      <c r="T88" s="849"/>
      <c r="U88" s="849"/>
      <c r="V88" s="849"/>
      <c r="W88" s="849"/>
      <c r="X88" s="849"/>
      <c r="Y88" s="849"/>
      <c r="Z88" s="849"/>
      <c r="AA88" s="849"/>
      <c r="AB88" s="849"/>
      <c r="AC88" s="849"/>
      <c r="AD88" s="849"/>
      <c r="AE88" s="849"/>
      <c r="AF88" s="84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88"/>
  <sheetViews>
    <sheetView showFormulas="false" showGridLines="true" showRowColHeaders="true" showZeros="true" rightToLeft="false" tabSelected="false" showOutlineSymbols="true" defaultGridColor="true" view="normal" topLeftCell="A38" colorId="64" zoomScale="140" zoomScaleNormal="140" zoomScalePageLayoutView="100" workbookViewId="0">
      <selection pane="topLeft" activeCell="F41" activeCellId="0" sqref="F41"/>
    </sheetView>
  </sheetViews>
  <sheetFormatPr defaultColWidth="8.859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1"/>
    <col collapsed="false" customWidth="true" hidden="false" outlineLevel="0" max="10" min="3" style="0" width="23.71"/>
    <col collapsed="false" customWidth="true" hidden="false" outlineLevel="0" max="11" min="11" style="0" width="1.86"/>
    <col collapsed="false" customWidth="true" hidden="false" outlineLevel="0" max="12" min="12" style="0" width="33"/>
    <col collapsed="false" customWidth="true" hidden="false" outlineLevel="0" max="14" min="13" style="0" width="23.28"/>
  </cols>
  <sheetData>
    <row r="1" customFormat="false" ht="23.25" hidden="false" customHeight="true" outlineLevel="0" collapsed="false">
      <c r="A1" s="849"/>
      <c r="B1" s="849"/>
      <c r="C1" s="850" t="s">
        <v>0</v>
      </c>
      <c r="D1" s="851" t="n">
        <v>224.4</v>
      </c>
      <c r="E1" s="849"/>
      <c r="F1" s="852"/>
      <c r="G1" s="849"/>
      <c r="H1" s="849"/>
      <c r="I1" s="849"/>
      <c r="J1" s="849"/>
      <c r="K1" s="849"/>
      <c r="L1" s="849"/>
      <c r="M1" s="849"/>
      <c r="N1" s="849"/>
      <c r="O1" s="849"/>
      <c r="P1" s="849"/>
      <c r="Q1" s="849"/>
      <c r="R1" s="849"/>
      <c r="S1" s="849"/>
      <c r="T1" s="849"/>
      <c r="U1" s="849"/>
      <c r="V1" s="849"/>
      <c r="W1" s="849"/>
      <c r="X1" s="849"/>
      <c r="Y1" s="849"/>
      <c r="Z1" s="849"/>
      <c r="AA1" s="849"/>
      <c r="AB1" s="849"/>
      <c r="AC1" s="849"/>
      <c r="AD1" s="849"/>
      <c r="AE1" s="849"/>
      <c r="AF1" s="849"/>
    </row>
    <row r="2" customFormat="false" ht="23.25" hidden="false" customHeight="true" outlineLevel="0" collapsed="false">
      <c r="A2" s="849"/>
      <c r="B2" s="853" t="s">
        <v>381</v>
      </c>
      <c r="C2" s="854" t="s">
        <v>1</v>
      </c>
      <c r="D2" s="855" t="n">
        <f aca="false">J8+J16+J24+J32+J40+E48</f>
        <v>94.6</v>
      </c>
      <c r="E2" s="856" t="s">
        <v>2</v>
      </c>
      <c r="F2" s="857" t="n">
        <f aca="false">J9+J17+J25+J33+J41+E49</f>
        <v>0</v>
      </c>
      <c r="G2" s="856" t="s">
        <v>3</v>
      </c>
      <c r="H2" s="857" t="n">
        <f aca="false">J10+J18+J26+J34+J42+E50</f>
        <v>2.4</v>
      </c>
      <c r="I2" s="858"/>
      <c r="J2" s="859" t="s">
        <v>4</v>
      </c>
      <c r="K2" s="860"/>
      <c r="L2" s="859"/>
      <c r="M2" s="849"/>
      <c r="N2" s="849"/>
      <c r="O2" s="849"/>
      <c r="P2" s="849"/>
      <c r="Q2" s="849"/>
      <c r="R2" s="849"/>
      <c r="S2" s="849"/>
      <c r="T2" s="849"/>
      <c r="U2" s="849"/>
      <c r="V2" s="849"/>
      <c r="W2" s="849"/>
      <c r="X2" s="849"/>
      <c r="Y2" s="849"/>
      <c r="Z2" s="849"/>
      <c r="AA2" s="849"/>
      <c r="AB2" s="849"/>
      <c r="AC2" s="849"/>
      <c r="AD2" s="849"/>
      <c r="AE2" s="849"/>
      <c r="AF2" s="849"/>
    </row>
    <row r="3" customFormat="false" ht="23.25" hidden="false" customHeight="true" outlineLevel="0" collapsed="false">
      <c r="A3" s="849"/>
      <c r="B3" s="861" t="s">
        <v>5</v>
      </c>
      <c r="C3" s="862" t="s">
        <v>6</v>
      </c>
      <c r="D3" s="863" t="s">
        <v>7</v>
      </c>
      <c r="E3" s="864" t="s">
        <v>8</v>
      </c>
      <c r="F3" s="865" t="s">
        <v>9</v>
      </c>
      <c r="G3" s="863" t="s">
        <v>8</v>
      </c>
      <c r="H3" s="863" t="s">
        <v>11</v>
      </c>
      <c r="I3" s="866" t="s">
        <v>6</v>
      </c>
      <c r="J3" s="859" t="s">
        <v>13</v>
      </c>
      <c r="K3" s="867"/>
      <c r="L3" s="859"/>
      <c r="M3" s="849"/>
      <c r="N3" s="849"/>
      <c r="O3" s="849"/>
      <c r="P3" s="849"/>
      <c r="Q3" s="849"/>
      <c r="R3" s="849"/>
      <c r="S3" s="849"/>
      <c r="T3" s="849"/>
      <c r="U3" s="849"/>
      <c r="V3" s="849"/>
      <c r="W3" s="849"/>
      <c r="X3" s="849"/>
      <c r="Y3" s="849"/>
      <c r="Z3" s="849"/>
      <c r="AA3" s="849"/>
      <c r="AB3" s="849"/>
      <c r="AC3" s="849"/>
      <c r="AD3" s="849"/>
      <c r="AE3" s="849"/>
      <c r="AF3" s="849"/>
    </row>
    <row r="4" customFormat="false" ht="23.25" hidden="false" customHeight="true" outlineLevel="0" collapsed="false">
      <c r="A4" s="849"/>
      <c r="B4" s="868" t="s">
        <v>14</v>
      </c>
      <c r="C4" s="869"/>
      <c r="D4" s="869"/>
      <c r="E4" s="869"/>
      <c r="F4" s="869"/>
      <c r="G4" s="869"/>
      <c r="H4" s="870" t="n">
        <v>1</v>
      </c>
      <c r="I4" s="871" t="n">
        <v>2</v>
      </c>
      <c r="J4" s="859" t="s">
        <v>15</v>
      </c>
      <c r="K4" s="867"/>
      <c r="L4" s="872"/>
      <c r="M4" s="849"/>
      <c r="N4" s="849"/>
      <c r="O4" s="849"/>
      <c r="P4" s="849"/>
      <c r="Q4" s="849"/>
      <c r="R4" s="849"/>
      <c r="S4" s="849"/>
      <c r="T4" s="849"/>
      <c r="U4" s="849"/>
      <c r="V4" s="849"/>
      <c r="W4" s="849"/>
      <c r="X4" s="849"/>
      <c r="Y4" s="849"/>
      <c r="Z4" s="849"/>
      <c r="AA4" s="849"/>
      <c r="AB4" s="849"/>
      <c r="AC4" s="849"/>
      <c r="AD4" s="849"/>
      <c r="AE4" s="849"/>
      <c r="AF4" s="849"/>
    </row>
    <row r="5" customFormat="false" ht="23.25" hidden="false" customHeight="true" outlineLevel="0" collapsed="false">
      <c r="A5" s="849"/>
      <c r="B5" s="873" t="s">
        <v>16</v>
      </c>
      <c r="C5" s="874" t="s">
        <v>80</v>
      </c>
      <c r="D5" s="875" t="s">
        <v>80</v>
      </c>
      <c r="E5" s="876" t="s">
        <v>80</v>
      </c>
      <c r="F5" s="875" t="s">
        <v>80</v>
      </c>
      <c r="G5" s="875" t="s">
        <v>80</v>
      </c>
      <c r="H5" s="875" t="s">
        <v>40</v>
      </c>
      <c r="I5" s="877" t="s">
        <v>359</v>
      </c>
      <c r="J5" s="859" t="s">
        <v>17</v>
      </c>
      <c r="K5" s="867"/>
      <c r="L5" s="878"/>
      <c r="M5" s="849"/>
      <c r="N5" s="849"/>
      <c r="O5" s="849"/>
      <c r="P5" s="849"/>
      <c r="Q5" s="849"/>
      <c r="R5" s="849"/>
      <c r="S5" s="849"/>
      <c r="T5" s="849"/>
      <c r="U5" s="849"/>
      <c r="V5" s="849"/>
      <c r="W5" s="849"/>
      <c r="X5" s="849"/>
      <c r="Y5" s="849"/>
      <c r="Z5" s="849"/>
      <c r="AA5" s="849"/>
      <c r="AB5" s="849"/>
      <c r="AC5" s="849"/>
      <c r="AD5" s="849"/>
      <c r="AE5" s="849"/>
      <c r="AF5" s="849"/>
    </row>
    <row r="6" customFormat="false" ht="23.25" hidden="false" customHeight="true" outlineLevel="0" collapsed="false">
      <c r="A6" s="849"/>
      <c r="B6" s="868" t="s">
        <v>18</v>
      </c>
      <c r="C6" s="929"/>
      <c r="D6" s="879"/>
      <c r="E6" s="880"/>
      <c r="F6" s="879"/>
      <c r="G6" s="879"/>
      <c r="H6" s="879" t="n">
        <v>0</v>
      </c>
      <c r="I6" s="881" t="n">
        <v>0.02</v>
      </c>
      <c r="J6" s="882"/>
      <c r="K6" s="867"/>
      <c r="L6" s="849"/>
      <c r="M6" s="849"/>
      <c r="N6" s="849"/>
      <c r="O6" s="849"/>
      <c r="P6" s="849"/>
      <c r="Q6" s="849"/>
      <c r="R6" s="849"/>
      <c r="S6" s="849"/>
      <c r="T6" s="849"/>
      <c r="U6" s="849"/>
      <c r="V6" s="849"/>
      <c r="W6" s="849"/>
      <c r="X6" s="849"/>
      <c r="Y6" s="849"/>
      <c r="Z6" s="849"/>
      <c r="AA6" s="849"/>
      <c r="AB6" s="849"/>
      <c r="AC6" s="849"/>
      <c r="AD6" s="849"/>
      <c r="AE6" s="849"/>
      <c r="AF6" s="849"/>
    </row>
    <row r="7" customFormat="false" ht="23.25" hidden="false" customHeight="true" outlineLevel="0" collapsed="false">
      <c r="A7" s="849"/>
      <c r="B7" s="873" t="s">
        <v>19</v>
      </c>
      <c r="C7" s="883"/>
      <c r="D7" s="884"/>
      <c r="E7" s="885"/>
      <c r="F7" s="884"/>
      <c r="G7" s="884"/>
      <c r="H7" s="884" t="s">
        <v>180</v>
      </c>
      <c r="I7" s="886" t="s">
        <v>169</v>
      </c>
      <c r="J7" s="887" t="s">
        <v>20</v>
      </c>
      <c r="K7" s="867"/>
      <c r="L7" s="888"/>
      <c r="M7" s="849"/>
      <c r="N7" s="849"/>
      <c r="O7" s="849"/>
      <c r="P7" s="849"/>
      <c r="Q7" s="849"/>
      <c r="R7" s="849"/>
      <c r="S7" s="849"/>
      <c r="T7" s="849"/>
      <c r="U7" s="849"/>
      <c r="V7" s="849"/>
      <c r="W7" s="849"/>
      <c r="X7" s="849"/>
      <c r="Y7" s="849"/>
      <c r="Z7" s="849"/>
      <c r="AA7" s="849"/>
      <c r="AB7" s="849"/>
      <c r="AC7" s="849"/>
      <c r="AD7" s="849"/>
      <c r="AE7" s="849"/>
      <c r="AF7" s="849"/>
    </row>
    <row r="8" customFormat="false" ht="23.25" hidden="false" customHeight="true" outlineLevel="0" collapsed="false">
      <c r="A8" s="849"/>
      <c r="B8" s="868" t="s">
        <v>21</v>
      </c>
      <c r="C8" s="889"/>
      <c r="D8" s="890"/>
      <c r="E8" s="891"/>
      <c r="F8" s="890"/>
      <c r="G8" s="890"/>
      <c r="H8" s="890" t="n">
        <v>8</v>
      </c>
      <c r="I8" s="892" t="s">
        <v>210</v>
      </c>
      <c r="J8" s="893" t="n">
        <f aca="false" t="array" ref="J8:J8">SUM(IF(ISNUMBER(C8:I8), C8:I8, 0))</f>
        <v>8</v>
      </c>
      <c r="K8" s="867"/>
      <c r="L8" s="894" t="s">
        <v>22</v>
      </c>
      <c r="M8" s="849"/>
      <c r="N8" s="849"/>
      <c r="O8" s="849"/>
      <c r="P8" s="849"/>
      <c r="Q8" s="849"/>
      <c r="R8" s="849"/>
      <c r="S8" s="849"/>
      <c r="T8" s="849"/>
      <c r="U8" s="849"/>
      <c r="V8" s="849"/>
      <c r="W8" s="849"/>
      <c r="X8" s="849"/>
      <c r="Y8" s="849"/>
      <c r="Z8" s="849"/>
      <c r="AA8" s="849"/>
      <c r="AB8" s="849"/>
      <c r="AC8" s="849"/>
      <c r="AD8" s="849"/>
      <c r="AE8" s="849"/>
      <c r="AF8" s="849"/>
    </row>
    <row r="9" customFormat="false" ht="23.25" hidden="false" customHeight="true" outlineLevel="0" collapsed="false">
      <c r="A9" s="849"/>
      <c r="B9" s="868" t="s">
        <v>23</v>
      </c>
      <c r="C9" s="889"/>
      <c r="D9" s="890"/>
      <c r="E9" s="891"/>
      <c r="F9" s="890"/>
      <c r="G9" s="890"/>
      <c r="H9" s="890"/>
      <c r="I9" s="892"/>
      <c r="J9" s="893" t="n">
        <f aca="false" t="array" ref="J9:J9">SUM(IF(ISNUMBER(B9:I9), B9:I9, 0))</f>
        <v>0</v>
      </c>
      <c r="K9" s="867"/>
      <c r="L9" s="894" t="s">
        <v>24</v>
      </c>
      <c r="M9" s="849"/>
      <c r="N9" s="849"/>
      <c r="O9" s="849"/>
      <c r="P9" s="849"/>
      <c r="Q9" s="849"/>
      <c r="R9" s="849"/>
      <c r="S9" s="849"/>
      <c r="T9" s="849"/>
      <c r="U9" s="849"/>
      <c r="V9" s="849"/>
      <c r="W9" s="849"/>
      <c r="X9" s="849"/>
      <c r="Y9" s="849"/>
      <c r="Z9" s="849"/>
      <c r="AA9" s="849"/>
      <c r="AB9" s="849"/>
      <c r="AC9" s="849"/>
      <c r="AD9" s="849"/>
      <c r="AE9" s="849"/>
      <c r="AF9" s="849"/>
    </row>
    <row r="10" customFormat="false" ht="23.25" hidden="false" customHeight="true" outlineLevel="0" collapsed="false">
      <c r="A10" s="849"/>
      <c r="B10" s="868" t="s">
        <v>25</v>
      </c>
      <c r="C10" s="889"/>
      <c r="D10" s="890"/>
      <c r="E10" s="891"/>
      <c r="F10" s="890"/>
      <c r="G10" s="890"/>
      <c r="H10" s="890"/>
      <c r="I10" s="895"/>
      <c r="J10" s="896" t="n">
        <f aca="false" t="array" ref="J10:J10">SUM(IF(ISNUMBER(B10:I10), B10:I10, 0))</f>
        <v>0</v>
      </c>
      <c r="K10" s="867"/>
      <c r="L10" s="894" t="s">
        <v>26</v>
      </c>
      <c r="M10" s="849"/>
      <c r="N10" s="849"/>
      <c r="O10" s="849"/>
      <c r="P10" s="849"/>
      <c r="Q10" s="849"/>
      <c r="R10" s="849"/>
      <c r="S10" s="849"/>
      <c r="T10" s="849"/>
      <c r="U10" s="849"/>
      <c r="V10" s="849"/>
      <c r="W10" s="849"/>
      <c r="X10" s="849"/>
      <c r="Y10" s="849"/>
      <c r="Z10" s="849"/>
      <c r="AA10" s="849"/>
      <c r="AB10" s="849"/>
      <c r="AC10" s="849"/>
      <c r="AD10" s="849"/>
      <c r="AE10" s="849"/>
      <c r="AF10" s="849"/>
    </row>
    <row r="11" customFormat="false" ht="23.25" hidden="false" customHeight="true" outlineLevel="0" collapsed="false">
      <c r="A11" s="849"/>
      <c r="B11" s="897" t="s">
        <v>27</v>
      </c>
      <c r="C11" s="898"/>
      <c r="D11" s="899"/>
      <c r="E11" s="900"/>
      <c r="F11" s="901"/>
      <c r="G11" s="899"/>
      <c r="H11" s="902" t="s">
        <v>382</v>
      </c>
      <c r="I11" s="903" t="s">
        <v>383</v>
      </c>
      <c r="J11" s="882"/>
      <c r="K11" s="867"/>
      <c r="L11" s="907"/>
      <c r="M11" s="849"/>
      <c r="N11" s="849"/>
      <c r="O11" s="849"/>
      <c r="P11" s="849"/>
      <c r="Q11" s="849"/>
      <c r="R11" s="849"/>
      <c r="S11" s="849"/>
      <c r="T11" s="849"/>
      <c r="U11" s="849"/>
      <c r="V11" s="849"/>
      <c r="W11" s="849"/>
      <c r="X11" s="849"/>
      <c r="Y11" s="849"/>
      <c r="Z11" s="849"/>
      <c r="AA11" s="849"/>
      <c r="AB11" s="849"/>
      <c r="AC11" s="849"/>
      <c r="AD11" s="849"/>
      <c r="AE11" s="849"/>
      <c r="AF11" s="849"/>
    </row>
    <row r="12" customFormat="false" ht="23.25" hidden="false" customHeight="true" outlineLevel="0" collapsed="false">
      <c r="A12" s="849"/>
      <c r="B12" s="849" t="s">
        <v>4</v>
      </c>
      <c r="C12" s="904" t="n">
        <v>3</v>
      </c>
      <c r="D12" s="904" t="n">
        <v>4</v>
      </c>
      <c r="E12" s="904" t="n">
        <v>5</v>
      </c>
      <c r="F12" s="904" t="n">
        <v>6</v>
      </c>
      <c r="G12" s="904" t="n">
        <v>7</v>
      </c>
      <c r="H12" s="905" t="n">
        <v>8</v>
      </c>
      <c r="I12" s="869" t="n">
        <v>9</v>
      </c>
      <c r="J12" s="906"/>
      <c r="K12" s="867"/>
      <c r="L12" s="907"/>
      <c r="M12" s="849"/>
      <c r="N12" s="849"/>
      <c r="O12" s="849"/>
      <c r="P12" s="849"/>
      <c r="Q12" s="849"/>
      <c r="R12" s="849"/>
      <c r="S12" s="849"/>
      <c r="T12" s="849"/>
      <c r="U12" s="849"/>
      <c r="V12" s="849"/>
      <c r="W12" s="849"/>
      <c r="X12" s="849"/>
      <c r="Y12" s="849"/>
      <c r="Z12" s="849"/>
      <c r="AA12" s="849"/>
      <c r="AB12" s="849"/>
      <c r="AC12" s="849"/>
      <c r="AD12" s="849"/>
      <c r="AE12" s="849"/>
      <c r="AF12" s="849"/>
    </row>
    <row r="13" customFormat="false" ht="23.25" hidden="false" customHeight="true" outlineLevel="0" collapsed="false">
      <c r="A13" s="849"/>
      <c r="B13" s="849"/>
      <c r="C13" s="874" t="s">
        <v>43</v>
      </c>
      <c r="D13" s="875"/>
      <c r="E13" s="876"/>
      <c r="F13" s="875" t="s">
        <v>152</v>
      </c>
      <c r="G13" s="875" t="s">
        <v>384</v>
      </c>
      <c r="H13" s="875" t="s">
        <v>385</v>
      </c>
      <c r="I13" s="877" t="s">
        <v>209</v>
      </c>
      <c r="J13" s="906"/>
      <c r="K13" s="867"/>
      <c r="L13" s="907"/>
      <c r="M13" s="849"/>
      <c r="N13" s="849"/>
      <c r="O13" s="849"/>
      <c r="P13" s="849"/>
      <c r="Q13" s="849"/>
      <c r="R13" s="849"/>
      <c r="S13" s="849"/>
      <c r="T13" s="849"/>
      <c r="U13" s="849"/>
      <c r="V13" s="849"/>
      <c r="W13" s="849"/>
      <c r="X13" s="849"/>
      <c r="Y13" s="849"/>
      <c r="Z13" s="849"/>
      <c r="AA13" s="849"/>
      <c r="AB13" s="849"/>
      <c r="AC13" s="849"/>
      <c r="AD13" s="849"/>
      <c r="AE13" s="849"/>
      <c r="AF13" s="849"/>
    </row>
    <row r="14" customFormat="false" ht="23.25" hidden="false" customHeight="true" outlineLevel="0" collapsed="false">
      <c r="A14" s="849"/>
      <c r="B14" s="849"/>
      <c r="C14" s="929" t="n">
        <v>0.06</v>
      </c>
      <c r="D14" s="879" t="n">
        <v>0.11</v>
      </c>
      <c r="E14" s="879" t="n">
        <v>0.19</v>
      </c>
      <c r="F14" s="879" t="n">
        <v>0.27</v>
      </c>
      <c r="G14" s="879" t="n">
        <v>0.37</v>
      </c>
      <c r="H14" s="879" t="n">
        <v>0.48</v>
      </c>
      <c r="I14" s="881" t="n">
        <v>0.59</v>
      </c>
      <c r="J14" s="867"/>
      <c r="K14" s="867"/>
      <c r="L14" s="907"/>
      <c r="M14" s="849"/>
      <c r="N14" s="849"/>
      <c r="O14" s="849"/>
      <c r="P14" s="849"/>
      <c r="Q14" s="849"/>
      <c r="R14" s="849"/>
      <c r="S14" s="849"/>
      <c r="T14" s="849"/>
      <c r="U14" s="849"/>
      <c r="V14" s="849"/>
      <c r="W14" s="849"/>
      <c r="X14" s="849"/>
      <c r="Y14" s="849"/>
      <c r="Z14" s="849"/>
      <c r="AA14" s="849"/>
      <c r="AB14" s="849"/>
      <c r="AC14" s="849"/>
      <c r="AD14" s="849"/>
      <c r="AE14" s="849"/>
      <c r="AF14" s="849"/>
    </row>
    <row r="15" customFormat="false" ht="23.25" hidden="false" customHeight="true" outlineLevel="0" collapsed="false">
      <c r="A15" s="849"/>
      <c r="B15" s="849"/>
      <c r="C15" s="883" t="s">
        <v>62</v>
      </c>
      <c r="D15" s="884" t="s">
        <v>54</v>
      </c>
      <c r="E15" s="884" t="s">
        <v>352</v>
      </c>
      <c r="F15" s="884" t="s">
        <v>352</v>
      </c>
      <c r="G15" s="884" t="s">
        <v>169</v>
      </c>
      <c r="H15" s="884" t="s">
        <v>62</v>
      </c>
      <c r="I15" s="886" t="s">
        <v>40</v>
      </c>
      <c r="J15" s="887" t="s">
        <v>29</v>
      </c>
      <c r="K15" s="867"/>
      <c r="L15" s="907"/>
      <c r="M15" s="849"/>
      <c r="N15" s="849"/>
      <c r="O15" s="849"/>
      <c r="P15" s="849"/>
      <c r="Q15" s="849"/>
      <c r="R15" s="849"/>
      <c r="S15" s="849"/>
      <c r="T15" s="849"/>
      <c r="U15" s="849"/>
      <c r="V15" s="849"/>
      <c r="W15" s="849"/>
      <c r="X15" s="849"/>
      <c r="Y15" s="849"/>
      <c r="Z15" s="849"/>
      <c r="AA15" s="849"/>
      <c r="AB15" s="849"/>
      <c r="AC15" s="849"/>
      <c r="AD15" s="849"/>
      <c r="AE15" s="849"/>
      <c r="AF15" s="849"/>
    </row>
    <row r="16" customFormat="false" ht="23.25" hidden="false" customHeight="true" outlineLevel="0" collapsed="false">
      <c r="A16" s="849"/>
      <c r="B16" s="849"/>
      <c r="C16" s="889" t="n">
        <v>5.5</v>
      </c>
      <c r="D16" s="890" t="n">
        <v>9</v>
      </c>
      <c r="E16" s="890" t="s">
        <v>225</v>
      </c>
      <c r="F16" s="890" t="s">
        <v>225</v>
      </c>
      <c r="G16" s="890" t="n">
        <v>4.2</v>
      </c>
      <c r="H16" s="890" t="n">
        <v>4.2</v>
      </c>
      <c r="I16" s="892" t="n">
        <v>4.2</v>
      </c>
      <c r="J16" s="893" t="n">
        <f aca="false" t="array" ref="J16:J16">SUM(IF(ISNUMBER(B16:I16), B16:I16, 0))</f>
        <v>27.1</v>
      </c>
      <c r="K16" s="867"/>
      <c r="L16" s="803" t="s">
        <v>22</v>
      </c>
      <c r="M16" s="849"/>
      <c r="N16" s="849"/>
      <c r="O16" s="849"/>
      <c r="P16" s="849"/>
      <c r="Q16" s="849"/>
      <c r="R16" s="849"/>
      <c r="S16" s="849"/>
      <c r="T16" s="849"/>
      <c r="U16" s="849"/>
      <c r="V16" s="849"/>
      <c r="W16" s="849"/>
      <c r="X16" s="849"/>
      <c r="Y16" s="849"/>
      <c r="Z16" s="849"/>
      <c r="AA16" s="849"/>
      <c r="AB16" s="849"/>
      <c r="AC16" s="849"/>
      <c r="AD16" s="849"/>
      <c r="AE16" s="849"/>
      <c r="AF16" s="849"/>
    </row>
    <row r="17" customFormat="false" ht="23.25" hidden="false" customHeight="true" outlineLevel="0" collapsed="false">
      <c r="A17" s="849"/>
      <c r="B17" s="849"/>
      <c r="C17" s="889"/>
      <c r="D17" s="890"/>
      <c r="E17" s="890"/>
      <c r="F17" s="890"/>
      <c r="G17" s="890"/>
      <c r="H17" s="890"/>
      <c r="I17" s="892"/>
      <c r="J17" s="893" t="n">
        <f aca="false" t="array" ref="J17:J17">SUM(IF(ISNUMBER(B17:I17), B17:I17, 0))</f>
        <v>0</v>
      </c>
      <c r="K17" s="867"/>
      <c r="L17" s="803" t="s">
        <v>24</v>
      </c>
      <c r="M17" s="849"/>
      <c r="N17" s="849"/>
      <c r="O17" s="849"/>
      <c r="P17" s="849"/>
      <c r="Q17" s="849"/>
      <c r="R17" s="849"/>
      <c r="S17" s="849"/>
      <c r="T17" s="849"/>
      <c r="U17" s="849"/>
      <c r="V17" s="849"/>
      <c r="W17" s="849"/>
      <c r="X17" s="849"/>
      <c r="Y17" s="849"/>
      <c r="Z17" s="849"/>
      <c r="AA17" s="849"/>
      <c r="AB17" s="849"/>
      <c r="AC17" s="849"/>
      <c r="AD17" s="849"/>
      <c r="AE17" s="849"/>
      <c r="AF17" s="849"/>
    </row>
    <row r="18" customFormat="false" ht="23.25" hidden="false" customHeight="true" outlineLevel="0" collapsed="false">
      <c r="A18" s="849"/>
      <c r="B18" s="849"/>
      <c r="C18" s="889"/>
      <c r="D18" s="890"/>
      <c r="E18" s="890"/>
      <c r="F18" s="890"/>
      <c r="G18" s="890"/>
      <c r="H18" s="890"/>
      <c r="I18" s="892"/>
      <c r="J18" s="896" t="n">
        <f aca="false" t="array" ref="J18:J18">SUM(IF(ISNUMBER(B18:I18), B18:I18, 0))</f>
        <v>0</v>
      </c>
      <c r="K18" s="867"/>
      <c r="L18" s="803" t="s">
        <v>26</v>
      </c>
      <c r="M18" s="849"/>
      <c r="N18" s="849"/>
      <c r="O18" s="849"/>
      <c r="P18" s="849"/>
      <c r="Q18" s="849"/>
      <c r="R18" s="849"/>
      <c r="S18" s="849"/>
      <c r="T18" s="849"/>
      <c r="U18" s="849"/>
      <c r="V18" s="849"/>
      <c r="W18" s="849"/>
      <c r="X18" s="849"/>
      <c r="Y18" s="849"/>
      <c r="Z18" s="849"/>
      <c r="AA18" s="849"/>
      <c r="AB18" s="849"/>
      <c r="AC18" s="849"/>
      <c r="AD18" s="849"/>
      <c r="AE18" s="849"/>
      <c r="AF18" s="849"/>
    </row>
    <row r="19" customFormat="false" ht="23.25" hidden="false" customHeight="true" outlineLevel="0" collapsed="false">
      <c r="A19" s="849"/>
      <c r="B19" s="849"/>
      <c r="C19" s="912" t="s">
        <v>386</v>
      </c>
      <c r="D19" s="913" t="s">
        <v>387</v>
      </c>
      <c r="E19" s="899" t="s">
        <v>388</v>
      </c>
      <c r="F19" s="899" t="s">
        <v>389</v>
      </c>
      <c r="G19" s="914" t="s">
        <v>390</v>
      </c>
      <c r="H19" s="915" t="s">
        <v>391</v>
      </c>
      <c r="I19" s="903" t="s">
        <v>392</v>
      </c>
      <c r="J19" s="867"/>
      <c r="K19" s="867"/>
      <c r="L19" s="907"/>
      <c r="M19" s="849"/>
      <c r="N19" s="849"/>
      <c r="O19" s="849"/>
      <c r="P19" s="849"/>
      <c r="Q19" s="849"/>
      <c r="R19" s="849"/>
      <c r="S19" s="849"/>
      <c r="T19" s="849"/>
      <c r="U19" s="849"/>
      <c r="V19" s="849"/>
      <c r="W19" s="849"/>
      <c r="X19" s="849"/>
      <c r="Y19" s="849"/>
      <c r="Z19" s="849"/>
      <c r="AA19" s="849"/>
      <c r="AB19" s="849"/>
      <c r="AC19" s="849"/>
      <c r="AD19" s="849"/>
      <c r="AE19" s="849"/>
      <c r="AF19" s="849"/>
    </row>
    <row r="20" customFormat="false" ht="23.25" hidden="false" customHeight="true" outlineLevel="0" collapsed="false">
      <c r="A20" s="849"/>
      <c r="B20" s="849"/>
      <c r="C20" s="904" t="n">
        <v>10</v>
      </c>
      <c r="D20" s="904" t="n">
        <v>11</v>
      </c>
      <c r="E20" s="904" t="n">
        <v>12</v>
      </c>
      <c r="F20" s="904" t="n">
        <v>13</v>
      </c>
      <c r="G20" s="904" t="n">
        <v>14</v>
      </c>
      <c r="H20" s="905" t="n">
        <v>15</v>
      </c>
      <c r="I20" s="869" t="n">
        <v>16</v>
      </c>
      <c r="J20" s="906"/>
      <c r="K20" s="867"/>
      <c r="L20" s="907"/>
      <c r="M20" s="849"/>
      <c r="N20" s="849"/>
      <c r="O20" s="849"/>
      <c r="P20" s="849"/>
      <c r="Q20" s="849"/>
      <c r="R20" s="849"/>
      <c r="S20" s="849"/>
      <c r="T20" s="849"/>
      <c r="U20" s="849"/>
      <c r="V20" s="849"/>
      <c r="W20" s="849"/>
      <c r="X20" s="849"/>
      <c r="Y20" s="849"/>
      <c r="Z20" s="849"/>
      <c r="AA20" s="849"/>
      <c r="AB20" s="849"/>
      <c r="AC20" s="849"/>
      <c r="AD20" s="849"/>
      <c r="AE20" s="849"/>
      <c r="AF20" s="849"/>
    </row>
    <row r="21" customFormat="false" ht="23.25" hidden="false" customHeight="true" outlineLevel="0" collapsed="false">
      <c r="A21" s="849"/>
      <c r="B21" s="849"/>
      <c r="C21" s="874" t="s">
        <v>43</v>
      </c>
      <c r="D21" s="875" t="s">
        <v>169</v>
      </c>
      <c r="E21" s="876" t="s">
        <v>62</v>
      </c>
      <c r="F21" s="943"/>
      <c r="G21" s="943"/>
      <c r="H21" s="943"/>
      <c r="I21" s="909"/>
      <c r="J21" s="906"/>
      <c r="K21" s="867"/>
      <c r="L21" s="907"/>
      <c r="M21" s="849"/>
      <c r="N21" s="849"/>
      <c r="O21" s="849"/>
      <c r="P21" s="849"/>
      <c r="Q21" s="849"/>
      <c r="R21" s="849"/>
      <c r="S21" s="849"/>
      <c r="T21" s="849"/>
      <c r="U21" s="849"/>
      <c r="V21" s="849"/>
      <c r="W21" s="849"/>
      <c r="X21" s="849"/>
      <c r="Y21" s="849"/>
      <c r="Z21" s="849"/>
      <c r="AA21" s="849"/>
      <c r="AB21" s="849"/>
      <c r="AC21" s="849"/>
      <c r="AD21" s="849"/>
      <c r="AE21" s="849"/>
      <c r="AF21" s="849"/>
    </row>
    <row r="22" customFormat="false" ht="23.25" hidden="false" customHeight="true" outlineLevel="0" collapsed="false">
      <c r="A22" s="849"/>
      <c r="B22" s="849"/>
      <c r="C22" s="929" t="n">
        <v>0.7</v>
      </c>
      <c r="D22" s="879" t="n">
        <v>0.8</v>
      </c>
      <c r="E22" s="879" t="n">
        <v>0.88</v>
      </c>
      <c r="F22" s="879" t="n">
        <v>0.95</v>
      </c>
      <c r="G22" s="879" t="n">
        <v>0.99</v>
      </c>
      <c r="H22" s="879" t="n">
        <v>1</v>
      </c>
      <c r="I22" s="881" t="n">
        <v>0.98</v>
      </c>
      <c r="J22" s="867"/>
      <c r="K22" s="867"/>
      <c r="L22" s="907"/>
      <c r="M22" s="849"/>
      <c r="N22" s="849"/>
      <c r="O22" s="849"/>
      <c r="P22" s="849"/>
      <c r="Q22" s="849"/>
      <c r="R22" s="849"/>
      <c r="S22" s="849"/>
      <c r="T22" s="849"/>
      <c r="U22" s="849"/>
      <c r="V22" s="849"/>
      <c r="W22" s="849"/>
      <c r="X22" s="849"/>
      <c r="Y22" s="849"/>
      <c r="Z22" s="849"/>
      <c r="AA22" s="849"/>
      <c r="AB22" s="849"/>
      <c r="AC22" s="849"/>
      <c r="AD22" s="849"/>
      <c r="AE22" s="849"/>
      <c r="AF22" s="849"/>
    </row>
    <row r="23" customFormat="false" ht="23.25" hidden="false" customHeight="true" outlineLevel="0" collapsed="false">
      <c r="A23" s="849"/>
      <c r="B23" s="849"/>
      <c r="C23" s="883" t="s">
        <v>62</v>
      </c>
      <c r="D23" s="884"/>
      <c r="E23" s="884" t="s">
        <v>80</v>
      </c>
      <c r="F23" s="910"/>
      <c r="G23" s="910"/>
      <c r="H23" s="910"/>
      <c r="I23" s="944"/>
      <c r="J23" s="836" t="s">
        <v>30</v>
      </c>
      <c r="K23" s="867"/>
      <c r="L23" s="907"/>
      <c r="M23" s="849"/>
      <c r="N23" s="849"/>
      <c r="O23" s="849"/>
      <c r="P23" s="849"/>
      <c r="Q23" s="849"/>
      <c r="R23" s="849"/>
      <c r="S23" s="849"/>
      <c r="T23" s="849"/>
      <c r="U23" s="849"/>
      <c r="V23" s="849"/>
      <c r="W23" s="849"/>
      <c r="X23" s="849"/>
      <c r="Y23" s="849"/>
      <c r="Z23" s="849"/>
      <c r="AA23" s="849"/>
      <c r="AB23" s="849"/>
      <c r="AC23" s="849"/>
      <c r="AD23" s="849"/>
      <c r="AE23" s="849"/>
      <c r="AF23" s="849"/>
    </row>
    <row r="24" customFormat="false" ht="23.25" hidden="false" customHeight="true" outlineLevel="0" collapsed="false">
      <c r="A24" s="849"/>
      <c r="B24" s="849"/>
      <c r="C24" s="889" t="s">
        <v>393</v>
      </c>
      <c r="D24" s="921" t="s">
        <v>225</v>
      </c>
      <c r="E24" s="890" t="s">
        <v>394</v>
      </c>
      <c r="F24" s="890"/>
      <c r="G24" s="890"/>
      <c r="H24" s="922"/>
      <c r="I24" s="923"/>
      <c r="J24" s="924" t="n">
        <f aca="false" t="array" ref="J24:J24">SUM(IF(ISNUMBER(B24:I24), B24:I24, 0))</f>
        <v>0</v>
      </c>
      <c r="K24" s="867"/>
      <c r="L24" s="803" t="s">
        <v>22</v>
      </c>
      <c r="M24" s="849"/>
      <c r="N24" s="849"/>
      <c r="O24" s="849"/>
      <c r="P24" s="849"/>
      <c r="Q24" s="849"/>
      <c r="R24" s="849"/>
      <c r="S24" s="849"/>
      <c r="T24" s="849"/>
      <c r="U24" s="849"/>
      <c r="V24" s="849"/>
      <c r="W24" s="849"/>
      <c r="X24" s="849"/>
      <c r="Y24" s="849"/>
      <c r="Z24" s="849"/>
      <c r="AA24" s="849"/>
      <c r="AB24" s="849"/>
      <c r="AC24" s="849"/>
      <c r="AD24" s="849"/>
      <c r="AE24" s="849"/>
      <c r="AF24" s="849"/>
    </row>
    <row r="25" customFormat="false" ht="23.25" hidden="false" customHeight="true" outlineLevel="0" collapsed="false">
      <c r="A25" s="849"/>
      <c r="B25" s="849"/>
      <c r="C25" s="889" t="n">
        <v>0</v>
      </c>
      <c r="D25" s="921" t="n">
        <v>0</v>
      </c>
      <c r="E25" s="890"/>
      <c r="F25" s="890"/>
      <c r="G25" s="890"/>
      <c r="H25" s="922"/>
      <c r="I25" s="923"/>
      <c r="J25" s="924" t="n">
        <f aca="false" t="array" ref="J25:J25">SUM(IF(ISNUMBER(B25:I25), B25:I25, 0))</f>
        <v>0</v>
      </c>
      <c r="K25" s="867"/>
      <c r="L25" s="803" t="s">
        <v>24</v>
      </c>
      <c r="M25" s="849"/>
      <c r="N25" s="849"/>
      <c r="O25" s="849"/>
      <c r="P25" s="849"/>
      <c r="Q25" s="849"/>
      <c r="R25" s="849"/>
      <c r="S25" s="849"/>
      <c r="T25" s="849"/>
      <c r="U25" s="849"/>
      <c r="V25" s="849"/>
      <c r="W25" s="849"/>
      <c r="X25" s="849"/>
      <c r="Y25" s="849"/>
      <c r="Z25" s="849"/>
      <c r="AA25" s="849"/>
      <c r="AB25" s="849"/>
      <c r="AC25" s="849"/>
      <c r="AD25" s="849"/>
      <c r="AE25" s="849"/>
      <c r="AF25" s="849"/>
    </row>
    <row r="26" customFormat="false" ht="23.25" hidden="false" customHeight="true" outlineLevel="0" collapsed="false">
      <c r="A26" s="849"/>
      <c r="B26" s="849"/>
      <c r="C26" s="889" t="n">
        <v>0</v>
      </c>
      <c r="D26" s="922" t="n">
        <v>0</v>
      </c>
      <c r="E26" s="922"/>
      <c r="F26" s="922"/>
      <c r="G26" s="922"/>
      <c r="H26" s="922"/>
      <c r="I26" s="923"/>
      <c r="J26" s="925" t="n">
        <f aca="false" t="array" ref="J26:J26">SUM(IF(ISNUMBER(B26:I26), B26:I26, 0))</f>
        <v>0</v>
      </c>
      <c r="K26" s="867"/>
      <c r="L26" s="803" t="s">
        <v>26</v>
      </c>
      <c r="M26" s="849"/>
      <c r="N26" s="849"/>
      <c r="O26" s="849"/>
      <c r="P26" s="849"/>
      <c r="Q26" s="849"/>
      <c r="R26" s="849"/>
      <c r="S26" s="849"/>
      <c r="T26" s="849"/>
      <c r="U26" s="849"/>
      <c r="V26" s="849"/>
      <c r="W26" s="849"/>
      <c r="X26" s="849"/>
      <c r="Y26" s="849"/>
      <c r="Z26" s="849"/>
      <c r="AA26" s="849"/>
      <c r="AB26" s="849"/>
      <c r="AC26" s="849"/>
      <c r="AD26" s="849"/>
      <c r="AE26" s="849"/>
      <c r="AF26" s="849"/>
    </row>
    <row r="27" customFormat="false" ht="23.25" hidden="false" customHeight="true" outlineLevel="0" collapsed="false">
      <c r="A27" s="849"/>
      <c r="B27" s="849"/>
      <c r="C27" s="926" t="s">
        <v>395</v>
      </c>
      <c r="D27" s="899" t="s">
        <v>396</v>
      </c>
      <c r="E27" s="899" t="s">
        <v>397</v>
      </c>
      <c r="F27" s="902"/>
      <c r="G27" s="899"/>
      <c r="H27" s="899"/>
      <c r="I27" s="927"/>
      <c r="J27" s="867"/>
      <c r="K27" s="867"/>
      <c r="L27" s="907"/>
      <c r="M27" s="849"/>
      <c r="N27" s="849"/>
      <c r="O27" s="849"/>
      <c r="P27" s="849"/>
      <c r="Q27" s="849"/>
      <c r="R27" s="849"/>
      <c r="S27" s="849"/>
      <c r="T27" s="849"/>
      <c r="U27" s="849"/>
      <c r="V27" s="849"/>
      <c r="W27" s="849"/>
      <c r="X27" s="849"/>
      <c r="Y27" s="849"/>
      <c r="Z27" s="849"/>
      <c r="AA27" s="849"/>
      <c r="AB27" s="849"/>
      <c r="AC27" s="849"/>
      <c r="AD27" s="849"/>
      <c r="AE27" s="849"/>
      <c r="AF27" s="849"/>
    </row>
    <row r="28" customFormat="false" ht="23.25" hidden="false" customHeight="true" outlineLevel="0" collapsed="false">
      <c r="A28" s="849"/>
      <c r="B28" s="849"/>
      <c r="C28" s="904" t="n">
        <v>17</v>
      </c>
      <c r="D28" s="904" t="n">
        <v>18</v>
      </c>
      <c r="E28" s="904" t="n">
        <v>19</v>
      </c>
      <c r="F28" s="904" t="n">
        <v>20</v>
      </c>
      <c r="G28" s="904" t="n">
        <v>21</v>
      </c>
      <c r="H28" s="905" t="n">
        <v>22</v>
      </c>
      <c r="I28" s="904" t="n">
        <v>23</v>
      </c>
      <c r="J28" s="928"/>
      <c r="K28" s="867"/>
      <c r="L28" s="907"/>
      <c r="M28" s="849"/>
      <c r="N28" s="849"/>
      <c r="O28" s="849"/>
      <c r="P28" s="849"/>
      <c r="Q28" s="849"/>
      <c r="R28" s="849"/>
      <c r="S28" s="849"/>
      <c r="T28" s="849"/>
      <c r="U28" s="849"/>
      <c r="V28" s="849"/>
      <c r="W28" s="849"/>
      <c r="X28" s="849"/>
      <c r="Y28" s="849"/>
      <c r="Z28" s="849"/>
      <c r="AA28" s="849"/>
      <c r="AB28" s="849"/>
      <c r="AC28" s="849"/>
      <c r="AD28" s="849"/>
      <c r="AE28" s="849"/>
      <c r="AF28" s="849"/>
    </row>
    <row r="29" customFormat="false" ht="23.25" hidden="false" customHeight="true" outlineLevel="0" collapsed="false">
      <c r="A29" s="849"/>
      <c r="B29" s="849"/>
      <c r="C29" s="916"/>
      <c r="D29" s="875" t="s">
        <v>152</v>
      </c>
      <c r="E29" s="876" t="s">
        <v>352</v>
      </c>
      <c r="F29" s="875" t="s">
        <v>62</v>
      </c>
      <c r="G29" s="875" t="s">
        <v>398</v>
      </c>
      <c r="H29" s="875" t="s">
        <v>79</v>
      </c>
      <c r="I29" s="877" t="s">
        <v>152</v>
      </c>
      <c r="J29" s="906"/>
      <c r="K29" s="867"/>
      <c r="L29" s="907"/>
      <c r="M29" s="849"/>
      <c r="N29" s="849"/>
      <c r="O29" s="849"/>
      <c r="P29" s="849"/>
      <c r="Q29" s="849"/>
      <c r="R29" s="849"/>
      <c r="S29" s="849"/>
      <c r="T29" s="849"/>
      <c r="U29" s="849"/>
      <c r="V29" s="849"/>
      <c r="W29" s="849"/>
      <c r="X29" s="849"/>
      <c r="Y29" s="849"/>
      <c r="Z29" s="849"/>
      <c r="AA29" s="849"/>
      <c r="AB29" s="849"/>
      <c r="AC29" s="849"/>
      <c r="AD29" s="849"/>
      <c r="AE29" s="849"/>
      <c r="AF29" s="849"/>
    </row>
    <row r="30" customFormat="false" ht="23.25" hidden="false" customHeight="true" outlineLevel="0" collapsed="false">
      <c r="A30" s="849"/>
      <c r="B30" s="849"/>
      <c r="C30" s="929" t="n">
        <v>0.94</v>
      </c>
      <c r="D30" s="879" t="n">
        <v>0.87</v>
      </c>
      <c r="E30" s="879" t="n">
        <v>0.79</v>
      </c>
      <c r="F30" s="879" t="n">
        <v>0.7</v>
      </c>
      <c r="G30" s="879" t="n">
        <v>0.6</v>
      </c>
      <c r="H30" s="879" t="n">
        <v>0.51</v>
      </c>
      <c r="I30" s="881" t="n">
        <v>0.41</v>
      </c>
      <c r="J30" s="867"/>
      <c r="K30" s="867"/>
      <c r="L30" s="907"/>
      <c r="M30" s="849"/>
      <c r="N30" s="849"/>
      <c r="O30" s="849"/>
      <c r="P30" s="849"/>
      <c r="Q30" s="849"/>
      <c r="R30" s="849"/>
      <c r="S30" s="849"/>
      <c r="T30" s="849"/>
      <c r="U30" s="849"/>
      <c r="V30" s="849"/>
      <c r="W30" s="849"/>
      <c r="X30" s="849"/>
      <c r="Y30" s="849"/>
      <c r="Z30" s="849"/>
      <c r="AA30" s="849"/>
      <c r="AB30" s="849"/>
      <c r="AC30" s="849"/>
      <c r="AD30" s="849"/>
      <c r="AE30" s="849"/>
      <c r="AF30" s="849"/>
    </row>
    <row r="31" customFormat="false" ht="23.25" hidden="false" customHeight="true" outlineLevel="0" collapsed="false">
      <c r="A31" s="849"/>
      <c r="B31" s="849"/>
      <c r="C31" s="919"/>
      <c r="D31" s="884" t="s">
        <v>169</v>
      </c>
      <c r="E31" s="884" t="s">
        <v>80</v>
      </c>
      <c r="F31" s="884" t="s">
        <v>80</v>
      </c>
      <c r="G31" s="884" t="s">
        <v>54</v>
      </c>
      <c r="H31" s="884" t="s">
        <v>40</v>
      </c>
      <c r="I31" s="920" t="s">
        <v>40</v>
      </c>
      <c r="J31" s="836" t="s">
        <v>31</v>
      </c>
      <c r="K31" s="867"/>
      <c r="L31" s="907"/>
      <c r="M31" s="849"/>
      <c r="N31" s="849"/>
      <c r="O31" s="849"/>
      <c r="P31" s="849"/>
      <c r="Q31" s="849"/>
      <c r="R31" s="849"/>
      <c r="S31" s="849"/>
      <c r="T31" s="849"/>
      <c r="U31" s="849"/>
      <c r="V31" s="849"/>
      <c r="W31" s="849"/>
      <c r="X31" s="849"/>
      <c r="Y31" s="849"/>
      <c r="Z31" s="849"/>
      <c r="AA31" s="849"/>
      <c r="AB31" s="849"/>
      <c r="AC31" s="849"/>
      <c r="AD31" s="849"/>
      <c r="AE31" s="849"/>
      <c r="AF31" s="849"/>
    </row>
    <row r="32" customFormat="false" ht="23.25" hidden="false" customHeight="true" outlineLevel="0" collapsed="false">
      <c r="A32" s="849"/>
      <c r="B32" s="849"/>
      <c r="C32" s="889"/>
      <c r="D32" s="890" t="n">
        <v>1</v>
      </c>
      <c r="E32" s="890" t="n">
        <v>1</v>
      </c>
      <c r="F32" s="890" t="n">
        <v>3</v>
      </c>
      <c r="G32" s="892" t="n">
        <v>4.5</v>
      </c>
      <c r="H32" s="890" t="n">
        <v>8</v>
      </c>
      <c r="I32" s="930" t="n">
        <v>10</v>
      </c>
      <c r="J32" s="924" t="n">
        <f aca="false" t="array" ref="J32:J32">SUM(IF(ISNUMBER(B32:I32), B32:I32, 0))</f>
        <v>27.5</v>
      </c>
      <c r="K32" s="867"/>
      <c r="L32" s="803" t="s">
        <v>22</v>
      </c>
      <c r="M32" s="849"/>
      <c r="N32" s="849"/>
      <c r="O32" s="849"/>
      <c r="P32" s="849"/>
      <c r="Q32" s="849"/>
      <c r="R32" s="849"/>
      <c r="S32" s="849"/>
      <c r="T32" s="849"/>
      <c r="U32" s="849"/>
      <c r="V32" s="849"/>
      <c r="W32" s="849"/>
      <c r="X32" s="849"/>
      <c r="Y32" s="849"/>
      <c r="Z32" s="849"/>
      <c r="AA32" s="849"/>
      <c r="AB32" s="849"/>
      <c r="AC32" s="849"/>
      <c r="AD32" s="849"/>
      <c r="AE32" s="849"/>
      <c r="AF32" s="849"/>
    </row>
    <row r="33" customFormat="false" ht="23.25" hidden="false" customHeight="true" outlineLevel="0" collapsed="false">
      <c r="A33" s="849"/>
      <c r="B33" s="849"/>
      <c r="C33" s="889"/>
      <c r="D33" s="890"/>
      <c r="E33" s="890"/>
      <c r="F33" s="890"/>
      <c r="H33" s="890"/>
      <c r="I33" s="930"/>
      <c r="J33" s="924" t="n">
        <f aca="false" t="array" ref="J33:J33">SUM(IF(ISNUMBER(B33:I33), B33:I33, 0))</f>
        <v>0</v>
      </c>
      <c r="K33" s="867"/>
      <c r="L33" s="803" t="s">
        <v>24</v>
      </c>
      <c r="M33" s="849"/>
      <c r="N33" s="849"/>
      <c r="O33" s="849"/>
      <c r="P33" s="849"/>
      <c r="Q33" s="849"/>
      <c r="R33" s="849"/>
      <c r="S33" s="849"/>
      <c r="T33" s="849"/>
      <c r="U33" s="849"/>
      <c r="V33" s="849"/>
      <c r="W33" s="849"/>
      <c r="X33" s="849"/>
      <c r="Y33" s="849"/>
      <c r="Z33" s="849"/>
      <c r="AA33" s="849"/>
      <c r="AB33" s="849"/>
      <c r="AC33" s="849"/>
      <c r="AD33" s="849"/>
      <c r="AE33" s="849"/>
      <c r="AF33" s="849"/>
    </row>
    <row r="34" customFormat="false" ht="23.25" hidden="false" customHeight="true" outlineLevel="0" collapsed="false">
      <c r="A34" s="849"/>
      <c r="B34" s="849"/>
      <c r="C34" s="889"/>
      <c r="D34" s="890"/>
      <c r="E34" s="890"/>
      <c r="F34" s="890"/>
      <c r="G34" s="92"/>
      <c r="H34" s="890"/>
      <c r="I34" s="930"/>
      <c r="J34" s="925" t="n">
        <f aca="false" t="array" ref="J34:J34">SUM(IF(ISNUMBER(B34:I34), B34:I34, 0))</f>
        <v>0</v>
      </c>
      <c r="K34" s="867"/>
      <c r="L34" s="803" t="s">
        <v>26</v>
      </c>
      <c r="M34" s="849"/>
      <c r="N34" s="849"/>
      <c r="O34" s="849"/>
      <c r="P34" s="849"/>
      <c r="Q34" s="849"/>
      <c r="R34" s="849"/>
      <c r="S34" s="849"/>
      <c r="T34" s="849"/>
      <c r="U34" s="849"/>
      <c r="V34" s="849"/>
      <c r="W34" s="849"/>
      <c r="X34" s="849"/>
      <c r="Y34" s="849"/>
      <c r="Z34" s="849"/>
      <c r="AA34" s="849"/>
      <c r="AB34" s="849"/>
      <c r="AC34" s="849"/>
      <c r="AD34" s="849"/>
      <c r="AE34" s="849"/>
      <c r="AF34" s="849"/>
    </row>
    <row r="35" customFormat="false" ht="23.25" hidden="false" customHeight="true" outlineLevel="0" collapsed="false">
      <c r="A35" s="849"/>
      <c r="B35" s="849"/>
      <c r="C35" s="912"/>
      <c r="D35" s="899" t="s">
        <v>399</v>
      </c>
      <c r="E35" s="899" t="s">
        <v>400</v>
      </c>
      <c r="F35" s="899" t="s">
        <v>401</v>
      </c>
      <c r="G35" s="899" t="s">
        <v>402</v>
      </c>
      <c r="H35" s="899" t="s">
        <v>403</v>
      </c>
      <c r="I35" s="932" t="s">
        <v>404</v>
      </c>
      <c r="J35" s="867"/>
      <c r="K35" s="867"/>
      <c r="L35" s="907"/>
      <c r="M35" s="849"/>
      <c r="N35" s="849"/>
      <c r="O35" s="849"/>
      <c r="P35" s="849"/>
      <c r="Q35" s="849"/>
      <c r="R35" s="849"/>
      <c r="S35" s="849"/>
      <c r="T35" s="849"/>
      <c r="U35" s="849"/>
      <c r="V35" s="849"/>
      <c r="W35" s="849"/>
      <c r="X35" s="849"/>
      <c r="Y35" s="849"/>
      <c r="Z35" s="849"/>
      <c r="AA35" s="849"/>
      <c r="AB35" s="849"/>
      <c r="AC35" s="849"/>
      <c r="AD35" s="849"/>
      <c r="AE35" s="849"/>
      <c r="AF35" s="849"/>
    </row>
    <row r="36" customFormat="false" ht="23.25" hidden="false" customHeight="true" outlineLevel="0" collapsed="false">
      <c r="A36" s="849"/>
      <c r="B36" s="849"/>
      <c r="C36" s="904" t="n">
        <v>24</v>
      </c>
      <c r="D36" s="904" t="n">
        <v>25</v>
      </c>
      <c r="E36" s="904" t="n">
        <v>26</v>
      </c>
      <c r="F36" s="904" t="n">
        <v>27</v>
      </c>
      <c r="G36" s="904" t="n">
        <v>28</v>
      </c>
      <c r="H36" s="905" t="n">
        <v>29</v>
      </c>
      <c r="I36" s="904" t="n">
        <v>30</v>
      </c>
      <c r="J36" s="928"/>
      <c r="K36" s="867"/>
      <c r="L36" s="907"/>
      <c r="M36" s="849"/>
      <c r="N36" s="849"/>
      <c r="O36" s="849"/>
      <c r="P36" s="849"/>
      <c r="Q36" s="849"/>
      <c r="R36" s="849"/>
      <c r="S36" s="849"/>
      <c r="T36" s="849"/>
      <c r="U36" s="849"/>
      <c r="V36" s="849"/>
      <c r="W36" s="849"/>
      <c r="X36" s="849"/>
      <c r="Y36" s="849"/>
      <c r="Z36" s="849"/>
      <c r="AA36" s="849"/>
      <c r="AB36" s="849"/>
      <c r="AC36" s="849"/>
      <c r="AD36" s="849"/>
      <c r="AE36" s="849"/>
      <c r="AF36" s="849"/>
    </row>
    <row r="37" customFormat="false" ht="23.25" hidden="false" customHeight="true" outlineLevel="0" collapsed="false">
      <c r="A37" s="849"/>
      <c r="B37" s="849"/>
      <c r="C37" s="933" t="s">
        <v>405</v>
      </c>
      <c r="D37" s="918" t="s">
        <v>152</v>
      </c>
      <c r="E37" s="918" t="s">
        <v>209</v>
      </c>
      <c r="F37" s="918" t="s">
        <v>43</v>
      </c>
      <c r="G37" s="918" t="s">
        <v>359</v>
      </c>
      <c r="H37" s="61" t="n">
        <v>29</v>
      </c>
      <c r="I37" s="877" t="s">
        <v>43</v>
      </c>
      <c r="J37" s="906"/>
      <c r="K37" s="867"/>
      <c r="L37" s="907"/>
      <c r="M37" s="849"/>
      <c r="N37" s="849"/>
      <c r="O37" s="849"/>
      <c r="P37" s="849"/>
      <c r="Q37" s="849"/>
      <c r="R37" s="849"/>
      <c r="S37" s="849"/>
      <c r="T37" s="849"/>
      <c r="U37" s="849"/>
      <c r="V37" s="849"/>
      <c r="W37" s="849"/>
      <c r="X37" s="849"/>
      <c r="Y37" s="849"/>
      <c r="Z37" s="849"/>
      <c r="AA37" s="849"/>
      <c r="AB37" s="849"/>
      <c r="AC37" s="849"/>
      <c r="AD37" s="849"/>
      <c r="AE37" s="849"/>
      <c r="AF37" s="849"/>
    </row>
    <row r="38" customFormat="false" ht="23.25" hidden="false" customHeight="true" outlineLevel="0" collapsed="false">
      <c r="A38" s="849"/>
      <c r="B38" s="849"/>
      <c r="C38" s="929" t="n">
        <v>0.32</v>
      </c>
      <c r="D38" s="879" t="n">
        <v>0.24</v>
      </c>
      <c r="E38" s="879" t="n">
        <v>0.16</v>
      </c>
      <c r="F38" s="879" t="n">
        <v>0.1</v>
      </c>
      <c r="G38" s="879" t="n">
        <v>0.05</v>
      </c>
      <c r="H38" s="879" t="n">
        <v>0.02</v>
      </c>
      <c r="I38" s="881" t="n">
        <v>0</v>
      </c>
      <c r="J38" s="867"/>
      <c r="K38" s="867"/>
      <c r="L38" s="907"/>
      <c r="M38" s="849"/>
      <c r="N38" s="849"/>
      <c r="O38" s="849"/>
      <c r="P38" s="849"/>
      <c r="Q38" s="849"/>
      <c r="R38" s="849"/>
      <c r="S38" s="849"/>
      <c r="T38" s="849"/>
      <c r="U38" s="849"/>
      <c r="V38" s="849"/>
      <c r="W38" s="849"/>
      <c r="X38" s="849"/>
      <c r="Y38" s="849"/>
      <c r="Z38" s="849"/>
      <c r="AA38" s="849"/>
      <c r="AB38" s="849"/>
      <c r="AC38" s="849"/>
      <c r="AD38" s="849"/>
      <c r="AE38" s="849"/>
      <c r="AF38" s="849"/>
    </row>
    <row r="39" customFormat="false" ht="23.25" hidden="false" customHeight="true" outlineLevel="0" collapsed="false">
      <c r="A39" s="849"/>
      <c r="B39" s="849"/>
      <c r="C39" s="883" t="s">
        <v>62</v>
      </c>
      <c r="D39" s="884" t="s">
        <v>169</v>
      </c>
      <c r="E39" s="884" t="s">
        <v>169</v>
      </c>
      <c r="F39" s="884" t="s">
        <v>169</v>
      </c>
      <c r="G39" s="884" t="s">
        <v>54</v>
      </c>
      <c r="H39" s="884" t="s">
        <v>62</v>
      </c>
      <c r="I39" s="886" t="s">
        <v>62</v>
      </c>
      <c r="J39" s="887" t="s">
        <v>32</v>
      </c>
      <c r="K39" s="867"/>
      <c r="L39" s="907"/>
      <c r="M39" s="849"/>
      <c r="N39" s="849"/>
      <c r="O39" s="849"/>
      <c r="P39" s="849"/>
      <c r="Q39" s="849"/>
      <c r="R39" s="849"/>
      <c r="S39" s="849"/>
      <c r="T39" s="849"/>
      <c r="U39" s="849"/>
      <c r="V39" s="849"/>
      <c r="W39" s="849"/>
      <c r="X39" s="849"/>
      <c r="Y39" s="849"/>
      <c r="Z39" s="849"/>
      <c r="AA39" s="849"/>
      <c r="AB39" s="849"/>
      <c r="AC39" s="849"/>
      <c r="AD39" s="849"/>
      <c r="AE39" s="849"/>
      <c r="AF39" s="849"/>
    </row>
    <row r="40" customFormat="false" ht="23.25" hidden="false" customHeight="true" outlineLevel="0" collapsed="false">
      <c r="A40" s="849"/>
      <c r="B40" s="849"/>
      <c r="C40" s="934" t="n">
        <v>8</v>
      </c>
      <c r="D40" s="890" t="s">
        <v>225</v>
      </c>
      <c r="E40" s="922" t="s">
        <v>225</v>
      </c>
      <c r="F40" s="922" t="s">
        <v>225</v>
      </c>
      <c r="G40" s="922" t="n">
        <v>8</v>
      </c>
      <c r="H40" s="922" t="n">
        <v>9</v>
      </c>
      <c r="I40" s="935" t="n">
        <v>7</v>
      </c>
      <c r="J40" s="893" t="n">
        <f aca="false" t="array" ref="J40:J40">SUM(IF(ISNUMBER(B40:I40), B40:I40, 0))</f>
        <v>32</v>
      </c>
      <c r="K40" s="867"/>
      <c r="L40" s="803" t="s">
        <v>22</v>
      </c>
      <c r="M40" s="849"/>
      <c r="N40" s="849"/>
      <c r="O40" s="849"/>
      <c r="P40" s="849"/>
      <c r="Q40" s="849"/>
      <c r="R40" s="849"/>
      <c r="S40" s="849"/>
      <c r="T40" s="849"/>
      <c r="U40" s="849"/>
      <c r="V40" s="849"/>
      <c r="W40" s="849"/>
      <c r="X40" s="849"/>
      <c r="Y40" s="849"/>
      <c r="Z40" s="849"/>
      <c r="AA40" s="849"/>
      <c r="AB40" s="849"/>
      <c r="AC40" s="849"/>
      <c r="AD40" s="849"/>
      <c r="AE40" s="849"/>
      <c r="AF40" s="849"/>
    </row>
    <row r="41" customFormat="false" ht="23.25" hidden="false" customHeight="true" outlineLevel="0" collapsed="false">
      <c r="A41" s="849"/>
      <c r="B41" s="849"/>
      <c r="C41" s="889"/>
      <c r="D41" s="890"/>
      <c r="E41" s="890"/>
      <c r="F41" s="890"/>
      <c r="G41" s="890"/>
      <c r="H41" s="890"/>
      <c r="I41" s="892"/>
      <c r="J41" s="893" t="n">
        <f aca="false" t="array" ref="J41:J41">SUM(IF(ISNUMBER(B41:I41), B41:I41, 0))</f>
        <v>0</v>
      </c>
      <c r="K41" s="867"/>
      <c r="L41" s="803" t="s">
        <v>24</v>
      </c>
      <c r="M41" s="849"/>
      <c r="N41" s="849"/>
      <c r="O41" s="849"/>
      <c r="P41" s="849"/>
      <c r="Q41" s="849"/>
      <c r="R41" s="849"/>
      <c r="S41" s="849"/>
      <c r="T41" s="849"/>
      <c r="U41" s="849"/>
      <c r="V41" s="849"/>
      <c r="W41" s="849"/>
      <c r="X41" s="849"/>
      <c r="Y41" s="849"/>
      <c r="Z41" s="849"/>
      <c r="AA41" s="849"/>
      <c r="AB41" s="849"/>
      <c r="AC41" s="849"/>
      <c r="AD41" s="849"/>
      <c r="AE41" s="849"/>
      <c r="AF41" s="849"/>
    </row>
    <row r="42" customFormat="false" ht="23.25" hidden="false" customHeight="true" outlineLevel="0" collapsed="false">
      <c r="A42" s="849"/>
      <c r="B42" s="849"/>
      <c r="C42" s="889"/>
      <c r="D42" s="890"/>
      <c r="E42" s="890"/>
      <c r="F42" s="890"/>
      <c r="G42" s="890" t="n">
        <v>0.8</v>
      </c>
      <c r="H42" s="890" t="n">
        <v>0.8</v>
      </c>
      <c r="I42" s="892" t="n">
        <v>0.8</v>
      </c>
      <c r="J42" s="896" t="n">
        <f aca="false" t="array" ref="J42:J42">SUM(IF(ISNUMBER(B42:I42), B42:I42, 0))</f>
        <v>2.4</v>
      </c>
      <c r="K42" s="867"/>
      <c r="L42" s="803" t="s">
        <v>26</v>
      </c>
      <c r="M42" s="849"/>
      <c r="N42" s="849"/>
      <c r="O42" s="849"/>
      <c r="P42" s="849"/>
      <c r="Q42" s="849"/>
      <c r="R42" s="849"/>
      <c r="S42" s="849"/>
      <c r="T42" s="849"/>
      <c r="U42" s="849"/>
      <c r="V42" s="849"/>
      <c r="W42" s="849"/>
      <c r="X42" s="849"/>
      <c r="Y42" s="849"/>
      <c r="Z42" s="849"/>
      <c r="AA42" s="849"/>
      <c r="AB42" s="849"/>
      <c r="AC42" s="849"/>
      <c r="AD42" s="849"/>
      <c r="AE42" s="849"/>
      <c r="AF42" s="849"/>
    </row>
    <row r="43" customFormat="false" ht="23.25" hidden="false" customHeight="true" outlineLevel="0" collapsed="false">
      <c r="A43" s="849"/>
      <c r="B43" s="849"/>
      <c r="C43" s="936" t="s">
        <v>404</v>
      </c>
      <c r="D43" s="937" t="s">
        <v>406</v>
      </c>
      <c r="E43" s="902" t="s">
        <v>407</v>
      </c>
      <c r="F43" s="899" t="s">
        <v>408</v>
      </c>
      <c r="G43" s="899" t="s">
        <v>409</v>
      </c>
      <c r="H43" s="899" t="s">
        <v>410</v>
      </c>
      <c r="I43" s="927" t="s">
        <v>411</v>
      </c>
      <c r="J43" s="867"/>
      <c r="K43" s="867"/>
      <c r="L43" s="888"/>
      <c r="M43" s="849"/>
      <c r="N43" s="849"/>
      <c r="O43" s="849"/>
      <c r="P43" s="849"/>
      <c r="Q43" s="849"/>
      <c r="R43" s="849"/>
      <c r="S43" s="849"/>
      <c r="T43" s="849"/>
      <c r="U43" s="849"/>
      <c r="V43" s="849"/>
      <c r="W43" s="849"/>
      <c r="X43" s="849"/>
      <c r="Y43" s="849"/>
      <c r="Z43" s="849"/>
      <c r="AA43" s="849"/>
      <c r="AB43" s="849"/>
      <c r="AC43" s="849"/>
      <c r="AD43" s="849"/>
      <c r="AE43" s="849"/>
      <c r="AF43" s="849"/>
    </row>
    <row r="44" customFormat="false" ht="23.25" hidden="false" customHeight="true" outlineLevel="0" collapsed="false">
      <c r="A44" s="849"/>
      <c r="B44" s="849"/>
      <c r="C44" s="938"/>
      <c r="D44" s="939"/>
      <c r="E44" s="928"/>
      <c r="F44" s="867"/>
      <c r="G44" s="867"/>
      <c r="H44" s="867"/>
      <c r="I44" s="867"/>
      <c r="J44" s="867"/>
      <c r="K44" s="867"/>
      <c r="L44" s="888"/>
      <c r="M44" s="849"/>
      <c r="N44" s="849"/>
      <c r="O44" s="849"/>
      <c r="P44" s="849"/>
      <c r="Q44" s="849"/>
      <c r="R44" s="849"/>
      <c r="S44" s="849"/>
      <c r="T44" s="849"/>
      <c r="U44" s="849"/>
      <c r="V44" s="849"/>
      <c r="W44" s="849"/>
      <c r="X44" s="849"/>
      <c r="Y44" s="849"/>
      <c r="Z44" s="849"/>
      <c r="AA44" s="849"/>
      <c r="AB44" s="849"/>
      <c r="AC44" s="849"/>
      <c r="AD44" s="849"/>
      <c r="AE44" s="849"/>
      <c r="AF44" s="849"/>
    </row>
    <row r="45" customFormat="false" ht="23.25" hidden="false" customHeight="true" outlineLevel="0" collapsed="false">
      <c r="A45" s="849"/>
      <c r="B45" s="849"/>
      <c r="C45" s="883" t="s">
        <v>80</v>
      </c>
      <c r="D45" s="920" t="s">
        <v>80</v>
      </c>
      <c r="E45" s="906"/>
      <c r="F45" s="867"/>
      <c r="G45" s="867"/>
      <c r="H45" s="867"/>
      <c r="I45" s="867"/>
      <c r="J45" s="867"/>
      <c r="K45" s="867"/>
      <c r="L45" s="849"/>
      <c r="M45" s="849"/>
      <c r="N45" s="849"/>
      <c r="O45" s="849"/>
      <c r="P45" s="849"/>
      <c r="Q45" s="849"/>
      <c r="R45" s="849"/>
      <c r="S45" s="849"/>
      <c r="T45" s="849"/>
      <c r="U45" s="849"/>
      <c r="V45" s="849"/>
      <c r="W45" s="849"/>
      <c r="X45" s="849"/>
      <c r="Y45" s="849"/>
      <c r="Z45" s="849"/>
      <c r="AA45" s="849"/>
      <c r="AB45" s="849"/>
      <c r="AC45" s="849"/>
      <c r="AD45" s="849"/>
      <c r="AE45" s="849"/>
      <c r="AF45" s="849"/>
    </row>
    <row r="46" customFormat="false" ht="23.25" hidden="false" customHeight="true" outlineLevel="0" collapsed="false">
      <c r="A46" s="849"/>
      <c r="B46" s="849"/>
      <c r="C46" s="940"/>
      <c r="D46" s="941"/>
      <c r="E46" s="867"/>
      <c r="F46" s="867"/>
      <c r="G46" s="867"/>
      <c r="H46" s="867"/>
      <c r="I46" s="867"/>
      <c r="J46" s="867"/>
      <c r="K46" s="867"/>
      <c r="L46" s="849"/>
      <c r="M46" s="849"/>
      <c r="N46" s="849"/>
      <c r="O46" s="849"/>
      <c r="P46" s="849"/>
      <c r="Q46" s="849"/>
      <c r="R46" s="849"/>
      <c r="S46" s="849"/>
      <c r="T46" s="849"/>
      <c r="U46" s="849"/>
      <c r="V46" s="849"/>
      <c r="W46" s="849"/>
      <c r="X46" s="849"/>
      <c r="Y46" s="849"/>
      <c r="Z46" s="849"/>
      <c r="AA46" s="849"/>
      <c r="AB46" s="849"/>
      <c r="AC46" s="849"/>
      <c r="AD46" s="849"/>
      <c r="AE46" s="849"/>
      <c r="AF46" s="849"/>
    </row>
    <row r="47" customFormat="false" ht="23.25" hidden="false" customHeight="true" outlineLevel="0" collapsed="false">
      <c r="A47" s="849"/>
      <c r="B47" s="849"/>
      <c r="C47" s="883"/>
      <c r="D47" s="886"/>
      <c r="E47" s="887" t="s">
        <v>33</v>
      </c>
      <c r="F47" s="942"/>
      <c r="G47" s="867"/>
      <c r="H47" s="867"/>
      <c r="I47" s="867"/>
      <c r="J47" s="867"/>
      <c r="K47" s="867"/>
      <c r="L47" s="849"/>
      <c r="M47" s="849"/>
      <c r="N47" s="849"/>
      <c r="O47" s="849"/>
      <c r="P47" s="849"/>
      <c r="Q47" s="849"/>
      <c r="R47" s="849"/>
      <c r="S47" s="849"/>
      <c r="T47" s="849"/>
      <c r="U47" s="849"/>
      <c r="V47" s="849"/>
      <c r="W47" s="849"/>
      <c r="X47" s="849"/>
      <c r="Y47" s="849"/>
      <c r="Z47" s="849"/>
      <c r="AA47" s="849"/>
      <c r="AB47" s="849"/>
      <c r="AC47" s="849"/>
      <c r="AD47" s="849"/>
      <c r="AE47" s="849"/>
      <c r="AF47" s="849"/>
    </row>
    <row r="48" customFormat="false" ht="23.25" hidden="false" customHeight="true" outlineLevel="0" collapsed="false">
      <c r="A48" s="849"/>
      <c r="B48" s="849"/>
      <c r="C48" s="934"/>
      <c r="D48" s="935"/>
      <c r="E48" s="893" t="n">
        <f aca="false" t="array" ref="E48:E48">SUM(IF(ISNUMBER(B48:D48), B48:D48, 0))</f>
        <v>0</v>
      </c>
      <c r="F48" s="803" t="s">
        <v>34</v>
      </c>
      <c r="G48" s="867"/>
      <c r="H48" s="867"/>
      <c r="I48" s="867"/>
      <c r="J48" s="867"/>
      <c r="K48" s="867"/>
      <c r="L48" s="849"/>
      <c r="M48" s="849"/>
      <c r="N48" s="849"/>
      <c r="O48" s="849"/>
      <c r="P48" s="849"/>
      <c r="Q48" s="849"/>
      <c r="R48" s="849"/>
      <c r="S48" s="849"/>
      <c r="T48" s="849"/>
      <c r="U48" s="849"/>
      <c r="V48" s="849"/>
      <c r="W48" s="849"/>
      <c r="X48" s="849"/>
      <c r="Y48" s="849"/>
      <c r="Z48" s="849"/>
      <c r="AA48" s="849"/>
      <c r="AB48" s="849"/>
      <c r="AC48" s="849"/>
      <c r="AD48" s="849"/>
      <c r="AE48" s="849"/>
      <c r="AF48" s="849"/>
    </row>
    <row r="49" customFormat="false" ht="23.25" hidden="false" customHeight="true" outlineLevel="0" collapsed="false">
      <c r="A49" s="849"/>
      <c r="B49" s="849"/>
      <c r="C49" s="889"/>
      <c r="D49" s="892"/>
      <c r="E49" s="893" t="n">
        <f aca="false" t="array" ref="E49:E49">SUM(IF(ISNUMBER(B49:D49), B49:D49, 0))</f>
        <v>0</v>
      </c>
      <c r="F49" s="803" t="s">
        <v>35</v>
      </c>
      <c r="G49" s="867"/>
      <c r="H49" s="867"/>
      <c r="I49" s="867"/>
      <c r="J49" s="867"/>
      <c r="K49" s="867"/>
      <c r="L49" s="849"/>
      <c r="M49" s="849"/>
      <c r="N49" s="849"/>
      <c r="O49" s="849"/>
      <c r="P49" s="849"/>
      <c r="Q49" s="849"/>
      <c r="R49" s="849"/>
      <c r="S49" s="849"/>
      <c r="T49" s="849"/>
      <c r="U49" s="849"/>
      <c r="V49" s="849"/>
      <c r="W49" s="849"/>
      <c r="X49" s="849"/>
      <c r="Y49" s="849"/>
      <c r="Z49" s="849"/>
      <c r="AA49" s="849"/>
      <c r="AB49" s="849"/>
      <c r="AC49" s="849"/>
      <c r="AD49" s="849"/>
      <c r="AE49" s="849"/>
      <c r="AF49" s="849"/>
    </row>
    <row r="50" customFormat="false" ht="23.25" hidden="false" customHeight="true" outlineLevel="0" collapsed="false">
      <c r="A50" s="849"/>
      <c r="B50" s="849"/>
      <c r="C50" s="889"/>
      <c r="D50" s="892"/>
      <c r="E50" s="896" t="n">
        <f aca="false" t="array" ref="E50:E50">SUM(IF(ISNUMBER(B50:D50), B50:D50, 0))</f>
        <v>0</v>
      </c>
      <c r="F50" s="803" t="s">
        <v>36</v>
      </c>
      <c r="G50" s="867"/>
      <c r="H50" s="867"/>
      <c r="I50" s="867"/>
      <c r="J50" s="867"/>
      <c r="K50" s="867"/>
      <c r="L50" s="849"/>
      <c r="M50" s="849"/>
      <c r="N50" s="849"/>
      <c r="O50" s="849"/>
      <c r="P50" s="849"/>
      <c r="Q50" s="849"/>
      <c r="R50" s="849"/>
      <c r="S50" s="849"/>
      <c r="T50" s="849"/>
      <c r="U50" s="849"/>
      <c r="V50" s="849"/>
      <c r="W50" s="849"/>
      <c r="X50" s="849"/>
      <c r="Y50" s="849"/>
      <c r="Z50" s="849"/>
      <c r="AA50" s="849"/>
      <c r="AB50" s="849"/>
      <c r="AC50" s="849"/>
      <c r="AD50" s="849"/>
      <c r="AE50" s="849"/>
      <c r="AF50" s="849"/>
    </row>
    <row r="51" customFormat="false" ht="23.25" hidden="false" customHeight="true" outlineLevel="0" collapsed="false">
      <c r="A51" s="849"/>
      <c r="B51" s="849"/>
      <c r="C51" s="912"/>
      <c r="D51" s="927"/>
      <c r="E51" s="867"/>
      <c r="F51" s="849"/>
      <c r="G51" s="867"/>
      <c r="H51" s="867"/>
      <c r="I51" s="867"/>
      <c r="J51" s="867"/>
      <c r="K51" s="867"/>
      <c r="L51" s="849"/>
      <c r="M51" s="849"/>
      <c r="N51" s="849"/>
      <c r="O51" s="849"/>
      <c r="P51" s="849"/>
      <c r="Q51" s="849"/>
      <c r="R51" s="849"/>
      <c r="S51" s="849"/>
      <c r="T51" s="849"/>
      <c r="U51" s="849"/>
      <c r="V51" s="849"/>
      <c r="W51" s="849"/>
      <c r="X51" s="849"/>
      <c r="Y51" s="849"/>
      <c r="Z51" s="849"/>
      <c r="AA51" s="849"/>
      <c r="AB51" s="849"/>
      <c r="AC51" s="849"/>
      <c r="AD51" s="849"/>
      <c r="AE51" s="849"/>
      <c r="AF51" s="849"/>
    </row>
    <row r="52" customFormat="false" ht="23.25" hidden="false" customHeight="true" outlineLevel="0" collapsed="false">
      <c r="A52" s="849"/>
      <c r="B52" s="849"/>
      <c r="C52" s="867"/>
      <c r="D52" s="867"/>
      <c r="E52" s="867"/>
      <c r="F52" s="867"/>
      <c r="G52" s="867"/>
      <c r="H52" s="867"/>
      <c r="I52" s="867"/>
      <c r="J52" s="867"/>
      <c r="K52" s="867"/>
      <c r="L52" s="849"/>
      <c r="M52" s="849"/>
      <c r="N52" s="849"/>
      <c r="O52" s="849"/>
      <c r="P52" s="849"/>
      <c r="Q52" s="849"/>
      <c r="R52" s="849"/>
      <c r="S52" s="849"/>
      <c r="T52" s="849"/>
      <c r="U52" s="849"/>
      <c r="V52" s="849"/>
      <c r="W52" s="849"/>
      <c r="X52" s="849"/>
      <c r="Y52" s="849"/>
      <c r="Z52" s="849"/>
      <c r="AA52" s="849"/>
      <c r="AB52" s="849"/>
      <c r="AC52" s="849"/>
      <c r="AD52" s="849"/>
      <c r="AE52" s="849"/>
      <c r="AF52" s="849"/>
    </row>
    <row r="53" customFormat="false" ht="22.5" hidden="false" customHeight="true" outlineLevel="0" collapsed="false">
      <c r="A53" s="849"/>
      <c r="B53" s="849"/>
      <c r="C53" s="849"/>
      <c r="D53" s="849"/>
      <c r="E53" s="849"/>
      <c r="F53" s="849"/>
      <c r="G53" s="849"/>
      <c r="H53" s="849"/>
      <c r="I53" s="849"/>
      <c r="J53" s="849"/>
      <c r="K53" s="849"/>
      <c r="L53" s="849"/>
      <c r="M53" s="849"/>
      <c r="N53" s="849"/>
      <c r="O53" s="849"/>
      <c r="P53" s="849"/>
      <c r="Q53" s="849"/>
      <c r="R53" s="849"/>
      <c r="S53" s="849"/>
      <c r="T53" s="849"/>
      <c r="U53" s="849"/>
      <c r="V53" s="849"/>
      <c r="W53" s="849"/>
      <c r="X53" s="849"/>
      <c r="Y53" s="849"/>
      <c r="Z53" s="849"/>
      <c r="AA53" s="849"/>
      <c r="AB53" s="849"/>
      <c r="AC53" s="849"/>
      <c r="AD53" s="849"/>
      <c r="AE53" s="849"/>
      <c r="AF53" s="849"/>
    </row>
    <row r="54" customFormat="false" ht="16.5" hidden="false" customHeight="false" outlineLevel="0" collapsed="false">
      <c r="A54" s="849"/>
      <c r="B54" s="849"/>
      <c r="C54" s="849"/>
      <c r="D54" s="849"/>
      <c r="E54" s="849"/>
      <c r="F54" s="849"/>
      <c r="G54" s="849"/>
      <c r="H54" s="849"/>
      <c r="I54" s="849"/>
      <c r="J54" s="849"/>
      <c r="K54" s="849"/>
      <c r="L54" s="849"/>
      <c r="M54" s="849"/>
      <c r="N54" s="849"/>
      <c r="O54" s="849"/>
      <c r="P54" s="849"/>
      <c r="Q54" s="849"/>
      <c r="R54" s="849"/>
      <c r="S54" s="849"/>
      <c r="T54" s="849"/>
      <c r="U54" s="849"/>
      <c r="V54" s="849"/>
      <c r="W54" s="849"/>
      <c r="X54" s="849"/>
      <c r="Y54" s="849"/>
      <c r="Z54" s="849"/>
      <c r="AA54" s="849"/>
      <c r="AB54" s="849"/>
      <c r="AC54" s="849"/>
      <c r="AD54" s="849"/>
      <c r="AE54" s="849"/>
      <c r="AF54" s="849"/>
    </row>
    <row r="55" customFormat="false" ht="16.5" hidden="false" customHeight="false" outlineLevel="0" collapsed="false">
      <c r="A55" s="849"/>
      <c r="B55" s="849"/>
      <c r="C55" s="849"/>
      <c r="D55" s="849"/>
      <c r="E55" s="849"/>
      <c r="F55" s="849"/>
      <c r="G55" s="849"/>
      <c r="H55" s="849"/>
      <c r="I55" s="849"/>
      <c r="J55" s="849"/>
      <c r="K55" s="849"/>
      <c r="L55" s="849"/>
      <c r="M55" s="849"/>
      <c r="N55" s="849"/>
      <c r="O55" s="849"/>
      <c r="P55" s="849"/>
      <c r="Q55" s="849"/>
      <c r="R55" s="849"/>
      <c r="S55" s="849"/>
      <c r="T55" s="849"/>
      <c r="U55" s="849"/>
      <c r="V55" s="849"/>
      <c r="W55" s="849"/>
      <c r="X55" s="849"/>
      <c r="Y55" s="849"/>
      <c r="Z55" s="849"/>
      <c r="AA55" s="849"/>
      <c r="AB55" s="849"/>
      <c r="AC55" s="849"/>
      <c r="AD55" s="849"/>
      <c r="AE55" s="849"/>
      <c r="AF55" s="849"/>
    </row>
    <row r="56" customFormat="false" ht="16.5" hidden="false" customHeight="false" outlineLevel="0" collapsed="false">
      <c r="A56" s="849"/>
      <c r="B56" s="849"/>
      <c r="C56" s="849"/>
      <c r="D56" s="849"/>
      <c r="E56" s="849"/>
      <c r="F56" s="849"/>
      <c r="G56" s="849"/>
      <c r="H56" s="849"/>
      <c r="I56" s="849"/>
      <c r="J56" s="849"/>
      <c r="K56" s="849"/>
      <c r="L56" s="849"/>
      <c r="M56" s="849"/>
      <c r="N56" s="849"/>
      <c r="O56" s="849"/>
      <c r="P56" s="849"/>
      <c r="Q56" s="849"/>
      <c r="R56" s="849"/>
      <c r="S56" s="849"/>
      <c r="T56" s="849"/>
      <c r="U56" s="849"/>
      <c r="V56" s="849"/>
      <c r="W56" s="849"/>
      <c r="X56" s="849"/>
      <c r="Y56" s="849"/>
      <c r="Z56" s="849"/>
      <c r="AA56" s="849"/>
      <c r="AB56" s="849"/>
      <c r="AC56" s="849"/>
      <c r="AD56" s="849"/>
      <c r="AE56" s="849"/>
      <c r="AF56" s="849"/>
    </row>
    <row r="57" customFormat="false" ht="16.5" hidden="false" customHeight="false" outlineLevel="0" collapsed="false">
      <c r="A57" s="849"/>
      <c r="B57" s="849"/>
      <c r="C57" s="849"/>
      <c r="D57" s="849"/>
      <c r="E57" s="849"/>
      <c r="F57" s="849"/>
      <c r="G57" s="849"/>
      <c r="H57" s="849"/>
      <c r="I57" s="849"/>
      <c r="J57" s="849"/>
      <c r="K57" s="849"/>
      <c r="L57" s="849"/>
      <c r="M57" s="849"/>
      <c r="N57" s="849"/>
      <c r="O57" s="849"/>
      <c r="P57" s="849"/>
      <c r="Q57" s="849"/>
      <c r="R57" s="849"/>
      <c r="S57" s="849"/>
      <c r="T57" s="849"/>
      <c r="U57" s="849"/>
      <c r="V57" s="849"/>
      <c r="W57" s="849"/>
      <c r="X57" s="849"/>
      <c r="Y57" s="849"/>
      <c r="Z57" s="849"/>
      <c r="AA57" s="849"/>
      <c r="AB57" s="849"/>
      <c r="AC57" s="849"/>
      <c r="AD57" s="849"/>
      <c r="AE57" s="849"/>
      <c r="AF57" s="849"/>
    </row>
    <row r="58" customFormat="false" ht="16.5" hidden="false" customHeight="false" outlineLevel="0" collapsed="false">
      <c r="A58" s="849"/>
      <c r="B58" s="849"/>
      <c r="C58" s="849"/>
      <c r="D58" s="849"/>
      <c r="E58" s="849"/>
      <c r="F58" s="849"/>
      <c r="G58" s="849"/>
      <c r="H58" s="849"/>
      <c r="I58" s="849"/>
      <c r="J58" s="849"/>
      <c r="K58" s="849"/>
      <c r="L58" s="849"/>
      <c r="M58" s="849"/>
      <c r="N58" s="849"/>
      <c r="O58" s="849"/>
      <c r="P58" s="849"/>
      <c r="Q58" s="849"/>
      <c r="R58" s="849"/>
      <c r="S58" s="849"/>
      <c r="T58" s="849"/>
      <c r="U58" s="849"/>
      <c r="V58" s="849"/>
      <c r="W58" s="849"/>
      <c r="X58" s="849"/>
      <c r="Y58" s="849"/>
      <c r="Z58" s="849"/>
      <c r="AA58" s="849"/>
      <c r="AB58" s="849"/>
      <c r="AC58" s="849"/>
      <c r="AD58" s="849"/>
      <c r="AE58" s="849"/>
      <c r="AF58" s="849"/>
    </row>
    <row r="59" customFormat="false" ht="16.5" hidden="false" customHeight="false" outlineLevel="0" collapsed="false">
      <c r="A59" s="849"/>
      <c r="B59" s="849"/>
      <c r="C59" s="849"/>
      <c r="D59" s="849"/>
      <c r="E59" s="849"/>
      <c r="F59" s="849"/>
      <c r="G59" s="849"/>
      <c r="H59" s="849"/>
      <c r="I59" s="849"/>
      <c r="J59" s="849"/>
      <c r="K59" s="849"/>
      <c r="L59" s="849"/>
      <c r="M59" s="849"/>
      <c r="N59" s="849"/>
      <c r="O59" s="849"/>
      <c r="P59" s="849"/>
      <c r="Q59" s="849"/>
      <c r="R59" s="849"/>
      <c r="S59" s="849"/>
      <c r="T59" s="849"/>
      <c r="U59" s="849"/>
      <c r="V59" s="849"/>
      <c r="W59" s="849"/>
      <c r="X59" s="849"/>
      <c r="Y59" s="849"/>
      <c r="Z59" s="849"/>
      <c r="AA59" s="849"/>
      <c r="AB59" s="849"/>
      <c r="AC59" s="849"/>
      <c r="AD59" s="849"/>
      <c r="AE59" s="849"/>
      <c r="AF59" s="849"/>
    </row>
    <row r="60" customFormat="false" ht="16.5" hidden="false" customHeight="false" outlineLevel="0" collapsed="false">
      <c r="A60" s="849"/>
      <c r="B60" s="849"/>
      <c r="C60" s="849"/>
      <c r="D60" s="849"/>
      <c r="E60" s="849"/>
      <c r="F60" s="849"/>
      <c r="G60" s="849"/>
      <c r="H60" s="849"/>
      <c r="I60" s="849"/>
      <c r="J60" s="849"/>
      <c r="K60" s="849"/>
      <c r="L60" s="849"/>
      <c r="M60" s="849"/>
      <c r="N60" s="849"/>
      <c r="O60" s="849"/>
      <c r="P60" s="849"/>
      <c r="Q60" s="849"/>
      <c r="R60" s="849"/>
      <c r="S60" s="849"/>
      <c r="T60" s="849"/>
      <c r="U60" s="849"/>
      <c r="V60" s="849"/>
      <c r="W60" s="849"/>
      <c r="X60" s="849"/>
      <c r="Y60" s="849"/>
      <c r="Z60" s="849"/>
      <c r="AA60" s="849"/>
      <c r="AB60" s="849"/>
      <c r="AC60" s="849"/>
      <c r="AD60" s="849"/>
      <c r="AE60" s="849"/>
      <c r="AF60" s="849"/>
    </row>
    <row r="61" customFormat="false" ht="16.5" hidden="false" customHeight="false" outlineLevel="0" collapsed="false">
      <c r="A61" s="849"/>
      <c r="B61" s="849"/>
      <c r="C61" s="849"/>
      <c r="D61" s="849"/>
      <c r="E61" s="849"/>
      <c r="F61" s="849"/>
      <c r="G61" s="849"/>
      <c r="H61" s="849"/>
      <c r="I61" s="849"/>
      <c r="J61" s="849"/>
      <c r="K61" s="849"/>
      <c r="L61" s="849"/>
      <c r="M61" s="849"/>
      <c r="N61" s="849"/>
      <c r="O61" s="849"/>
      <c r="P61" s="849"/>
      <c r="Q61" s="849"/>
      <c r="R61" s="849"/>
      <c r="S61" s="849"/>
      <c r="T61" s="849"/>
      <c r="U61" s="849"/>
      <c r="V61" s="849"/>
      <c r="W61" s="849"/>
      <c r="X61" s="849"/>
      <c r="Y61" s="849"/>
      <c r="Z61" s="849"/>
      <c r="AA61" s="849"/>
      <c r="AB61" s="849"/>
      <c r="AC61" s="849"/>
      <c r="AD61" s="849"/>
      <c r="AE61" s="849"/>
      <c r="AF61" s="849"/>
    </row>
    <row r="62" customFormat="false" ht="16.5" hidden="false" customHeight="false" outlineLevel="0" collapsed="false">
      <c r="A62" s="849"/>
      <c r="B62" s="849"/>
      <c r="C62" s="849"/>
      <c r="D62" s="849"/>
      <c r="E62" s="849"/>
      <c r="F62" s="849"/>
      <c r="G62" s="849"/>
      <c r="H62" s="849"/>
      <c r="I62" s="849"/>
      <c r="J62" s="849"/>
      <c r="K62" s="849"/>
      <c r="L62" s="849"/>
      <c r="M62" s="849"/>
      <c r="N62" s="849"/>
      <c r="O62" s="849"/>
      <c r="P62" s="849"/>
      <c r="Q62" s="849"/>
      <c r="R62" s="849"/>
      <c r="S62" s="849"/>
      <c r="T62" s="849"/>
      <c r="U62" s="849"/>
      <c r="V62" s="849"/>
      <c r="W62" s="849"/>
      <c r="X62" s="849"/>
      <c r="Y62" s="849"/>
      <c r="Z62" s="849"/>
      <c r="AA62" s="849"/>
      <c r="AB62" s="849"/>
      <c r="AC62" s="849"/>
      <c r="AD62" s="849"/>
      <c r="AE62" s="849"/>
      <c r="AF62" s="849"/>
    </row>
    <row r="63" customFormat="false" ht="16.5" hidden="false" customHeight="false" outlineLevel="0" collapsed="false">
      <c r="A63" s="849"/>
      <c r="B63" s="849"/>
      <c r="C63" s="849"/>
      <c r="D63" s="849"/>
      <c r="E63" s="849"/>
      <c r="F63" s="849"/>
      <c r="G63" s="849"/>
      <c r="H63" s="849"/>
      <c r="I63" s="849"/>
      <c r="J63" s="849"/>
      <c r="K63" s="849"/>
      <c r="L63" s="849"/>
      <c r="M63" s="849"/>
      <c r="N63" s="849"/>
      <c r="O63" s="849"/>
      <c r="P63" s="849"/>
      <c r="Q63" s="849"/>
      <c r="R63" s="849"/>
      <c r="S63" s="849"/>
      <c r="T63" s="849"/>
      <c r="U63" s="849"/>
      <c r="V63" s="849"/>
      <c r="W63" s="849"/>
      <c r="X63" s="849"/>
      <c r="Y63" s="849"/>
      <c r="Z63" s="849"/>
      <c r="AA63" s="849"/>
      <c r="AB63" s="849"/>
      <c r="AC63" s="849"/>
      <c r="AD63" s="849"/>
      <c r="AE63" s="849"/>
      <c r="AF63" s="849"/>
    </row>
    <row r="64" customFormat="false" ht="16.5" hidden="false" customHeight="false" outlineLevel="0" collapsed="false">
      <c r="A64" s="849"/>
      <c r="B64" s="849"/>
      <c r="C64" s="849"/>
      <c r="D64" s="849"/>
      <c r="E64" s="849"/>
      <c r="F64" s="849"/>
      <c r="G64" s="849"/>
      <c r="H64" s="849"/>
      <c r="I64" s="849"/>
      <c r="J64" s="849"/>
      <c r="K64" s="849"/>
      <c r="L64" s="849"/>
      <c r="M64" s="849"/>
      <c r="N64" s="849"/>
      <c r="O64" s="849"/>
      <c r="P64" s="849"/>
      <c r="Q64" s="849"/>
      <c r="R64" s="849"/>
      <c r="S64" s="849"/>
      <c r="T64" s="849"/>
      <c r="U64" s="849"/>
      <c r="V64" s="849"/>
      <c r="W64" s="849"/>
      <c r="X64" s="849"/>
      <c r="Y64" s="849"/>
      <c r="Z64" s="849"/>
      <c r="AA64" s="849"/>
      <c r="AB64" s="849"/>
      <c r="AC64" s="849"/>
      <c r="AD64" s="849"/>
      <c r="AE64" s="849"/>
      <c r="AF64" s="849"/>
    </row>
    <row r="65" customFormat="false" ht="16.5" hidden="false" customHeight="false" outlineLevel="0" collapsed="false">
      <c r="A65" s="849"/>
      <c r="B65" s="849"/>
      <c r="C65" s="849"/>
      <c r="D65" s="849"/>
      <c r="E65" s="849"/>
      <c r="F65" s="849"/>
      <c r="G65" s="849"/>
      <c r="H65" s="849"/>
      <c r="I65" s="849"/>
      <c r="J65" s="849"/>
      <c r="K65" s="849"/>
      <c r="L65" s="849"/>
      <c r="M65" s="849"/>
      <c r="N65" s="849"/>
      <c r="O65" s="849"/>
      <c r="P65" s="849"/>
      <c r="Q65" s="849"/>
      <c r="R65" s="849"/>
      <c r="S65" s="849"/>
      <c r="T65" s="849"/>
      <c r="U65" s="849"/>
      <c r="V65" s="849"/>
      <c r="W65" s="849"/>
      <c r="X65" s="849"/>
      <c r="Y65" s="849"/>
      <c r="Z65" s="849"/>
      <c r="AA65" s="849"/>
      <c r="AB65" s="849"/>
      <c r="AC65" s="849"/>
      <c r="AD65" s="849"/>
      <c r="AE65" s="849"/>
      <c r="AF65" s="849"/>
    </row>
    <row r="66" customFormat="false" ht="16.5" hidden="false" customHeight="false" outlineLevel="0" collapsed="false">
      <c r="A66" s="849"/>
      <c r="B66" s="849"/>
      <c r="C66" s="849"/>
      <c r="D66" s="849"/>
      <c r="E66" s="849"/>
      <c r="F66" s="849"/>
      <c r="G66" s="849"/>
      <c r="H66" s="849"/>
      <c r="I66" s="849"/>
      <c r="J66" s="849"/>
      <c r="K66" s="849"/>
      <c r="L66" s="849"/>
      <c r="M66" s="849"/>
      <c r="N66" s="849"/>
      <c r="O66" s="849"/>
      <c r="P66" s="849"/>
      <c r="Q66" s="849"/>
      <c r="R66" s="849"/>
      <c r="S66" s="849"/>
      <c r="T66" s="849"/>
      <c r="U66" s="849"/>
      <c r="V66" s="849"/>
      <c r="W66" s="849"/>
      <c r="X66" s="849"/>
      <c r="Y66" s="849"/>
      <c r="Z66" s="849"/>
      <c r="AA66" s="849"/>
      <c r="AB66" s="849"/>
      <c r="AC66" s="849"/>
      <c r="AD66" s="849"/>
      <c r="AE66" s="849"/>
      <c r="AF66" s="849"/>
    </row>
    <row r="67" customFormat="false" ht="16.5" hidden="false" customHeight="false" outlineLevel="0" collapsed="false">
      <c r="A67" s="849"/>
      <c r="B67" s="849"/>
      <c r="C67" s="849"/>
      <c r="D67" s="849"/>
      <c r="E67" s="849"/>
      <c r="F67" s="849"/>
      <c r="G67" s="849"/>
      <c r="H67" s="849"/>
      <c r="I67" s="849"/>
      <c r="J67" s="849"/>
      <c r="K67" s="849"/>
      <c r="L67" s="849"/>
      <c r="M67" s="849"/>
      <c r="N67" s="849"/>
      <c r="O67" s="849"/>
      <c r="P67" s="849"/>
      <c r="Q67" s="849"/>
      <c r="R67" s="849"/>
      <c r="S67" s="849"/>
      <c r="T67" s="849"/>
      <c r="U67" s="849"/>
      <c r="V67" s="849"/>
      <c r="W67" s="849"/>
      <c r="X67" s="849"/>
      <c r="Y67" s="849"/>
      <c r="Z67" s="849"/>
      <c r="AA67" s="849"/>
      <c r="AB67" s="849"/>
      <c r="AC67" s="849"/>
      <c r="AD67" s="849"/>
      <c r="AE67" s="849"/>
      <c r="AF67" s="849"/>
    </row>
    <row r="68" customFormat="false" ht="16.5" hidden="false" customHeight="false" outlineLevel="0" collapsed="false">
      <c r="A68" s="849"/>
      <c r="B68" s="849"/>
      <c r="C68" s="849"/>
      <c r="D68" s="849"/>
      <c r="E68" s="849"/>
      <c r="F68" s="849"/>
      <c r="G68" s="849"/>
      <c r="H68" s="849"/>
      <c r="I68" s="849"/>
      <c r="J68" s="849"/>
      <c r="K68" s="849"/>
      <c r="L68" s="849"/>
      <c r="M68" s="849"/>
      <c r="N68" s="849"/>
      <c r="O68" s="849"/>
      <c r="P68" s="849"/>
      <c r="Q68" s="849"/>
      <c r="R68" s="849"/>
      <c r="S68" s="849"/>
      <c r="T68" s="849"/>
      <c r="U68" s="849"/>
      <c r="V68" s="849"/>
      <c r="W68" s="849"/>
      <c r="X68" s="849"/>
      <c r="Y68" s="849"/>
      <c r="Z68" s="849"/>
      <c r="AA68" s="849"/>
      <c r="AB68" s="849"/>
      <c r="AC68" s="849"/>
      <c r="AD68" s="849"/>
      <c r="AE68" s="849"/>
      <c r="AF68" s="849"/>
    </row>
    <row r="69" customFormat="false" ht="16.5" hidden="false" customHeight="false" outlineLevel="0" collapsed="false">
      <c r="A69" s="849"/>
      <c r="B69" s="849"/>
      <c r="C69" s="849"/>
      <c r="D69" s="849"/>
      <c r="E69" s="849"/>
      <c r="F69" s="849"/>
      <c r="G69" s="849"/>
      <c r="H69" s="849"/>
      <c r="I69" s="849"/>
      <c r="J69" s="849"/>
      <c r="K69" s="849"/>
      <c r="L69" s="849"/>
      <c r="M69" s="849"/>
      <c r="N69" s="849"/>
      <c r="O69" s="849"/>
      <c r="P69" s="849"/>
      <c r="Q69" s="849"/>
      <c r="R69" s="849"/>
      <c r="S69" s="849"/>
      <c r="T69" s="849"/>
      <c r="U69" s="849"/>
      <c r="V69" s="849"/>
      <c r="W69" s="849"/>
      <c r="X69" s="849"/>
      <c r="Y69" s="849"/>
      <c r="Z69" s="849"/>
      <c r="AA69" s="849"/>
      <c r="AB69" s="849"/>
      <c r="AC69" s="849"/>
      <c r="AD69" s="849"/>
      <c r="AE69" s="849"/>
      <c r="AF69" s="849"/>
    </row>
    <row r="70" customFormat="false" ht="16.5" hidden="false" customHeight="false" outlineLevel="0" collapsed="false">
      <c r="A70" s="849"/>
      <c r="B70" s="849"/>
      <c r="C70" s="849"/>
      <c r="D70" s="849"/>
      <c r="E70" s="849"/>
      <c r="F70" s="849"/>
      <c r="G70" s="849"/>
      <c r="H70" s="849"/>
      <c r="I70" s="849"/>
      <c r="J70" s="849"/>
      <c r="K70" s="849"/>
      <c r="L70" s="849"/>
      <c r="M70" s="849"/>
      <c r="N70" s="849"/>
      <c r="O70" s="849"/>
      <c r="P70" s="849"/>
      <c r="Q70" s="849"/>
      <c r="R70" s="849"/>
      <c r="S70" s="849"/>
      <c r="T70" s="849"/>
      <c r="U70" s="849"/>
      <c r="V70" s="849"/>
      <c r="W70" s="849"/>
      <c r="X70" s="849"/>
      <c r="Y70" s="849"/>
      <c r="Z70" s="849"/>
      <c r="AA70" s="849"/>
      <c r="AB70" s="849"/>
      <c r="AC70" s="849"/>
      <c r="AD70" s="849"/>
      <c r="AE70" s="849"/>
      <c r="AF70" s="849"/>
    </row>
    <row r="71" customFormat="false" ht="16.5" hidden="false" customHeight="false" outlineLevel="0" collapsed="false">
      <c r="A71" s="849"/>
      <c r="B71" s="849"/>
      <c r="C71" s="849"/>
      <c r="D71" s="849"/>
      <c r="E71" s="849"/>
      <c r="F71" s="849"/>
      <c r="G71" s="849"/>
      <c r="H71" s="849"/>
      <c r="I71" s="849"/>
      <c r="J71" s="849"/>
      <c r="K71" s="849"/>
      <c r="L71" s="849"/>
      <c r="M71" s="849"/>
      <c r="N71" s="849"/>
      <c r="O71" s="849"/>
      <c r="P71" s="849"/>
      <c r="Q71" s="849"/>
      <c r="R71" s="849"/>
      <c r="S71" s="849"/>
      <c r="T71" s="849"/>
      <c r="U71" s="849"/>
      <c r="V71" s="849"/>
      <c r="W71" s="849"/>
      <c r="X71" s="849"/>
      <c r="Y71" s="849"/>
      <c r="Z71" s="849"/>
      <c r="AA71" s="849"/>
      <c r="AB71" s="849"/>
      <c r="AC71" s="849"/>
      <c r="AD71" s="849"/>
      <c r="AE71" s="849"/>
      <c r="AF71" s="849"/>
    </row>
    <row r="72" customFormat="false" ht="16.5" hidden="false" customHeight="false" outlineLevel="0" collapsed="false">
      <c r="A72" s="849"/>
      <c r="B72" s="849"/>
      <c r="C72" s="849"/>
      <c r="D72" s="849"/>
      <c r="E72" s="849"/>
      <c r="F72" s="849"/>
      <c r="G72" s="849"/>
      <c r="H72" s="849"/>
      <c r="I72" s="849"/>
      <c r="J72" s="849"/>
      <c r="K72" s="849"/>
      <c r="L72" s="849"/>
      <c r="M72" s="849"/>
      <c r="N72" s="849"/>
      <c r="O72" s="849"/>
      <c r="P72" s="849"/>
      <c r="Q72" s="849"/>
      <c r="R72" s="849"/>
      <c r="S72" s="849"/>
      <c r="T72" s="849"/>
      <c r="U72" s="849"/>
      <c r="V72" s="849"/>
      <c r="W72" s="849"/>
      <c r="X72" s="849"/>
      <c r="Y72" s="849"/>
      <c r="Z72" s="849"/>
      <c r="AA72" s="849"/>
      <c r="AB72" s="849"/>
      <c r="AC72" s="849"/>
      <c r="AD72" s="849"/>
      <c r="AE72" s="849"/>
      <c r="AF72" s="849"/>
    </row>
    <row r="73" customFormat="false" ht="16.5" hidden="false" customHeight="false" outlineLevel="0" collapsed="false">
      <c r="A73" s="849"/>
      <c r="B73" s="849"/>
      <c r="C73" s="849"/>
      <c r="D73" s="849"/>
      <c r="E73" s="849"/>
      <c r="F73" s="849"/>
      <c r="G73" s="849"/>
      <c r="H73" s="849"/>
      <c r="I73" s="849"/>
      <c r="J73" s="849"/>
      <c r="K73" s="849"/>
      <c r="L73" s="849"/>
      <c r="M73" s="849"/>
      <c r="N73" s="849"/>
      <c r="O73" s="849"/>
      <c r="P73" s="849"/>
      <c r="Q73" s="849"/>
      <c r="R73" s="849"/>
      <c r="S73" s="849"/>
      <c r="T73" s="849"/>
      <c r="U73" s="849"/>
      <c r="V73" s="849"/>
      <c r="W73" s="849"/>
      <c r="X73" s="849"/>
      <c r="Y73" s="849"/>
      <c r="Z73" s="849"/>
      <c r="AA73" s="849"/>
      <c r="AB73" s="849"/>
      <c r="AC73" s="849"/>
      <c r="AD73" s="849"/>
      <c r="AE73" s="849"/>
      <c r="AF73" s="849"/>
    </row>
    <row r="74" customFormat="false" ht="16.5" hidden="false" customHeight="false" outlineLevel="0" collapsed="false">
      <c r="A74" s="849"/>
      <c r="B74" s="849"/>
      <c r="C74" s="849"/>
      <c r="D74" s="849"/>
      <c r="E74" s="849"/>
      <c r="F74" s="849"/>
      <c r="G74" s="849"/>
      <c r="H74" s="849"/>
      <c r="I74" s="849"/>
      <c r="J74" s="849"/>
      <c r="K74" s="849"/>
      <c r="L74" s="849"/>
      <c r="M74" s="849"/>
      <c r="N74" s="849"/>
      <c r="O74" s="849"/>
      <c r="P74" s="849"/>
      <c r="Q74" s="849"/>
      <c r="R74" s="849"/>
      <c r="S74" s="849"/>
      <c r="T74" s="849"/>
      <c r="U74" s="849"/>
      <c r="V74" s="849"/>
      <c r="W74" s="849"/>
      <c r="X74" s="849"/>
      <c r="Y74" s="849"/>
      <c r="Z74" s="849"/>
      <c r="AA74" s="849"/>
      <c r="AB74" s="849"/>
      <c r="AC74" s="849"/>
      <c r="AD74" s="849"/>
      <c r="AE74" s="849"/>
      <c r="AF74" s="849"/>
    </row>
    <row r="75" customFormat="false" ht="16.5" hidden="false" customHeight="false" outlineLevel="0" collapsed="false">
      <c r="A75" s="849"/>
      <c r="B75" s="849"/>
      <c r="C75" s="849"/>
      <c r="D75" s="849"/>
      <c r="E75" s="849"/>
      <c r="F75" s="849"/>
      <c r="G75" s="849"/>
      <c r="H75" s="849"/>
      <c r="I75" s="849"/>
      <c r="J75" s="849"/>
      <c r="K75" s="849"/>
      <c r="L75" s="849"/>
      <c r="M75" s="849"/>
      <c r="N75" s="849"/>
      <c r="O75" s="849"/>
      <c r="P75" s="849"/>
      <c r="Q75" s="849"/>
      <c r="R75" s="849"/>
      <c r="S75" s="849"/>
      <c r="T75" s="849"/>
      <c r="U75" s="849"/>
      <c r="V75" s="849"/>
      <c r="W75" s="849"/>
      <c r="X75" s="849"/>
      <c r="Y75" s="849"/>
      <c r="Z75" s="849"/>
      <c r="AA75" s="849"/>
      <c r="AB75" s="849"/>
      <c r="AC75" s="849"/>
      <c r="AD75" s="849"/>
      <c r="AE75" s="849"/>
      <c r="AF75" s="849"/>
    </row>
    <row r="76" customFormat="false" ht="16.5" hidden="false" customHeight="false" outlineLevel="0" collapsed="false">
      <c r="A76" s="849"/>
      <c r="B76" s="849"/>
      <c r="C76" s="849"/>
      <c r="D76" s="849"/>
      <c r="E76" s="849"/>
      <c r="F76" s="849"/>
      <c r="G76" s="849"/>
      <c r="H76" s="849"/>
      <c r="I76" s="849"/>
      <c r="J76" s="849"/>
      <c r="K76" s="849"/>
      <c r="L76" s="849"/>
      <c r="M76" s="849"/>
      <c r="N76" s="849"/>
      <c r="O76" s="849"/>
      <c r="P76" s="849"/>
      <c r="Q76" s="849"/>
      <c r="R76" s="849"/>
      <c r="S76" s="849"/>
      <c r="T76" s="849"/>
      <c r="U76" s="849"/>
      <c r="V76" s="849"/>
      <c r="W76" s="849"/>
      <c r="X76" s="849"/>
      <c r="Y76" s="849"/>
      <c r="Z76" s="849"/>
      <c r="AA76" s="849"/>
      <c r="AB76" s="849"/>
      <c r="AC76" s="849"/>
      <c r="AD76" s="849"/>
      <c r="AE76" s="849"/>
      <c r="AF76" s="849"/>
    </row>
    <row r="77" customFormat="false" ht="16.5" hidden="false" customHeight="false" outlineLevel="0" collapsed="false">
      <c r="A77" s="849"/>
      <c r="B77" s="849"/>
      <c r="C77" s="849"/>
      <c r="D77" s="849"/>
      <c r="E77" s="849"/>
      <c r="F77" s="849"/>
      <c r="G77" s="849"/>
      <c r="H77" s="849"/>
      <c r="I77" s="849"/>
      <c r="J77" s="849"/>
      <c r="K77" s="849"/>
      <c r="L77" s="849"/>
      <c r="M77" s="849"/>
      <c r="N77" s="849"/>
      <c r="O77" s="849"/>
      <c r="P77" s="849"/>
      <c r="Q77" s="849"/>
      <c r="R77" s="849"/>
      <c r="S77" s="849"/>
      <c r="T77" s="849"/>
      <c r="U77" s="849"/>
      <c r="V77" s="849"/>
      <c r="W77" s="849"/>
      <c r="X77" s="849"/>
      <c r="Y77" s="849"/>
      <c r="Z77" s="849"/>
      <c r="AA77" s="849"/>
      <c r="AB77" s="849"/>
      <c r="AC77" s="849"/>
      <c r="AD77" s="849"/>
      <c r="AE77" s="849"/>
      <c r="AF77" s="849"/>
    </row>
    <row r="78" customFormat="false" ht="16.5" hidden="false" customHeight="false" outlineLevel="0" collapsed="false">
      <c r="A78" s="849"/>
      <c r="B78" s="849"/>
      <c r="C78" s="849"/>
      <c r="D78" s="849"/>
      <c r="E78" s="849"/>
      <c r="F78" s="849"/>
      <c r="G78" s="849"/>
      <c r="H78" s="849"/>
      <c r="I78" s="849"/>
      <c r="J78" s="849"/>
      <c r="K78" s="849"/>
      <c r="L78" s="849"/>
      <c r="M78" s="849"/>
      <c r="N78" s="849"/>
      <c r="O78" s="849"/>
      <c r="P78" s="849"/>
      <c r="Q78" s="849"/>
      <c r="R78" s="849"/>
      <c r="S78" s="849"/>
      <c r="T78" s="849"/>
      <c r="U78" s="849"/>
      <c r="V78" s="849"/>
      <c r="W78" s="849"/>
      <c r="X78" s="849"/>
      <c r="Y78" s="849"/>
      <c r="Z78" s="849"/>
      <c r="AA78" s="849"/>
      <c r="AB78" s="849"/>
      <c r="AC78" s="849"/>
      <c r="AD78" s="849"/>
      <c r="AE78" s="849"/>
      <c r="AF78" s="849"/>
    </row>
    <row r="79" customFormat="false" ht="16.5" hidden="false" customHeight="false" outlineLevel="0" collapsed="false">
      <c r="A79" s="849"/>
      <c r="B79" s="849"/>
      <c r="C79" s="849"/>
      <c r="D79" s="849"/>
      <c r="E79" s="849"/>
      <c r="F79" s="849"/>
      <c r="G79" s="849"/>
      <c r="H79" s="849"/>
      <c r="I79" s="849"/>
      <c r="J79" s="849"/>
      <c r="K79" s="849"/>
      <c r="L79" s="849"/>
      <c r="M79" s="849"/>
      <c r="N79" s="849"/>
      <c r="O79" s="849"/>
      <c r="P79" s="849"/>
      <c r="Q79" s="849"/>
      <c r="R79" s="849"/>
      <c r="S79" s="849"/>
      <c r="T79" s="849"/>
      <c r="U79" s="849"/>
      <c r="V79" s="849"/>
      <c r="W79" s="849"/>
      <c r="X79" s="849"/>
      <c r="Y79" s="849"/>
      <c r="Z79" s="849"/>
      <c r="AA79" s="849"/>
      <c r="AB79" s="849"/>
      <c r="AC79" s="849"/>
      <c r="AD79" s="849"/>
      <c r="AE79" s="849"/>
      <c r="AF79" s="849"/>
    </row>
    <row r="80" customFormat="false" ht="16.5" hidden="false" customHeight="false" outlineLevel="0" collapsed="false">
      <c r="A80" s="849"/>
      <c r="B80" s="849"/>
      <c r="C80" s="849"/>
      <c r="D80" s="849"/>
      <c r="E80" s="849"/>
      <c r="F80" s="849"/>
      <c r="G80" s="849"/>
      <c r="H80" s="849"/>
      <c r="I80" s="849"/>
      <c r="J80" s="849"/>
      <c r="K80" s="849"/>
      <c r="L80" s="849"/>
      <c r="M80" s="849"/>
      <c r="N80" s="849"/>
      <c r="O80" s="849"/>
      <c r="P80" s="849"/>
      <c r="Q80" s="849"/>
      <c r="R80" s="849"/>
      <c r="S80" s="849"/>
      <c r="T80" s="849"/>
      <c r="U80" s="849"/>
      <c r="V80" s="849"/>
      <c r="W80" s="849"/>
      <c r="X80" s="849"/>
      <c r="Y80" s="849"/>
      <c r="Z80" s="849"/>
      <c r="AA80" s="849"/>
      <c r="AB80" s="849"/>
      <c r="AC80" s="849"/>
      <c r="AD80" s="849"/>
      <c r="AE80" s="849"/>
      <c r="AF80" s="849"/>
    </row>
    <row r="81" customFormat="false" ht="16.5" hidden="false" customHeight="false" outlineLevel="0" collapsed="false">
      <c r="A81" s="849"/>
      <c r="B81" s="849"/>
      <c r="C81" s="849"/>
      <c r="D81" s="849"/>
      <c r="E81" s="849"/>
      <c r="F81" s="849"/>
      <c r="G81" s="849"/>
      <c r="H81" s="849"/>
      <c r="I81" s="849"/>
      <c r="J81" s="849"/>
      <c r="K81" s="849"/>
      <c r="L81" s="849"/>
      <c r="M81" s="849"/>
      <c r="N81" s="849"/>
      <c r="O81" s="849"/>
      <c r="P81" s="849"/>
      <c r="Q81" s="849"/>
      <c r="R81" s="849"/>
      <c r="S81" s="849"/>
      <c r="T81" s="849"/>
      <c r="U81" s="849"/>
      <c r="V81" s="849"/>
      <c r="W81" s="849"/>
      <c r="X81" s="849"/>
      <c r="Y81" s="849"/>
      <c r="Z81" s="849"/>
      <c r="AA81" s="849"/>
      <c r="AB81" s="849"/>
      <c r="AC81" s="849"/>
      <c r="AD81" s="849"/>
      <c r="AE81" s="849"/>
      <c r="AF81" s="849"/>
    </row>
    <row r="82" customFormat="false" ht="16.5" hidden="false" customHeight="false" outlineLevel="0" collapsed="false">
      <c r="A82" s="849"/>
      <c r="B82" s="849"/>
      <c r="C82" s="849"/>
      <c r="D82" s="849"/>
      <c r="E82" s="849"/>
      <c r="F82" s="849"/>
      <c r="G82" s="849"/>
      <c r="H82" s="849"/>
      <c r="I82" s="849"/>
      <c r="J82" s="849"/>
      <c r="K82" s="849"/>
      <c r="L82" s="849"/>
      <c r="M82" s="849"/>
      <c r="N82" s="849"/>
      <c r="O82" s="849"/>
      <c r="P82" s="849"/>
      <c r="Q82" s="849"/>
      <c r="R82" s="849"/>
      <c r="S82" s="849"/>
      <c r="T82" s="849"/>
      <c r="U82" s="849"/>
      <c r="V82" s="849"/>
      <c r="W82" s="849"/>
      <c r="X82" s="849"/>
      <c r="Y82" s="849"/>
      <c r="Z82" s="849"/>
      <c r="AA82" s="849"/>
      <c r="AB82" s="849"/>
      <c r="AC82" s="849"/>
      <c r="AD82" s="849"/>
      <c r="AE82" s="849"/>
      <c r="AF82" s="849"/>
    </row>
    <row r="83" customFormat="false" ht="16.5" hidden="false" customHeight="false" outlineLevel="0" collapsed="false">
      <c r="A83" s="849"/>
      <c r="B83" s="849"/>
      <c r="C83" s="849"/>
      <c r="D83" s="849"/>
      <c r="E83" s="849"/>
      <c r="F83" s="849"/>
      <c r="G83" s="849"/>
      <c r="H83" s="849"/>
      <c r="I83" s="849"/>
      <c r="J83" s="849"/>
      <c r="K83" s="849"/>
      <c r="L83" s="849"/>
      <c r="M83" s="849"/>
      <c r="N83" s="849"/>
      <c r="O83" s="849"/>
      <c r="P83" s="849"/>
      <c r="Q83" s="849"/>
      <c r="R83" s="849"/>
      <c r="S83" s="849"/>
      <c r="T83" s="849"/>
      <c r="U83" s="849"/>
      <c r="V83" s="849"/>
      <c r="W83" s="849"/>
      <c r="X83" s="849"/>
      <c r="Y83" s="849"/>
      <c r="Z83" s="849"/>
      <c r="AA83" s="849"/>
      <c r="AB83" s="849"/>
      <c r="AC83" s="849"/>
      <c r="AD83" s="849"/>
      <c r="AE83" s="849"/>
      <c r="AF83" s="849"/>
    </row>
    <row r="84" customFormat="false" ht="16.5" hidden="false" customHeight="false" outlineLevel="0" collapsed="false">
      <c r="A84" s="849"/>
      <c r="B84" s="849"/>
      <c r="C84" s="849"/>
      <c r="D84" s="849"/>
      <c r="E84" s="849"/>
      <c r="F84" s="849"/>
      <c r="G84" s="849"/>
      <c r="H84" s="849"/>
      <c r="I84" s="849"/>
      <c r="J84" s="849"/>
      <c r="K84" s="849"/>
      <c r="L84" s="849"/>
      <c r="M84" s="849"/>
      <c r="N84" s="849"/>
      <c r="O84" s="849"/>
      <c r="P84" s="849"/>
      <c r="Q84" s="849"/>
      <c r="R84" s="849"/>
      <c r="S84" s="849"/>
      <c r="T84" s="849"/>
      <c r="U84" s="849"/>
      <c r="V84" s="849"/>
      <c r="W84" s="849"/>
      <c r="X84" s="849"/>
      <c r="Y84" s="849"/>
      <c r="Z84" s="849"/>
      <c r="AA84" s="849"/>
      <c r="AB84" s="849"/>
      <c r="AC84" s="849"/>
      <c r="AD84" s="849"/>
      <c r="AE84" s="849"/>
      <c r="AF84" s="849"/>
    </row>
    <row r="85" customFormat="false" ht="16.5" hidden="false" customHeight="false" outlineLevel="0" collapsed="false">
      <c r="A85" s="849"/>
      <c r="B85" s="849"/>
      <c r="C85" s="849"/>
      <c r="D85" s="849"/>
      <c r="E85" s="849"/>
      <c r="F85" s="849"/>
      <c r="G85" s="849"/>
      <c r="H85" s="849"/>
      <c r="I85" s="849"/>
      <c r="J85" s="849"/>
      <c r="K85" s="849"/>
      <c r="L85" s="849"/>
      <c r="M85" s="849"/>
      <c r="N85" s="849"/>
      <c r="O85" s="849"/>
      <c r="P85" s="849"/>
      <c r="Q85" s="849"/>
      <c r="R85" s="849"/>
      <c r="S85" s="849"/>
      <c r="T85" s="849"/>
      <c r="U85" s="849"/>
      <c r="V85" s="849"/>
      <c r="W85" s="849"/>
      <c r="X85" s="849"/>
      <c r="Y85" s="849"/>
      <c r="Z85" s="849"/>
      <c r="AA85" s="849"/>
      <c r="AB85" s="849"/>
      <c r="AC85" s="849"/>
      <c r="AD85" s="849"/>
      <c r="AE85" s="849"/>
      <c r="AF85" s="849"/>
    </row>
    <row r="86" customFormat="false" ht="16.5" hidden="false" customHeight="false" outlineLevel="0" collapsed="false">
      <c r="A86" s="849"/>
      <c r="B86" s="849"/>
      <c r="C86" s="849"/>
      <c r="D86" s="849"/>
      <c r="E86" s="849"/>
      <c r="F86" s="849"/>
      <c r="G86" s="849"/>
      <c r="H86" s="849"/>
      <c r="I86" s="849"/>
      <c r="J86" s="849"/>
      <c r="K86" s="849"/>
      <c r="L86" s="849"/>
      <c r="M86" s="849"/>
      <c r="N86" s="849"/>
      <c r="O86" s="849"/>
      <c r="P86" s="849"/>
      <c r="Q86" s="849"/>
      <c r="R86" s="849"/>
      <c r="S86" s="849"/>
      <c r="T86" s="849"/>
      <c r="U86" s="849"/>
      <c r="V86" s="849"/>
      <c r="W86" s="849"/>
      <c r="X86" s="849"/>
      <c r="Y86" s="849"/>
      <c r="Z86" s="849"/>
      <c r="AA86" s="849"/>
      <c r="AB86" s="849"/>
      <c r="AC86" s="849"/>
      <c r="AD86" s="849"/>
      <c r="AE86" s="849"/>
      <c r="AF86" s="849"/>
    </row>
    <row r="87" customFormat="false" ht="16.5" hidden="false" customHeight="false" outlineLevel="0" collapsed="false">
      <c r="A87" s="849"/>
      <c r="B87" s="849"/>
      <c r="C87" s="849"/>
      <c r="D87" s="849"/>
      <c r="E87" s="849"/>
      <c r="F87" s="849"/>
      <c r="G87" s="849"/>
      <c r="H87" s="849"/>
      <c r="I87" s="849"/>
      <c r="J87" s="849"/>
      <c r="K87" s="849"/>
      <c r="L87" s="849"/>
      <c r="M87" s="849"/>
      <c r="N87" s="849"/>
      <c r="O87" s="849"/>
      <c r="P87" s="849"/>
      <c r="Q87" s="849"/>
      <c r="R87" s="849"/>
      <c r="S87" s="849"/>
      <c r="T87" s="849"/>
      <c r="U87" s="849"/>
      <c r="V87" s="849"/>
      <c r="W87" s="849"/>
      <c r="X87" s="849"/>
      <c r="Y87" s="849"/>
      <c r="Z87" s="849"/>
      <c r="AA87" s="849"/>
      <c r="AB87" s="849"/>
      <c r="AC87" s="849"/>
      <c r="AD87" s="849"/>
      <c r="AE87" s="849"/>
      <c r="AF87" s="849"/>
    </row>
    <row r="88" customFormat="false" ht="16.5" hidden="false" customHeight="false" outlineLevel="0" collapsed="false">
      <c r="A88" s="849"/>
      <c r="B88" s="849"/>
      <c r="C88" s="849"/>
      <c r="D88" s="849"/>
      <c r="E88" s="849"/>
      <c r="F88" s="849"/>
      <c r="G88" s="849"/>
      <c r="H88" s="849"/>
      <c r="I88" s="849"/>
      <c r="J88" s="849"/>
      <c r="K88" s="849"/>
      <c r="L88" s="849"/>
      <c r="M88" s="849"/>
      <c r="N88" s="849"/>
      <c r="O88" s="849"/>
      <c r="P88" s="849"/>
      <c r="Q88" s="849"/>
      <c r="R88" s="849"/>
      <c r="S88" s="849"/>
      <c r="T88" s="849"/>
      <c r="U88" s="849"/>
      <c r="V88" s="849"/>
      <c r="W88" s="849"/>
      <c r="X88" s="849"/>
      <c r="Y88" s="849"/>
      <c r="Z88" s="849"/>
      <c r="AA88" s="849"/>
      <c r="AB88" s="849"/>
      <c r="AC88" s="849"/>
      <c r="AD88" s="849"/>
      <c r="AE88" s="849"/>
      <c r="AF88" s="84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88"/>
  <sheetViews>
    <sheetView showFormulas="false" showGridLines="true" showRowColHeaders="true" showZeros="true" rightToLeft="false" tabSelected="false" showOutlineSymbols="true" defaultGridColor="true" view="normal" topLeftCell="B19" colorId="64" zoomScale="140" zoomScaleNormal="140" zoomScalePageLayoutView="100" workbookViewId="0">
      <selection pane="topLeft" activeCell="I33" activeCellId="0" sqref="I33"/>
    </sheetView>
  </sheetViews>
  <sheetFormatPr defaultColWidth="8.859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1"/>
    <col collapsed="false" customWidth="true" hidden="false" outlineLevel="0" max="10" min="3" style="0" width="23.71"/>
    <col collapsed="false" customWidth="true" hidden="false" outlineLevel="0" max="11" min="11" style="0" width="1.86"/>
    <col collapsed="false" customWidth="true" hidden="false" outlineLevel="0" max="12" min="12" style="0" width="33"/>
    <col collapsed="false" customWidth="true" hidden="false" outlineLevel="0" max="14" min="13" style="0" width="23.28"/>
  </cols>
  <sheetData>
    <row r="1" customFormat="false" ht="23.25" hidden="false" customHeight="true" outlineLevel="0" collapsed="false">
      <c r="A1" s="849"/>
      <c r="B1" s="849"/>
      <c r="C1" s="850" t="s">
        <v>0</v>
      </c>
      <c r="D1" s="851" t="n">
        <v>213.8</v>
      </c>
      <c r="E1" s="849"/>
      <c r="F1" s="852"/>
      <c r="G1" s="849"/>
      <c r="H1" s="849"/>
      <c r="I1" s="849"/>
      <c r="J1" s="849"/>
      <c r="K1" s="849"/>
      <c r="L1" s="849"/>
      <c r="M1" s="849"/>
      <c r="N1" s="849"/>
      <c r="O1" s="849"/>
      <c r="P1" s="849"/>
      <c r="Q1" s="849"/>
      <c r="R1" s="849"/>
      <c r="S1" s="849"/>
      <c r="T1" s="849"/>
      <c r="U1" s="849"/>
      <c r="V1" s="849"/>
      <c r="W1" s="849"/>
      <c r="X1" s="849"/>
      <c r="Y1" s="849"/>
      <c r="Z1" s="849"/>
      <c r="AA1" s="849"/>
      <c r="AB1" s="849"/>
      <c r="AC1" s="849"/>
      <c r="AD1" s="849"/>
      <c r="AE1" s="849"/>
      <c r="AF1" s="849"/>
    </row>
    <row r="2" customFormat="false" ht="23.25" hidden="false" customHeight="true" outlineLevel="0" collapsed="false">
      <c r="A2" s="849"/>
      <c r="B2" s="853" t="s">
        <v>412</v>
      </c>
      <c r="C2" s="854" t="s">
        <v>1</v>
      </c>
      <c r="D2" s="855" t="n">
        <f aca="false">J8+J16+J24+J32+J40+E48</f>
        <v>37.55</v>
      </c>
      <c r="E2" s="856" t="s">
        <v>2</v>
      </c>
      <c r="F2" s="857" t="n">
        <f aca="false">J9+J17+J25+J33+J41+E49</f>
        <v>0</v>
      </c>
      <c r="G2" s="856" t="s">
        <v>3</v>
      </c>
      <c r="H2" s="857" t="n">
        <f aca="false">J10+J18+J26+J34+J42+E50</f>
        <v>0</v>
      </c>
      <c r="I2" s="858"/>
      <c r="J2" s="859" t="s">
        <v>4</v>
      </c>
      <c r="K2" s="860"/>
      <c r="L2" s="859"/>
      <c r="M2" s="849"/>
      <c r="N2" s="849"/>
      <c r="O2" s="849"/>
      <c r="P2" s="849"/>
      <c r="Q2" s="849"/>
      <c r="R2" s="849"/>
      <c r="S2" s="849"/>
      <c r="T2" s="849"/>
      <c r="U2" s="849"/>
      <c r="V2" s="849"/>
      <c r="W2" s="849"/>
      <c r="X2" s="849"/>
      <c r="Y2" s="849"/>
      <c r="Z2" s="849"/>
      <c r="AA2" s="849"/>
      <c r="AB2" s="849"/>
      <c r="AC2" s="849"/>
      <c r="AD2" s="849"/>
      <c r="AE2" s="849"/>
      <c r="AF2" s="849"/>
    </row>
    <row r="3" customFormat="false" ht="23.25" hidden="false" customHeight="true" outlineLevel="0" collapsed="false">
      <c r="A3" s="849"/>
      <c r="B3" s="861" t="s">
        <v>5</v>
      </c>
      <c r="C3" s="862" t="s">
        <v>6</v>
      </c>
      <c r="D3" s="863" t="s">
        <v>7</v>
      </c>
      <c r="E3" s="864" t="s">
        <v>8</v>
      </c>
      <c r="F3" s="865" t="s">
        <v>9</v>
      </c>
      <c r="G3" s="863" t="s">
        <v>8</v>
      </c>
      <c r="H3" s="863" t="s">
        <v>11</v>
      </c>
      <c r="I3" s="866" t="s">
        <v>6</v>
      </c>
      <c r="J3" s="859" t="s">
        <v>13</v>
      </c>
      <c r="K3" s="867"/>
      <c r="L3" s="859"/>
      <c r="M3" s="849"/>
      <c r="N3" s="849"/>
      <c r="O3" s="849"/>
      <c r="P3" s="849"/>
      <c r="Q3" s="849"/>
      <c r="R3" s="849"/>
      <c r="S3" s="849"/>
      <c r="T3" s="849"/>
      <c r="U3" s="849"/>
      <c r="V3" s="849"/>
      <c r="W3" s="849"/>
      <c r="X3" s="849"/>
      <c r="Y3" s="849"/>
      <c r="Z3" s="849"/>
      <c r="AA3" s="849"/>
      <c r="AB3" s="849"/>
      <c r="AC3" s="849"/>
      <c r="AD3" s="849"/>
      <c r="AE3" s="849"/>
      <c r="AF3" s="849"/>
    </row>
    <row r="4" customFormat="false" ht="23.25" hidden="false" customHeight="true" outlineLevel="0" collapsed="false">
      <c r="A4" s="849"/>
      <c r="B4" s="868" t="s">
        <v>14</v>
      </c>
      <c r="C4" s="869" t="s">
        <v>80</v>
      </c>
      <c r="D4" s="869" t="s">
        <v>80</v>
      </c>
      <c r="E4" s="869" t="n">
        <v>1</v>
      </c>
      <c r="F4" s="869" t="n">
        <v>2</v>
      </c>
      <c r="G4" s="869" t="n">
        <v>3</v>
      </c>
      <c r="H4" s="870" t="n">
        <v>4</v>
      </c>
      <c r="I4" s="871" t="n">
        <v>5</v>
      </c>
      <c r="J4" s="859" t="s">
        <v>15</v>
      </c>
      <c r="K4" s="867"/>
      <c r="L4" s="872"/>
      <c r="M4" s="849"/>
      <c r="N4" s="849"/>
      <c r="O4" s="849"/>
      <c r="P4" s="849"/>
      <c r="Q4" s="849"/>
      <c r="R4" s="849"/>
      <c r="S4" s="849"/>
      <c r="T4" s="849"/>
      <c r="U4" s="849"/>
      <c r="V4" s="849"/>
      <c r="W4" s="849"/>
      <c r="X4" s="849"/>
      <c r="Y4" s="849"/>
      <c r="Z4" s="849"/>
      <c r="AA4" s="849"/>
      <c r="AB4" s="849"/>
      <c r="AC4" s="849"/>
      <c r="AD4" s="849"/>
      <c r="AE4" s="849"/>
      <c r="AF4" s="849"/>
    </row>
    <row r="5" customFormat="false" ht="23.25" hidden="false" customHeight="true" outlineLevel="0" collapsed="false">
      <c r="A5" s="849"/>
      <c r="B5" s="873" t="s">
        <v>16</v>
      </c>
      <c r="C5" s="933"/>
      <c r="D5" s="918"/>
      <c r="E5" s="945" t="s">
        <v>135</v>
      </c>
      <c r="F5" s="945"/>
      <c r="G5" s="945"/>
      <c r="H5" s="945"/>
      <c r="I5" s="945"/>
      <c r="J5" s="859" t="s">
        <v>17</v>
      </c>
      <c r="K5" s="867"/>
      <c r="L5" s="878"/>
      <c r="M5" s="849"/>
      <c r="N5" s="849"/>
      <c r="O5" s="849"/>
      <c r="P5" s="849"/>
      <c r="Q5" s="849"/>
      <c r="R5" s="849"/>
      <c r="S5" s="849"/>
      <c r="T5" s="849"/>
      <c r="U5" s="849"/>
      <c r="V5" s="849"/>
      <c r="W5" s="849"/>
      <c r="X5" s="849"/>
      <c r="Y5" s="849"/>
      <c r="Z5" s="849"/>
      <c r="AA5" s="849"/>
      <c r="AB5" s="849"/>
      <c r="AC5" s="849"/>
      <c r="AD5" s="849"/>
      <c r="AE5" s="849"/>
      <c r="AF5" s="849"/>
    </row>
    <row r="6" customFormat="false" ht="23.25" hidden="false" customHeight="true" outlineLevel="0" collapsed="false">
      <c r="A6" s="849"/>
      <c r="B6" s="868" t="s">
        <v>18</v>
      </c>
      <c r="C6" s="929"/>
      <c r="D6" s="879"/>
      <c r="E6" s="880" t="n">
        <v>0.01</v>
      </c>
      <c r="F6" s="879" t="n">
        <v>0</v>
      </c>
      <c r="G6" s="879" t="n">
        <v>0.01</v>
      </c>
      <c r="H6" s="879" t="n">
        <v>0.04</v>
      </c>
      <c r="I6" s="881" t="n">
        <v>0.09</v>
      </c>
      <c r="J6" s="882"/>
      <c r="K6" s="867"/>
      <c r="L6" s="849"/>
      <c r="M6" s="849"/>
      <c r="N6" s="849"/>
      <c r="O6" s="849"/>
      <c r="P6" s="849"/>
      <c r="Q6" s="849"/>
      <c r="R6" s="849"/>
      <c r="S6" s="849"/>
      <c r="T6" s="849"/>
      <c r="U6" s="849"/>
      <c r="V6" s="849"/>
      <c r="W6" s="849"/>
      <c r="X6" s="849"/>
      <c r="Y6" s="849"/>
      <c r="Z6" s="849"/>
      <c r="AA6" s="849"/>
      <c r="AB6" s="849"/>
      <c r="AC6" s="849"/>
      <c r="AD6" s="849"/>
      <c r="AE6" s="849"/>
      <c r="AF6" s="849"/>
    </row>
    <row r="7" customFormat="false" ht="23.25" hidden="false" customHeight="true" outlineLevel="0" collapsed="false">
      <c r="A7" s="849"/>
      <c r="B7" s="873" t="s">
        <v>19</v>
      </c>
      <c r="C7" s="883"/>
      <c r="D7" s="884"/>
      <c r="E7" s="885" t="s">
        <v>62</v>
      </c>
      <c r="F7" s="884" t="s">
        <v>352</v>
      </c>
      <c r="G7" s="884" t="s">
        <v>40</v>
      </c>
      <c r="H7" s="884" t="s">
        <v>40</v>
      </c>
      <c r="I7" s="886" t="s">
        <v>62</v>
      </c>
      <c r="J7" s="887" t="s">
        <v>20</v>
      </c>
      <c r="K7" s="867"/>
      <c r="L7" s="888"/>
      <c r="M7" s="849"/>
      <c r="N7" s="849"/>
      <c r="O7" s="849"/>
      <c r="P7" s="849"/>
      <c r="Q7" s="849"/>
      <c r="R7" s="849"/>
      <c r="S7" s="849"/>
      <c r="T7" s="849"/>
      <c r="U7" s="849"/>
      <c r="V7" s="849"/>
      <c r="W7" s="849"/>
      <c r="X7" s="849"/>
      <c r="Y7" s="849"/>
      <c r="Z7" s="849"/>
      <c r="AA7" s="849"/>
      <c r="AB7" s="849"/>
      <c r="AC7" s="849"/>
      <c r="AD7" s="849"/>
      <c r="AE7" s="849"/>
      <c r="AF7" s="849"/>
    </row>
    <row r="8" customFormat="false" ht="23.25" hidden="false" customHeight="true" outlineLevel="0" collapsed="false">
      <c r="A8" s="849"/>
      <c r="B8" s="868" t="s">
        <v>21</v>
      </c>
      <c r="C8" s="889"/>
      <c r="D8" s="890"/>
      <c r="E8" s="891"/>
      <c r="F8" s="890"/>
      <c r="G8" s="890"/>
      <c r="H8" s="890"/>
      <c r="I8" s="892"/>
      <c r="J8" s="893" t="n">
        <f aca="false" t="array" ref="J8:J8">SUM(IF(ISNUMBER(C8:I8), C8:I8, 0))</f>
        <v>0</v>
      </c>
      <c r="K8" s="867"/>
      <c r="L8" s="894" t="s">
        <v>22</v>
      </c>
      <c r="M8" s="849"/>
      <c r="N8" s="849"/>
      <c r="O8" s="849"/>
      <c r="P8" s="849"/>
      <c r="Q8" s="849"/>
      <c r="R8" s="849"/>
      <c r="S8" s="849"/>
      <c r="T8" s="849"/>
      <c r="U8" s="849"/>
      <c r="V8" s="849"/>
      <c r="W8" s="849"/>
      <c r="X8" s="849"/>
      <c r="Y8" s="849"/>
      <c r="Z8" s="849"/>
      <c r="AA8" s="849"/>
      <c r="AB8" s="849"/>
      <c r="AC8" s="849"/>
      <c r="AD8" s="849"/>
      <c r="AE8" s="849"/>
      <c r="AF8" s="849"/>
    </row>
    <row r="9" customFormat="false" ht="23.25" hidden="false" customHeight="true" outlineLevel="0" collapsed="false">
      <c r="A9" s="849"/>
      <c r="B9" s="868" t="s">
        <v>23</v>
      </c>
      <c r="C9" s="889"/>
      <c r="D9" s="890"/>
      <c r="E9" s="891"/>
      <c r="F9" s="890"/>
      <c r="G9" s="890"/>
      <c r="H9" s="890"/>
      <c r="I9" s="892"/>
      <c r="J9" s="893" t="n">
        <f aca="false" t="array" ref="J9:J9">SUM(IF(ISNUMBER(B9:I9), B9:I9, 0))</f>
        <v>0</v>
      </c>
      <c r="K9" s="867"/>
      <c r="L9" s="894" t="s">
        <v>24</v>
      </c>
      <c r="M9" s="849"/>
      <c r="N9" s="849"/>
      <c r="O9" s="849"/>
      <c r="P9" s="849"/>
      <c r="Q9" s="849"/>
      <c r="R9" s="849"/>
      <c r="S9" s="849"/>
      <c r="T9" s="849"/>
      <c r="U9" s="849"/>
      <c r="V9" s="849"/>
      <c r="W9" s="849"/>
      <c r="X9" s="849"/>
      <c r="Y9" s="849"/>
      <c r="Z9" s="849"/>
      <c r="AA9" s="849"/>
      <c r="AB9" s="849"/>
      <c r="AC9" s="849"/>
      <c r="AD9" s="849"/>
      <c r="AE9" s="849"/>
      <c r="AF9" s="849"/>
    </row>
    <row r="10" customFormat="false" ht="23.25" hidden="false" customHeight="true" outlineLevel="0" collapsed="false">
      <c r="A10" s="849"/>
      <c r="B10" s="868" t="s">
        <v>25</v>
      </c>
      <c r="C10" s="889"/>
      <c r="D10" s="890"/>
      <c r="E10" s="891"/>
      <c r="F10" s="890"/>
      <c r="G10" s="890"/>
      <c r="H10" s="890"/>
      <c r="I10" s="895"/>
      <c r="J10" s="896" t="n">
        <f aca="false" t="array" ref="J10:J10">SUM(IF(ISNUMBER(B10:I10), B10:I10, 0))</f>
        <v>0</v>
      </c>
      <c r="K10" s="867"/>
      <c r="L10" s="894" t="s">
        <v>26</v>
      </c>
      <c r="M10" s="849"/>
      <c r="N10" s="849"/>
      <c r="O10" s="849"/>
      <c r="P10" s="849"/>
      <c r="Q10" s="849"/>
      <c r="R10" s="849"/>
      <c r="S10" s="849"/>
      <c r="T10" s="849"/>
      <c r="U10" s="849"/>
      <c r="V10" s="849"/>
      <c r="W10" s="849"/>
      <c r="X10" s="849"/>
      <c r="Y10" s="849"/>
      <c r="Z10" s="849"/>
      <c r="AA10" s="849"/>
      <c r="AB10" s="849"/>
      <c r="AC10" s="849"/>
      <c r="AD10" s="849"/>
      <c r="AE10" s="849"/>
      <c r="AF10" s="849"/>
    </row>
    <row r="11" customFormat="false" ht="23.25" hidden="false" customHeight="true" outlineLevel="0" collapsed="false">
      <c r="A11" s="849"/>
      <c r="B11" s="897" t="s">
        <v>27</v>
      </c>
      <c r="C11" s="898"/>
      <c r="D11" s="899"/>
      <c r="E11" s="900" t="s">
        <v>413</v>
      </c>
      <c r="F11" s="901" t="s">
        <v>414</v>
      </c>
      <c r="G11" s="899" t="s">
        <v>415</v>
      </c>
      <c r="H11" s="902" t="s">
        <v>416</v>
      </c>
      <c r="I11" s="903" t="s">
        <v>417</v>
      </c>
      <c r="J11" s="882"/>
      <c r="K11" s="867"/>
      <c r="L11" s="907"/>
      <c r="M11" s="849"/>
      <c r="N11" s="849"/>
      <c r="O11" s="849"/>
      <c r="P11" s="849"/>
      <c r="Q11" s="849"/>
      <c r="R11" s="849"/>
      <c r="S11" s="849"/>
      <c r="T11" s="849"/>
      <c r="U11" s="849"/>
      <c r="V11" s="849"/>
      <c r="W11" s="849"/>
      <c r="X11" s="849"/>
      <c r="Y11" s="849"/>
      <c r="Z11" s="849"/>
      <c r="AA11" s="849"/>
      <c r="AB11" s="849"/>
      <c r="AC11" s="849"/>
      <c r="AD11" s="849"/>
      <c r="AE11" s="849"/>
      <c r="AF11" s="849"/>
    </row>
    <row r="12" customFormat="false" ht="23.25" hidden="false" customHeight="true" outlineLevel="0" collapsed="false">
      <c r="A12" s="849"/>
      <c r="B12" s="849" t="s">
        <v>4</v>
      </c>
      <c r="C12" s="904" t="n">
        <v>6</v>
      </c>
      <c r="D12" s="904" t="n">
        <v>7</v>
      </c>
      <c r="E12" s="904" t="n">
        <v>8</v>
      </c>
      <c r="F12" s="904" t="n">
        <v>9</v>
      </c>
      <c r="G12" s="904" t="n">
        <v>10</v>
      </c>
      <c r="H12" s="905" t="n">
        <v>11</v>
      </c>
      <c r="I12" s="869" t="n">
        <v>12</v>
      </c>
      <c r="J12" s="906"/>
      <c r="K12" s="867"/>
      <c r="L12" s="907"/>
      <c r="M12" s="849"/>
      <c r="N12" s="849"/>
      <c r="O12" s="849"/>
      <c r="P12" s="849"/>
      <c r="Q12" s="849"/>
      <c r="R12" s="849"/>
      <c r="S12" s="849"/>
      <c r="T12" s="849"/>
      <c r="U12" s="849"/>
      <c r="V12" s="849"/>
      <c r="W12" s="849"/>
      <c r="X12" s="849"/>
      <c r="Y12" s="849"/>
      <c r="Z12" s="849"/>
      <c r="AA12" s="849"/>
      <c r="AB12" s="849"/>
      <c r="AC12" s="849"/>
      <c r="AD12" s="849"/>
      <c r="AE12" s="849"/>
      <c r="AF12" s="849"/>
    </row>
    <row r="13" customFormat="false" ht="23.25" hidden="false" customHeight="true" outlineLevel="0" collapsed="false">
      <c r="A13" s="849"/>
      <c r="B13" s="849"/>
      <c r="C13" s="946" t="s">
        <v>135</v>
      </c>
      <c r="D13" s="946"/>
      <c r="E13" s="946"/>
      <c r="F13" s="946"/>
      <c r="G13" s="946"/>
      <c r="H13" s="946"/>
      <c r="I13" s="877" t="s">
        <v>418</v>
      </c>
      <c r="J13" s="906"/>
      <c r="K13" s="867"/>
      <c r="L13" s="907"/>
      <c r="M13" s="849"/>
      <c r="N13" s="849"/>
      <c r="O13" s="849"/>
      <c r="P13" s="849"/>
      <c r="Q13" s="849"/>
      <c r="R13" s="849"/>
      <c r="S13" s="849"/>
      <c r="T13" s="849"/>
      <c r="U13" s="849"/>
      <c r="V13" s="849"/>
      <c r="W13" s="849"/>
      <c r="X13" s="849"/>
      <c r="Y13" s="849"/>
      <c r="Z13" s="849"/>
      <c r="AA13" s="849"/>
      <c r="AB13" s="849"/>
      <c r="AC13" s="849"/>
      <c r="AD13" s="849"/>
      <c r="AE13" s="849"/>
      <c r="AF13" s="849"/>
    </row>
    <row r="14" customFormat="false" ht="23.25" hidden="false" customHeight="true" outlineLevel="0" collapsed="false">
      <c r="A14" s="849"/>
      <c r="B14" s="849"/>
      <c r="C14" s="929" t="n">
        <v>0.16</v>
      </c>
      <c r="D14" s="879" t="n">
        <v>0.23</v>
      </c>
      <c r="E14" s="879" t="n">
        <v>0.32</v>
      </c>
      <c r="F14" s="879" t="n">
        <v>0.42</v>
      </c>
      <c r="G14" s="879" t="n">
        <v>0.52</v>
      </c>
      <c r="H14" s="879" t="n">
        <v>0.63</v>
      </c>
      <c r="I14" s="881" t="n">
        <v>0.74</v>
      </c>
      <c r="J14" s="867"/>
      <c r="K14" s="867"/>
      <c r="L14" s="907"/>
      <c r="M14" s="849"/>
      <c r="N14" s="849"/>
      <c r="O14" s="849"/>
      <c r="P14" s="849"/>
      <c r="Q14" s="849"/>
      <c r="R14" s="849"/>
      <c r="S14" s="849"/>
      <c r="T14" s="849"/>
      <c r="U14" s="849"/>
      <c r="V14" s="849"/>
      <c r="W14" s="849"/>
      <c r="X14" s="849"/>
      <c r="Y14" s="849"/>
      <c r="Z14" s="849"/>
      <c r="AA14" s="849"/>
      <c r="AB14" s="849"/>
      <c r="AC14" s="849"/>
      <c r="AD14" s="849"/>
      <c r="AE14" s="849"/>
      <c r="AF14" s="849"/>
    </row>
    <row r="15" customFormat="false" ht="23.25" hidden="false" customHeight="true" outlineLevel="0" collapsed="false">
      <c r="A15" s="849"/>
      <c r="B15" s="849"/>
      <c r="C15" s="883" t="s">
        <v>54</v>
      </c>
      <c r="D15" s="884" t="s">
        <v>352</v>
      </c>
      <c r="E15" s="884" t="s">
        <v>54</v>
      </c>
      <c r="F15" s="884" t="s">
        <v>352</v>
      </c>
      <c r="G15" s="884" t="s">
        <v>40</v>
      </c>
      <c r="H15" s="884" t="s">
        <v>54</v>
      </c>
      <c r="I15" s="886" t="s">
        <v>54</v>
      </c>
      <c r="J15" s="887" t="s">
        <v>29</v>
      </c>
      <c r="K15" s="867"/>
      <c r="L15" s="907"/>
      <c r="M15" s="849"/>
      <c r="N15" s="849"/>
      <c r="O15" s="849"/>
      <c r="P15" s="849"/>
      <c r="Q15" s="849"/>
      <c r="R15" s="849"/>
      <c r="S15" s="849"/>
      <c r="T15" s="849"/>
      <c r="U15" s="849"/>
      <c r="V15" s="849"/>
      <c r="W15" s="849"/>
      <c r="X15" s="849"/>
      <c r="Y15" s="849"/>
      <c r="Z15" s="849"/>
      <c r="AA15" s="849"/>
      <c r="AB15" s="849"/>
      <c r="AC15" s="849"/>
      <c r="AD15" s="849"/>
      <c r="AE15" s="849"/>
      <c r="AF15" s="849"/>
    </row>
    <row r="16" customFormat="false" ht="23.25" hidden="false" customHeight="true" outlineLevel="0" collapsed="false">
      <c r="A16" s="849"/>
      <c r="B16" s="849"/>
      <c r="C16" s="889"/>
      <c r="D16" s="890"/>
      <c r="E16" s="890"/>
      <c r="F16" s="890"/>
      <c r="G16" s="890"/>
      <c r="H16" s="890" t="n">
        <v>1.75</v>
      </c>
      <c r="I16" s="892" t="n">
        <v>0</v>
      </c>
      <c r="J16" s="893" t="n">
        <f aca="false" t="array" ref="J16:J16">SUM(IF(ISNUMBER(B16:I16), B16:I16, 0))</f>
        <v>1.75</v>
      </c>
      <c r="K16" s="867"/>
      <c r="L16" s="803" t="s">
        <v>22</v>
      </c>
      <c r="M16" s="849"/>
      <c r="N16" s="849"/>
      <c r="O16" s="849"/>
      <c r="P16" s="849"/>
      <c r="Q16" s="849"/>
      <c r="R16" s="849"/>
      <c r="S16" s="849"/>
      <c r="T16" s="849"/>
      <c r="U16" s="849"/>
      <c r="V16" s="849"/>
      <c r="W16" s="849"/>
      <c r="X16" s="849"/>
      <c r="Y16" s="849"/>
      <c r="Z16" s="849"/>
      <c r="AA16" s="849"/>
      <c r="AB16" s="849"/>
      <c r="AC16" s="849"/>
      <c r="AD16" s="849"/>
      <c r="AE16" s="849"/>
      <c r="AF16" s="849"/>
    </row>
    <row r="17" customFormat="false" ht="23.25" hidden="false" customHeight="true" outlineLevel="0" collapsed="false">
      <c r="A17" s="849"/>
      <c r="B17" s="849"/>
      <c r="C17" s="889"/>
      <c r="D17" s="890"/>
      <c r="E17" s="890"/>
      <c r="F17" s="890"/>
      <c r="G17" s="890"/>
      <c r="H17" s="890" t="n">
        <v>0</v>
      </c>
      <c r="I17" s="892" t="n">
        <v>0</v>
      </c>
      <c r="J17" s="893" t="n">
        <f aca="false" t="array" ref="J17:J17">SUM(IF(ISNUMBER(B17:I17), B17:I17, 0))</f>
        <v>0</v>
      </c>
      <c r="K17" s="867"/>
      <c r="L17" s="803" t="s">
        <v>24</v>
      </c>
      <c r="M17" s="849"/>
      <c r="N17" s="849"/>
      <c r="O17" s="849"/>
      <c r="P17" s="849"/>
      <c r="Q17" s="849"/>
      <c r="R17" s="849"/>
      <c r="S17" s="849"/>
      <c r="T17" s="849"/>
      <c r="U17" s="849"/>
      <c r="V17" s="849"/>
      <c r="W17" s="849"/>
      <c r="X17" s="849"/>
      <c r="Y17" s="849"/>
      <c r="Z17" s="849"/>
      <c r="AA17" s="849"/>
      <c r="AB17" s="849"/>
      <c r="AC17" s="849"/>
      <c r="AD17" s="849"/>
      <c r="AE17" s="849"/>
      <c r="AF17" s="849"/>
    </row>
    <row r="18" customFormat="false" ht="23.25" hidden="false" customHeight="true" outlineLevel="0" collapsed="false">
      <c r="A18" s="849"/>
      <c r="B18" s="849"/>
      <c r="C18" s="889"/>
      <c r="D18" s="890"/>
      <c r="E18" s="890"/>
      <c r="F18" s="890"/>
      <c r="G18" s="890"/>
      <c r="H18" s="890" t="n">
        <v>0</v>
      </c>
      <c r="I18" s="892" t="n">
        <v>0</v>
      </c>
      <c r="J18" s="896" t="n">
        <f aca="false" t="array" ref="J18:J18">SUM(IF(ISNUMBER(B18:I18), B18:I18, 0))</f>
        <v>0</v>
      </c>
      <c r="K18" s="867"/>
      <c r="L18" s="803" t="s">
        <v>26</v>
      </c>
      <c r="M18" s="849"/>
      <c r="N18" s="849"/>
      <c r="O18" s="849"/>
      <c r="P18" s="849"/>
      <c r="Q18" s="849"/>
      <c r="R18" s="849"/>
      <c r="S18" s="849"/>
      <c r="T18" s="849"/>
      <c r="U18" s="849"/>
      <c r="V18" s="849"/>
      <c r="W18" s="849"/>
      <c r="X18" s="849"/>
      <c r="Y18" s="849"/>
      <c r="Z18" s="849"/>
      <c r="AA18" s="849"/>
      <c r="AB18" s="849"/>
      <c r="AC18" s="849"/>
      <c r="AD18" s="849"/>
      <c r="AE18" s="849"/>
      <c r="AF18" s="849"/>
    </row>
    <row r="19" customFormat="false" ht="23.25" hidden="false" customHeight="true" outlineLevel="0" collapsed="false">
      <c r="A19" s="849"/>
      <c r="B19" s="849"/>
      <c r="C19" s="912" t="s">
        <v>419</v>
      </c>
      <c r="D19" s="913" t="s">
        <v>420</v>
      </c>
      <c r="E19" s="899" t="s">
        <v>421</v>
      </c>
      <c r="F19" s="899" t="s">
        <v>422</v>
      </c>
      <c r="G19" s="914" t="s">
        <v>423</v>
      </c>
      <c r="H19" s="915" t="s">
        <v>424</v>
      </c>
      <c r="I19" s="903" t="s">
        <v>425</v>
      </c>
      <c r="J19" s="867"/>
      <c r="K19" s="867"/>
      <c r="L19" s="907"/>
      <c r="M19" s="849"/>
      <c r="N19" s="849"/>
      <c r="O19" s="849"/>
      <c r="P19" s="849"/>
      <c r="Q19" s="849"/>
      <c r="R19" s="849"/>
      <c r="S19" s="849"/>
      <c r="T19" s="849"/>
      <c r="U19" s="849"/>
      <c r="V19" s="849"/>
      <c r="W19" s="849"/>
      <c r="X19" s="849"/>
      <c r="Y19" s="849"/>
      <c r="Z19" s="849"/>
      <c r="AA19" s="849"/>
      <c r="AB19" s="849"/>
      <c r="AC19" s="849"/>
      <c r="AD19" s="849"/>
      <c r="AE19" s="849"/>
      <c r="AF19" s="849"/>
    </row>
    <row r="20" customFormat="false" ht="23.25" hidden="false" customHeight="true" outlineLevel="0" collapsed="false">
      <c r="A20" s="849"/>
      <c r="B20" s="849"/>
      <c r="C20" s="904" t="n">
        <v>13</v>
      </c>
      <c r="D20" s="904" t="n">
        <v>14</v>
      </c>
      <c r="E20" s="904" t="n">
        <v>15</v>
      </c>
      <c r="F20" s="904" t="n">
        <v>16</v>
      </c>
      <c r="G20" s="904" t="n">
        <v>17</v>
      </c>
      <c r="H20" s="905" t="n">
        <v>18</v>
      </c>
      <c r="I20" s="869" t="n">
        <v>19</v>
      </c>
      <c r="J20" s="906"/>
      <c r="K20" s="867"/>
      <c r="L20" s="907"/>
      <c r="M20" s="849"/>
      <c r="N20" s="849"/>
      <c r="O20" s="849"/>
      <c r="P20" s="849"/>
      <c r="Q20" s="849"/>
      <c r="R20" s="849"/>
      <c r="S20" s="849"/>
      <c r="T20" s="849"/>
      <c r="U20" s="849"/>
      <c r="V20" s="849"/>
      <c r="W20" s="849"/>
      <c r="X20" s="849"/>
      <c r="Y20" s="849"/>
      <c r="Z20" s="849"/>
      <c r="AA20" s="849"/>
      <c r="AB20" s="849"/>
      <c r="AC20" s="849"/>
      <c r="AD20" s="849"/>
      <c r="AE20" s="849"/>
      <c r="AF20" s="849"/>
    </row>
    <row r="21" customFormat="false" ht="23.25" hidden="false" customHeight="true" outlineLevel="0" collapsed="false">
      <c r="A21" s="849"/>
      <c r="B21" s="849"/>
      <c r="C21" s="933" t="s">
        <v>426</v>
      </c>
      <c r="D21" s="943"/>
      <c r="E21" s="943"/>
      <c r="F21" s="943"/>
      <c r="G21" s="943"/>
      <c r="H21" s="943"/>
      <c r="I21" s="909"/>
      <c r="J21" s="906"/>
      <c r="K21" s="867"/>
      <c r="L21" s="907"/>
      <c r="M21" s="849"/>
      <c r="N21" s="849"/>
      <c r="O21" s="849"/>
      <c r="P21" s="849"/>
      <c r="Q21" s="849"/>
      <c r="R21" s="849"/>
      <c r="S21" s="849"/>
      <c r="T21" s="849"/>
      <c r="U21" s="849"/>
      <c r="V21" s="849"/>
      <c r="W21" s="849"/>
      <c r="X21" s="849"/>
      <c r="Y21" s="849"/>
      <c r="Z21" s="849"/>
      <c r="AA21" s="849"/>
      <c r="AB21" s="849"/>
      <c r="AC21" s="849"/>
      <c r="AD21" s="849"/>
      <c r="AE21" s="849"/>
      <c r="AF21" s="849"/>
    </row>
    <row r="22" customFormat="false" ht="23.25" hidden="false" customHeight="true" outlineLevel="0" collapsed="false">
      <c r="A22" s="849"/>
      <c r="B22" s="849"/>
      <c r="C22" s="929" t="n">
        <v>0.83</v>
      </c>
      <c r="D22" s="879" t="n">
        <v>0.91</v>
      </c>
      <c r="E22" s="879" t="n">
        <v>0.97</v>
      </c>
      <c r="F22" s="879" t="n">
        <v>1</v>
      </c>
      <c r="G22" s="879" t="n">
        <v>1</v>
      </c>
      <c r="H22" s="879" t="n">
        <v>0.97</v>
      </c>
      <c r="I22" s="881" t="n">
        <v>0.91</v>
      </c>
      <c r="J22" s="867"/>
      <c r="K22" s="867"/>
      <c r="L22" s="907"/>
      <c r="M22" s="849"/>
      <c r="N22" s="849"/>
      <c r="O22" s="849"/>
      <c r="P22" s="849"/>
      <c r="Q22" s="849"/>
      <c r="R22" s="849"/>
      <c r="S22" s="849"/>
      <c r="T22" s="849"/>
      <c r="U22" s="849"/>
      <c r="V22" s="849"/>
      <c r="W22" s="849"/>
      <c r="X22" s="849"/>
      <c r="Y22" s="849"/>
      <c r="Z22" s="849"/>
      <c r="AA22" s="849"/>
      <c r="AB22" s="849"/>
      <c r="AC22" s="849"/>
      <c r="AD22" s="849"/>
      <c r="AE22" s="849"/>
      <c r="AF22" s="849"/>
    </row>
    <row r="23" customFormat="false" ht="23.25" hidden="false" customHeight="true" outlineLevel="0" collapsed="false">
      <c r="A23" s="849"/>
      <c r="B23" s="849"/>
      <c r="C23" s="883" t="s">
        <v>62</v>
      </c>
      <c r="D23" s="910"/>
      <c r="E23" s="910"/>
      <c r="F23" s="910"/>
      <c r="G23" s="910"/>
      <c r="H23" s="910"/>
      <c r="I23" s="944"/>
      <c r="J23" s="836" t="s">
        <v>30</v>
      </c>
      <c r="K23" s="867"/>
      <c r="L23" s="907"/>
      <c r="M23" s="849"/>
      <c r="N23" s="849"/>
      <c r="O23" s="849"/>
      <c r="P23" s="849"/>
      <c r="Q23" s="849"/>
      <c r="R23" s="849"/>
      <c r="S23" s="849"/>
      <c r="T23" s="849"/>
      <c r="U23" s="849"/>
      <c r="V23" s="849"/>
      <c r="W23" s="849"/>
      <c r="X23" s="849"/>
      <c r="Y23" s="849"/>
      <c r="Z23" s="849"/>
      <c r="AA23" s="849"/>
      <c r="AB23" s="849"/>
      <c r="AC23" s="849"/>
      <c r="AD23" s="849"/>
      <c r="AE23" s="849"/>
      <c r="AF23" s="849"/>
    </row>
    <row r="24" customFormat="false" ht="23.25" hidden="false" customHeight="true" outlineLevel="0" collapsed="false">
      <c r="A24" s="849"/>
      <c r="B24" s="849"/>
      <c r="C24" s="889"/>
      <c r="D24" s="921"/>
      <c r="E24" s="890"/>
      <c r="F24" s="890"/>
      <c r="G24" s="890"/>
      <c r="H24" s="922"/>
      <c r="I24" s="923"/>
      <c r="J24" s="924" t="n">
        <f aca="false" t="array" ref="J24:J24">SUM(IF(ISNUMBER(B24:I24), B24:I24, 0))</f>
        <v>0</v>
      </c>
      <c r="K24" s="867"/>
      <c r="L24" s="803" t="s">
        <v>22</v>
      </c>
      <c r="M24" s="849"/>
      <c r="N24" s="849"/>
      <c r="O24" s="849"/>
      <c r="P24" s="849"/>
      <c r="Q24" s="849"/>
      <c r="R24" s="849"/>
      <c r="S24" s="849"/>
      <c r="T24" s="849"/>
      <c r="U24" s="849"/>
      <c r="V24" s="849"/>
      <c r="W24" s="849"/>
      <c r="X24" s="849"/>
      <c r="Y24" s="849"/>
      <c r="Z24" s="849"/>
      <c r="AA24" s="849"/>
      <c r="AB24" s="849"/>
      <c r="AC24" s="849"/>
      <c r="AD24" s="849"/>
      <c r="AE24" s="849"/>
      <c r="AF24" s="849"/>
    </row>
    <row r="25" customFormat="false" ht="23.25" hidden="false" customHeight="true" outlineLevel="0" collapsed="false">
      <c r="A25" s="849"/>
      <c r="B25" s="849"/>
      <c r="C25" s="889"/>
      <c r="D25" s="921"/>
      <c r="E25" s="890"/>
      <c r="F25" s="890"/>
      <c r="G25" s="890"/>
      <c r="H25" s="922"/>
      <c r="I25" s="923"/>
      <c r="J25" s="924" t="n">
        <f aca="false" t="array" ref="J25:J25">SUM(IF(ISNUMBER(B25:I25), B25:I25, 0))</f>
        <v>0</v>
      </c>
      <c r="K25" s="867"/>
      <c r="L25" s="803" t="s">
        <v>24</v>
      </c>
      <c r="M25" s="849"/>
      <c r="N25" s="849"/>
      <c r="O25" s="849"/>
      <c r="P25" s="849"/>
      <c r="Q25" s="849"/>
      <c r="R25" s="849"/>
      <c r="S25" s="849"/>
      <c r="T25" s="849"/>
      <c r="U25" s="849"/>
      <c r="V25" s="849"/>
      <c r="W25" s="849"/>
      <c r="X25" s="849"/>
      <c r="Y25" s="849"/>
      <c r="Z25" s="849"/>
      <c r="AA25" s="849"/>
      <c r="AB25" s="849"/>
      <c r="AC25" s="849"/>
      <c r="AD25" s="849"/>
      <c r="AE25" s="849"/>
      <c r="AF25" s="849"/>
    </row>
    <row r="26" customFormat="false" ht="23.25" hidden="false" customHeight="true" outlineLevel="0" collapsed="false">
      <c r="A26" s="849"/>
      <c r="B26" s="849"/>
      <c r="C26" s="889"/>
      <c r="D26" s="922"/>
      <c r="E26" s="922"/>
      <c r="F26" s="922"/>
      <c r="G26" s="922"/>
      <c r="H26" s="922"/>
      <c r="I26" s="923"/>
      <c r="J26" s="925" t="n">
        <f aca="false" t="array" ref="J26:J26">SUM(IF(ISNUMBER(B26:I26), B26:I26, 0))</f>
        <v>0</v>
      </c>
      <c r="K26" s="867"/>
      <c r="L26" s="803" t="s">
        <v>26</v>
      </c>
      <c r="M26" s="849"/>
      <c r="N26" s="849"/>
      <c r="O26" s="849"/>
      <c r="P26" s="849"/>
      <c r="Q26" s="849"/>
      <c r="R26" s="849"/>
      <c r="S26" s="849"/>
      <c r="T26" s="849"/>
      <c r="U26" s="849"/>
      <c r="V26" s="849"/>
      <c r="W26" s="849"/>
      <c r="X26" s="849"/>
      <c r="Y26" s="849"/>
      <c r="Z26" s="849"/>
      <c r="AA26" s="849"/>
      <c r="AB26" s="849"/>
      <c r="AC26" s="849"/>
      <c r="AD26" s="849"/>
      <c r="AE26" s="849"/>
      <c r="AF26" s="849"/>
    </row>
    <row r="27" customFormat="false" ht="23.25" hidden="false" customHeight="true" outlineLevel="0" collapsed="false">
      <c r="A27" s="849"/>
      <c r="B27" s="849"/>
      <c r="C27" s="926" t="s">
        <v>427</v>
      </c>
      <c r="D27" s="899"/>
      <c r="E27" s="899"/>
      <c r="F27" s="902"/>
      <c r="G27" s="899"/>
      <c r="H27" s="899"/>
      <c r="I27" s="927"/>
      <c r="J27" s="867"/>
      <c r="K27" s="867"/>
      <c r="L27" s="907"/>
      <c r="M27" s="849"/>
      <c r="N27" s="849"/>
      <c r="O27" s="849"/>
      <c r="P27" s="849"/>
      <c r="Q27" s="849"/>
      <c r="R27" s="849"/>
      <c r="S27" s="849"/>
      <c r="T27" s="849"/>
      <c r="U27" s="849"/>
      <c r="V27" s="849"/>
      <c r="W27" s="849"/>
      <c r="X27" s="849"/>
      <c r="Y27" s="849"/>
      <c r="Z27" s="849"/>
      <c r="AA27" s="849"/>
      <c r="AB27" s="849"/>
      <c r="AC27" s="849"/>
      <c r="AD27" s="849"/>
      <c r="AE27" s="849"/>
      <c r="AF27" s="849"/>
    </row>
    <row r="28" customFormat="false" ht="23.25" hidden="false" customHeight="true" outlineLevel="0" collapsed="false">
      <c r="A28" s="849"/>
      <c r="B28" s="849"/>
      <c r="C28" s="904" t="n">
        <v>20</v>
      </c>
      <c r="D28" s="904" t="n">
        <v>21</v>
      </c>
      <c r="E28" s="904" t="n">
        <v>22</v>
      </c>
      <c r="F28" s="904" t="n">
        <v>23</v>
      </c>
      <c r="G28" s="904" t="n">
        <v>24</v>
      </c>
      <c r="H28" s="905" t="n">
        <v>25</v>
      </c>
      <c r="I28" s="904" t="n">
        <v>26</v>
      </c>
      <c r="J28" s="928"/>
      <c r="K28" s="867"/>
      <c r="L28" s="907"/>
      <c r="M28" s="849"/>
      <c r="N28" s="849"/>
      <c r="O28" s="849"/>
      <c r="P28" s="849"/>
      <c r="Q28" s="849"/>
      <c r="R28" s="849"/>
      <c r="S28" s="849"/>
      <c r="T28" s="849"/>
      <c r="U28" s="849"/>
      <c r="V28" s="849"/>
      <c r="W28" s="849"/>
      <c r="X28" s="849"/>
      <c r="Y28" s="849"/>
      <c r="Z28" s="849"/>
      <c r="AA28" s="849"/>
      <c r="AB28" s="849"/>
      <c r="AC28" s="849"/>
      <c r="AD28" s="849"/>
      <c r="AE28" s="849"/>
      <c r="AF28" s="849"/>
    </row>
    <row r="29" customFormat="false" ht="23.25" hidden="false" customHeight="true" outlineLevel="0" collapsed="false">
      <c r="A29" s="849"/>
      <c r="B29" s="849"/>
      <c r="C29" s="874" t="s">
        <v>426</v>
      </c>
      <c r="D29" s="875" t="s">
        <v>62</v>
      </c>
      <c r="E29" s="876" t="s">
        <v>209</v>
      </c>
      <c r="F29" s="875" t="s">
        <v>426</v>
      </c>
      <c r="G29" s="875" t="s">
        <v>418</v>
      </c>
      <c r="H29" s="875" t="s">
        <v>40</v>
      </c>
      <c r="I29" s="877" t="s">
        <v>169</v>
      </c>
      <c r="J29" s="906"/>
      <c r="K29" s="867"/>
      <c r="L29" s="907"/>
      <c r="M29" s="849"/>
      <c r="N29" s="849"/>
      <c r="O29" s="849"/>
      <c r="P29" s="849"/>
      <c r="Q29" s="849"/>
      <c r="R29" s="849"/>
      <c r="S29" s="849"/>
      <c r="T29" s="849"/>
      <c r="U29" s="849"/>
      <c r="V29" s="849"/>
      <c r="W29" s="849"/>
      <c r="X29" s="849"/>
      <c r="Y29" s="849"/>
      <c r="Z29" s="849"/>
      <c r="AA29" s="849"/>
      <c r="AB29" s="849"/>
      <c r="AC29" s="849"/>
      <c r="AD29" s="849"/>
      <c r="AE29" s="849"/>
      <c r="AF29" s="849"/>
    </row>
    <row r="30" customFormat="false" ht="23.25" hidden="false" customHeight="true" outlineLevel="0" collapsed="false">
      <c r="A30" s="849"/>
      <c r="B30" s="849"/>
      <c r="C30" s="929" t="n">
        <v>0.83</v>
      </c>
      <c r="D30" s="879" t="n">
        <v>0.74</v>
      </c>
      <c r="E30" s="879" t="n">
        <v>0.64</v>
      </c>
      <c r="F30" s="879" t="n">
        <v>0.53</v>
      </c>
      <c r="G30" s="879" t="n">
        <v>0.43</v>
      </c>
      <c r="H30" s="879" t="n">
        <v>0.34</v>
      </c>
      <c r="I30" s="881" t="n">
        <v>0.25</v>
      </c>
      <c r="J30" s="867"/>
      <c r="K30" s="867"/>
      <c r="L30" s="907"/>
      <c r="M30" s="849"/>
      <c r="N30" s="849"/>
      <c r="O30" s="849"/>
      <c r="P30" s="849"/>
      <c r="Q30" s="849"/>
      <c r="R30" s="849"/>
      <c r="S30" s="849"/>
      <c r="T30" s="849"/>
      <c r="U30" s="849"/>
      <c r="V30" s="849"/>
      <c r="W30" s="849"/>
      <c r="X30" s="849"/>
      <c r="Y30" s="849"/>
      <c r="Z30" s="849"/>
      <c r="AA30" s="849"/>
      <c r="AB30" s="849"/>
      <c r="AC30" s="849"/>
      <c r="AD30" s="849"/>
      <c r="AE30" s="849"/>
      <c r="AF30" s="849"/>
    </row>
    <row r="31" customFormat="false" ht="23.25" hidden="false" customHeight="true" outlineLevel="0" collapsed="false">
      <c r="A31" s="849"/>
      <c r="B31" s="849"/>
      <c r="C31" s="883" t="s">
        <v>62</v>
      </c>
      <c r="D31" s="884" t="s">
        <v>80</v>
      </c>
      <c r="E31" s="884" t="s">
        <v>352</v>
      </c>
      <c r="F31" s="884" t="s">
        <v>54</v>
      </c>
      <c r="G31" s="884" t="s">
        <v>54</v>
      </c>
      <c r="H31" s="884" t="s">
        <v>80</v>
      </c>
      <c r="I31" s="920" t="s">
        <v>80</v>
      </c>
      <c r="J31" s="836" t="s">
        <v>31</v>
      </c>
      <c r="K31" s="867"/>
      <c r="L31" s="907"/>
      <c r="M31" s="849"/>
      <c r="N31" s="849"/>
      <c r="O31" s="849"/>
      <c r="P31" s="849"/>
      <c r="Q31" s="849"/>
      <c r="R31" s="849"/>
      <c r="S31" s="849"/>
      <c r="T31" s="849"/>
      <c r="U31" s="849"/>
      <c r="V31" s="849"/>
      <c r="W31" s="849"/>
      <c r="X31" s="849"/>
      <c r="Y31" s="849"/>
      <c r="Z31" s="849"/>
      <c r="AA31" s="849"/>
      <c r="AB31" s="849"/>
      <c r="AC31" s="849"/>
      <c r="AD31" s="849"/>
      <c r="AE31" s="849"/>
      <c r="AF31" s="849"/>
    </row>
    <row r="32" customFormat="false" ht="23.25" hidden="false" customHeight="true" outlineLevel="0" collapsed="false">
      <c r="A32" s="849"/>
      <c r="B32" s="849"/>
      <c r="C32" s="889" t="n">
        <v>0.7</v>
      </c>
      <c r="D32" s="890" t="n">
        <v>3.9</v>
      </c>
      <c r="E32" s="890" t="n">
        <v>3.2</v>
      </c>
      <c r="F32" s="947" t="n">
        <v>4</v>
      </c>
      <c r="G32" s="890" t="n">
        <v>4</v>
      </c>
      <c r="H32" s="890" t="n">
        <v>7</v>
      </c>
      <c r="I32" s="930" t="n">
        <v>4</v>
      </c>
      <c r="J32" s="924" t="n">
        <f aca="false" t="array" ref="J32:J32">SUM(IF(ISNUMBER(B32:I32), B32:I32, 0))</f>
        <v>26.8</v>
      </c>
      <c r="K32" s="867"/>
      <c r="L32" s="803" t="s">
        <v>22</v>
      </c>
      <c r="M32" s="849"/>
      <c r="N32" s="849"/>
      <c r="O32" s="849"/>
      <c r="P32" s="849"/>
      <c r="Q32" s="849"/>
      <c r="R32" s="849"/>
      <c r="S32" s="849"/>
      <c r="T32" s="849"/>
      <c r="U32" s="849"/>
      <c r="V32" s="849"/>
      <c r="W32" s="849"/>
      <c r="X32" s="849"/>
      <c r="Y32" s="849"/>
      <c r="Z32" s="849"/>
      <c r="AA32" s="849"/>
      <c r="AB32" s="849"/>
      <c r="AC32" s="849"/>
      <c r="AD32" s="849"/>
      <c r="AE32" s="849"/>
      <c r="AF32" s="849"/>
    </row>
    <row r="33" customFormat="false" ht="23.25" hidden="false" customHeight="true" outlineLevel="0" collapsed="false">
      <c r="A33" s="849"/>
      <c r="B33" s="849"/>
      <c r="C33" s="889"/>
      <c r="D33" s="890"/>
      <c r="E33" s="890"/>
      <c r="F33" s="890"/>
      <c r="G33" s="892"/>
      <c r="H33" s="890"/>
      <c r="I33" s="930"/>
      <c r="J33" s="924" t="n">
        <f aca="false" t="array" ref="J33:J33">SUM(IF(ISNUMBER(B33:I33), B33:I33, 0))</f>
        <v>0</v>
      </c>
      <c r="K33" s="867"/>
      <c r="L33" s="803" t="s">
        <v>24</v>
      </c>
      <c r="M33" s="849"/>
      <c r="N33" s="849"/>
      <c r="O33" s="849"/>
      <c r="P33" s="849"/>
      <c r="Q33" s="849"/>
      <c r="R33" s="849"/>
      <c r="S33" s="849"/>
      <c r="T33" s="849"/>
      <c r="U33" s="849"/>
      <c r="V33" s="849"/>
      <c r="W33" s="849"/>
      <c r="X33" s="849"/>
      <c r="Y33" s="849"/>
      <c r="Z33" s="849"/>
      <c r="AA33" s="849"/>
      <c r="AB33" s="849"/>
      <c r="AC33" s="849"/>
      <c r="AD33" s="849"/>
      <c r="AE33" s="849"/>
      <c r="AF33" s="849"/>
    </row>
    <row r="34" customFormat="false" ht="23.25" hidden="false" customHeight="true" outlineLevel="0" collapsed="false">
      <c r="A34" s="849"/>
      <c r="B34" s="849"/>
      <c r="C34" s="889"/>
      <c r="D34" s="890"/>
      <c r="E34" s="890"/>
      <c r="F34" s="890"/>
      <c r="G34" s="92"/>
      <c r="H34" s="890"/>
      <c r="I34" s="930"/>
      <c r="J34" s="925" t="n">
        <f aca="false" t="array" ref="J34:J34">SUM(IF(ISNUMBER(B34:I34), B34:I34, 0))</f>
        <v>0</v>
      </c>
      <c r="K34" s="867"/>
      <c r="L34" s="803" t="s">
        <v>26</v>
      </c>
      <c r="M34" s="849"/>
      <c r="N34" s="849"/>
      <c r="O34" s="849"/>
      <c r="P34" s="849"/>
      <c r="Q34" s="849"/>
      <c r="R34" s="849"/>
      <c r="S34" s="849"/>
      <c r="T34" s="849"/>
      <c r="U34" s="849"/>
      <c r="V34" s="849"/>
      <c r="W34" s="849"/>
      <c r="X34" s="849"/>
      <c r="Y34" s="849"/>
      <c r="Z34" s="849"/>
      <c r="AA34" s="849"/>
      <c r="AB34" s="849"/>
      <c r="AC34" s="849"/>
      <c r="AD34" s="849"/>
      <c r="AE34" s="849"/>
      <c r="AF34" s="849"/>
    </row>
    <row r="35" customFormat="false" ht="23.25" hidden="false" customHeight="true" outlineLevel="0" collapsed="false">
      <c r="A35" s="849"/>
      <c r="B35" s="849"/>
      <c r="C35" s="912" t="s">
        <v>428</v>
      </c>
      <c r="D35" s="899" t="s">
        <v>429</v>
      </c>
      <c r="E35" s="899" t="s">
        <v>430</v>
      </c>
      <c r="F35" s="899" t="s">
        <v>431</v>
      </c>
      <c r="G35" s="899" t="s">
        <v>432</v>
      </c>
      <c r="H35" s="899" t="s">
        <v>433</v>
      </c>
      <c r="I35" s="932" t="s">
        <v>434</v>
      </c>
      <c r="J35" s="867"/>
      <c r="K35" s="867"/>
      <c r="L35" s="907"/>
      <c r="M35" s="849"/>
      <c r="N35" s="849"/>
      <c r="O35" s="849"/>
      <c r="P35" s="849"/>
      <c r="Q35" s="849"/>
      <c r="R35" s="849"/>
      <c r="S35" s="849"/>
      <c r="T35" s="849"/>
      <c r="U35" s="849"/>
      <c r="V35" s="849"/>
      <c r="W35" s="849"/>
      <c r="X35" s="849"/>
      <c r="Y35" s="849"/>
      <c r="Z35" s="849"/>
      <c r="AA35" s="849"/>
      <c r="AB35" s="849"/>
      <c r="AC35" s="849"/>
      <c r="AD35" s="849"/>
      <c r="AE35" s="849"/>
      <c r="AF35" s="849"/>
    </row>
    <row r="36" customFormat="false" ht="23.25" hidden="false" customHeight="true" outlineLevel="0" collapsed="false">
      <c r="A36" s="849"/>
      <c r="B36" s="849"/>
      <c r="C36" s="904" t="n">
        <v>27</v>
      </c>
      <c r="D36" s="904" t="n">
        <v>28</v>
      </c>
      <c r="E36" s="904" t="n">
        <v>29</v>
      </c>
      <c r="F36" s="904" t="n">
        <v>30</v>
      </c>
      <c r="G36" s="904" t="n">
        <v>31</v>
      </c>
      <c r="H36" s="905"/>
      <c r="I36" s="904"/>
      <c r="J36" s="928"/>
      <c r="K36" s="867"/>
      <c r="L36" s="907"/>
      <c r="M36" s="849"/>
      <c r="N36" s="849"/>
      <c r="O36" s="849"/>
      <c r="P36" s="849"/>
      <c r="Q36" s="849"/>
      <c r="R36" s="849"/>
      <c r="S36" s="849"/>
      <c r="T36" s="849"/>
      <c r="U36" s="849"/>
      <c r="V36" s="849"/>
      <c r="W36" s="849"/>
      <c r="X36" s="849"/>
      <c r="Y36" s="849"/>
      <c r="Z36" s="849"/>
      <c r="AA36" s="849"/>
      <c r="AB36" s="849"/>
      <c r="AC36" s="849"/>
      <c r="AD36" s="849"/>
      <c r="AE36" s="849"/>
      <c r="AF36" s="849"/>
    </row>
    <row r="37" customFormat="false" ht="23.25" hidden="false" customHeight="true" outlineLevel="0" collapsed="false">
      <c r="A37" s="849"/>
      <c r="B37" s="849"/>
      <c r="C37" s="933" t="s">
        <v>359</v>
      </c>
      <c r="D37" s="918" t="s">
        <v>79</v>
      </c>
      <c r="E37" s="918" t="s">
        <v>352</v>
      </c>
      <c r="F37" s="918" t="s">
        <v>79</v>
      </c>
      <c r="G37" s="918" t="s">
        <v>209</v>
      </c>
      <c r="H37" s="918"/>
      <c r="I37" s="877"/>
      <c r="J37" s="906"/>
      <c r="K37" s="867"/>
      <c r="L37" s="907"/>
      <c r="M37" s="849"/>
      <c r="N37" s="849"/>
      <c r="O37" s="849"/>
      <c r="P37" s="849"/>
      <c r="Q37" s="849"/>
      <c r="R37" s="849"/>
      <c r="S37" s="849"/>
      <c r="T37" s="849"/>
      <c r="U37" s="849"/>
      <c r="V37" s="849"/>
      <c r="W37" s="849"/>
      <c r="X37" s="849"/>
      <c r="Y37" s="849"/>
      <c r="Z37" s="849"/>
      <c r="AA37" s="849"/>
      <c r="AB37" s="849"/>
      <c r="AC37" s="849"/>
      <c r="AD37" s="849"/>
      <c r="AE37" s="849"/>
      <c r="AF37" s="849"/>
    </row>
    <row r="38" customFormat="false" ht="23.25" hidden="false" customHeight="true" outlineLevel="0" collapsed="false">
      <c r="A38" s="849"/>
      <c r="B38" s="849"/>
      <c r="C38" s="929" t="n">
        <v>0.17</v>
      </c>
      <c r="D38" s="879" t="n">
        <v>0.11</v>
      </c>
      <c r="E38" s="879" t="n">
        <v>0.06</v>
      </c>
      <c r="F38" s="879" t="n">
        <v>0.02</v>
      </c>
      <c r="G38" s="879" t="n">
        <v>0</v>
      </c>
      <c r="H38" s="879"/>
      <c r="I38" s="881"/>
      <c r="J38" s="867"/>
      <c r="K38" s="867"/>
      <c r="L38" s="907"/>
      <c r="M38" s="849"/>
      <c r="N38" s="849"/>
      <c r="O38" s="849"/>
      <c r="P38" s="849"/>
      <c r="Q38" s="849"/>
      <c r="R38" s="849"/>
      <c r="S38" s="849"/>
      <c r="T38" s="849"/>
      <c r="U38" s="849"/>
      <c r="V38" s="849"/>
      <c r="W38" s="849"/>
      <c r="X38" s="849"/>
      <c r="Y38" s="849"/>
      <c r="Z38" s="849"/>
      <c r="AA38" s="849"/>
      <c r="AB38" s="849"/>
      <c r="AC38" s="849"/>
      <c r="AD38" s="849"/>
      <c r="AE38" s="849"/>
      <c r="AF38" s="849"/>
    </row>
    <row r="39" customFormat="false" ht="23.25" hidden="false" customHeight="true" outlineLevel="0" collapsed="false">
      <c r="A39" s="849"/>
      <c r="B39" s="849"/>
      <c r="C39" s="883" t="s">
        <v>54</v>
      </c>
      <c r="D39" s="884" t="s">
        <v>54</v>
      </c>
      <c r="E39" s="884" t="s">
        <v>80</v>
      </c>
      <c r="F39" s="884" t="s">
        <v>169</v>
      </c>
      <c r="G39" s="884" t="s">
        <v>352</v>
      </c>
      <c r="H39" s="884"/>
      <c r="I39" s="886"/>
      <c r="J39" s="887" t="s">
        <v>32</v>
      </c>
      <c r="K39" s="867"/>
      <c r="L39" s="907"/>
      <c r="M39" s="849"/>
      <c r="N39" s="849"/>
      <c r="O39" s="849"/>
      <c r="P39" s="849"/>
      <c r="Q39" s="849"/>
      <c r="R39" s="849"/>
      <c r="S39" s="849"/>
      <c r="T39" s="849"/>
      <c r="U39" s="849"/>
      <c r="V39" s="849"/>
      <c r="W39" s="849"/>
      <c r="X39" s="849"/>
      <c r="Y39" s="849"/>
      <c r="Z39" s="849"/>
      <c r="AA39" s="849"/>
      <c r="AB39" s="849"/>
      <c r="AC39" s="849"/>
      <c r="AD39" s="849"/>
      <c r="AE39" s="849"/>
      <c r="AF39" s="849"/>
    </row>
    <row r="40" customFormat="false" ht="23.25" hidden="false" customHeight="true" outlineLevel="0" collapsed="false">
      <c r="A40" s="849"/>
      <c r="B40" s="849"/>
      <c r="C40" s="934" t="n">
        <v>3</v>
      </c>
      <c r="D40" s="922" t="s">
        <v>435</v>
      </c>
      <c r="E40" s="922" t="s">
        <v>436</v>
      </c>
      <c r="F40" s="922" t="s">
        <v>225</v>
      </c>
      <c r="G40" s="922" t="n">
        <v>6</v>
      </c>
      <c r="H40" s="922"/>
      <c r="I40" s="935"/>
      <c r="J40" s="893" t="n">
        <f aca="false" t="array" ref="J40:J40">SUM(IF(ISNUMBER(B40:I40), B40:I40, 0))</f>
        <v>9</v>
      </c>
      <c r="K40" s="867"/>
      <c r="L40" s="803" t="s">
        <v>22</v>
      </c>
      <c r="M40" s="849"/>
      <c r="N40" s="849"/>
      <c r="O40" s="849"/>
      <c r="P40" s="849"/>
      <c r="Q40" s="849"/>
      <c r="R40" s="849"/>
      <c r="S40" s="849"/>
      <c r="T40" s="849"/>
      <c r="U40" s="849"/>
      <c r="V40" s="849"/>
      <c r="W40" s="849"/>
      <c r="X40" s="849"/>
      <c r="Y40" s="849"/>
      <c r="Z40" s="849"/>
      <c r="AA40" s="849"/>
      <c r="AB40" s="849"/>
      <c r="AC40" s="849"/>
      <c r="AD40" s="849"/>
      <c r="AE40" s="849"/>
      <c r="AF40" s="849"/>
    </row>
    <row r="41" customFormat="false" ht="23.25" hidden="false" customHeight="true" outlineLevel="0" collapsed="false">
      <c r="A41" s="849"/>
      <c r="B41" s="849"/>
      <c r="C41" s="889"/>
      <c r="D41" s="890"/>
      <c r="E41" s="890"/>
      <c r="F41" s="890"/>
      <c r="G41" s="890"/>
      <c r="H41" s="890"/>
      <c r="I41" s="892"/>
      <c r="J41" s="893" t="n">
        <f aca="false" t="array" ref="J41:J41">SUM(IF(ISNUMBER(B44:I44), B44:I44, 0))</f>
        <v>0</v>
      </c>
      <c r="K41" s="867"/>
      <c r="L41" s="803" t="s">
        <v>24</v>
      </c>
      <c r="M41" s="849"/>
      <c r="N41" s="849"/>
      <c r="O41" s="849"/>
      <c r="P41" s="849"/>
      <c r="Q41" s="849"/>
      <c r="R41" s="849"/>
      <c r="S41" s="849"/>
      <c r="T41" s="849"/>
      <c r="U41" s="849"/>
      <c r="V41" s="849"/>
      <c r="W41" s="849"/>
      <c r="X41" s="849"/>
      <c r="Y41" s="849"/>
      <c r="Z41" s="849"/>
      <c r="AA41" s="849"/>
      <c r="AB41" s="849"/>
      <c r="AC41" s="849"/>
      <c r="AD41" s="849"/>
      <c r="AE41" s="849"/>
      <c r="AF41" s="849"/>
    </row>
    <row r="42" customFormat="false" ht="23.25" hidden="false" customHeight="true" outlineLevel="0" collapsed="false">
      <c r="A42" s="849"/>
      <c r="B42" s="849"/>
      <c r="C42" s="889"/>
      <c r="D42" s="890"/>
      <c r="E42" s="890"/>
      <c r="F42" s="890"/>
      <c r="G42" s="890"/>
      <c r="H42" s="890"/>
      <c r="I42" s="892"/>
      <c r="J42" s="896" t="n">
        <f aca="false" t="array" ref="J42:J42">SUM(IF(ISNUMBER(B42:I42), B42:I42, 0))</f>
        <v>0</v>
      </c>
      <c r="K42" s="867"/>
      <c r="L42" s="803" t="s">
        <v>26</v>
      </c>
      <c r="M42" s="849"/>
      <c r="N42" s="849"/>
      <c r="O42" s="849"/>
      <c r="P42" s="849"/>
      <c r="Q42" s="849"/>
      <c r="R42" s="849"/>
      <c r="S42" s="849"/>
      <c r="T42" s="849"/>
      <c r="U42" s="849"/>
      <c r="V42" s="849"/>
      <c r="W42" s="849"/>
      <c r="X42" s="849"/>
      <c r="Y42" s="849"/>
      <c r="Z42" s="849"/>
      <c r="AA42" s="849"/>
      <c r="AB42" s="849"/>
      <c r="AC42" s="849"/>
      <c r="AD42" s="849"/>
      <c r="AE42" s="849"/>
      <c r="AF42" s="849"/>
    </row>
    <row r="43" customFormat="false" ht="23.25" hidden="false" customHeight="true" outlineLevel="0" collapsed="false">
      <c r="A43" s="849"/>
      <c r="B43" s="849"/>
      <c r="C43" s="936" t="s">
        <v>437</v>
      </c>
      <c r="D43" s="937" t="s">
        <v>438</v>
      </c>
      <c r="E43" s="902" t="s">
        <v>439</v>
      </c>
      <c r="F43" s="899" t="s">
        <v>440</v>
      </c>
      <c r="G43" s="899" t="s">
        <v>441</v>
      </c>
      <c r="H43" s="899"/>
      <c r="I43" s="927"/>
      <c r="J43" s="867"/>
      <c r="K43" s="867"/>
      <c r="L43" s="888"/>
      <c r="M43" s="849"/>
      <c r="N43" s="849"/>
      <c r="O43" s="849"/>
      <c r="P43" s="849"/>
      <c r="Q43" s="849"/>
      <c r="R43" s="849"/>
      <c r="S43" s="849"/>
      <c r="T43" s="849"/>
      <c r="U43" s="849"/>
      <c r="V43" s="849"/>
      <c r="W43" s="849"/>
      <c r="X43" s="849"/>
      <c r="Y43" s="849"/>
      <c r="Z43" s="849"/>
      <c r="AA43" s="849"/>
      <c r="AB43" s="849"/>
      <c r="AC43" s="849"/>
      <c r="AD43" s="849"/>
      <c r="AE43" s="849"/>
      <c r="AF43" s="849"/>
    </row>
    <row r="44" customFormat="false" ht="23.25" hidden="false" customHeight="true" outlineLevel="0" collapsed="false">
      <c r="A44" s="849"/>
      <c r="B44" s="849"/>
      <c r="C44" s="938"/>
      <c r="D44" s="939"/>
      <c r="E44" s="928"/>
      <c r="F44" s="867"/>
      <c r="G44" s="867"/>
      <c r="H44" s="867"/>
      <c r="I44" s="867"/>
      <c r="J44" s="867"/>
      <c r="K44" s="867"/>
      <c r="L44" s="888"/>
      <c r="M44" s="849"/>
      <c r="N44" s="849"/>
      <c r="O44" s="849"/>
      <c r="P44" s="849"/>
      <c r="Q44" s="849"/>
      <c r="R44" s="849"/>
      <c r="S44" s="849"/>
      <c r="T44" s="849"/>
      <c r="U44" s="849"/>
      <c r="V44" s="849"/>
      <c r="W44" s="849"/>
      <c r="X44" s="849"/>
      <c r="Y44" s="849"/>
      <c r="Z44" s="849"/>
      <c r="AA44" s="849"/>
      <c r="AB44" s="849"/>
      <c r="AC44" s="849"/>
      <c r="AD44" s="849"/>
      <c r="AE44" s="849"/>
      <c r="AF44" s="849"/>
    </row>
    <row r="45" customFormat="false" ht="23.25" hidden="false" customHeight="true" outlineLevel="0" collapsed="false">
      <c r="A45" s="849"/>
      <c r="B45" s="849"/>
      <c r="C45" s="883"/>
      <c r="D45" s="920"/>
      <c r="E45" s="906"/>
      <c r="F45" s="867"/>
      <c r="G45" s="867"/>
      <c r="H45" s="867"/>
      <c r="I45" s="867"/>
      <c r="J45" s="867"/>
      <c r="K45" s="867"/>
      <c r="L45" s="849"/>
      <c r="M45" s="849"/>
      <c r="N45" s="849"/>
      <c r="O45" s="849"/>
      <c r="P45" s="849"/>
      <c r="Q45" s="849"/>
      <c r="R45" s="849"/>
      <c r="S45" s="849"/>
      <c r="T45" s="849"/>
      <c r="U45" s="849"/>
      <c r="V45" s="849"/>
      <c r="W45" s="849"/>
      <c r="X45" s="849"/>
      <c r="Y45" s="849"/>
      <c r="Z45" s="849"/>
      <c r="AA45" s="849"/>
      <c r="AB45" s="849"/>
      <c r="AC45" s="849"/>
      <c r="AD45" s="849"/>
      <c r="AE45" s="849"/>
      <c r="AF45" s="849"/>
    </row>
    <row r="46" customFormat="false" ht="23.25" hidden="false" customHeight="true" outlineLevel="0" collapsed="false">
      <c r="A46" s="849"/>
      <c r="B46" s="849"/>
      <c r="C46" s="940"/>
      <c r="D46" s="941"/>
      <c r="E46" s="867"/>
      <c r="F46" s="867"/>
      <c r="G46" s="867"/>
      <c r="H46" s="867"/>
      <c r="I46" s="867"/>
      <c r="J46" s="867"/>
      <c r="K46" s="867"/>
      <c r="L46" s="849"/>
      <c r="M46" s="849"/>
      <c r="N46" s="849"/>
      <c r="O46" s="849"/>
      <c r="P46" s="849"/>
      <c r="Q46" s="849"/>
      <c r="R46" s="849"/>
      <c r="S46" s="849"/>
      <c r="T46" s="849"/>
      <c r="U46" s="849"/>
      <c r="V46" s="849"/>
      <c r="W46" s="849"/>
      <c r="X46" s="849"/>
      <c r="Y46" s="849"/>
      <c r="Z46" s="849"/>
      <c r="AA46" s="849"/>
      <c r="AB46" s="849"/>
      <c r="AC46" s="849"/>
      <c r="AD46" s="849"/>
      <c r="AE46" s="849"/>
      <c r="AF46" s="849"/>
    </row>
    <row r="47" customFormat="false" ht="23.25" hidden="false" customHeight="true" outlineLevel="0" collapsed="false">
      <c r="A47" s="849"/>
      <c r="B47" s="849"/>
      <c r="C47" s="883"/>
      <c r="D47" s="886"/>
      <c r="E47" s="887" t="s">
        <v>33</v>
      </c>
      <c r="F47" s="942"/>
      <c r="G47" s="867"/>
      <c r="H47" s="867"/>
      <c r="I47" s="867"/>
      <c r="J47" s="867"/>
      <c r="K47" s="867"/>
      <c r="L47" s="849"/>
      <c r="M47" s="849"/>
      <c r="N47" s="849"/>
      <c r="O47" s="849"/>
      <c r="P47" s="849"/>
      <c r="Q47" s="849"/>
      <c r="R47" s="849"/>
      <c r="S47" s="849"/>
      <c r="T47" s="849"/>
      <c r="U47" s="849"/>
      <c r="V47" s="849"/>
      <c r="W47" s="849"/>
      <c r="X47" s="849"/>
      <c r="Y47" s="849"/>
      <c r="Z47" s="849"/>
      <c r="AA47" s="849"/>
      <c r="AB47" s="849"/>
      <c r="AC47" s="849"/>
      <c r="AD47" s="849"/>
      <c r="AE47" s="849"/>
      <c r="AF47" s="849"/>
    </row>
    <row r="48" customFormat="false" ht="23.25" hidden="false" customHeight="true" outlineLevel="0" collapsed="false">
      <c r="A48" s="849"/>
      <c r="B48" s="849"/>
      <c r="C48" s="934"/>
      <c r="D48" s="935"/>
      <c r="E48" s="893" t="n">
        <f aca="false" t="array" ref="E48:E48">SUM(IF(ISNUMBER(B48:D48), B48:D48, 0))</f>
        <v>0</v>
      </c>
      <c r="F48" s="803" t="s">
        <v>34</v>
      </c>
      <c r="G48" s="867"/>
      <c r="H48" s="867"/>
      <c r="I48" s="867"/>
      <c r="J48" s="867"/>
      <c r="K48" s="867"/>
      <c r="L48" s="849"/>
      <c r="M48" s="849"/>
      <c r="N48" s="849"/>
      <c r="O48" s="849"/>
      <c r="P48" s="849"/>
      <c r="Q48" s="849"/>
      <c r="R48" s="849"/>
      <c r="S48" s="849"/>
      <c r="T48" s="849"/>
      <c r="U48" s="849"/>
      <c r="V48" s="849"/>
      <c r="W48" s="849"/>
      <c r="X48" s="849"/>
      <c r="Y48" s="849"/>
      <c r="Z48" s="849"/>
      <c r="AA48" s="849"/>
      <c r="AB48" s="849"/>
      <c r="AC48" s="849"/>
      <c r="AD48" s="849"/>
      <c r="AE48" s="849"/>
      <c r="AF48" s="849"/>
    </row>
    <row r="49" customFormat="false" ht="23.25" hidden="false" customHeight="true" outlineLevel="0" collapsed="false">
      <c r="A49" s="849"/>
      <c r="B49" s="849"/>
      <c r="C49" s="889"/>
      <c r="D49" s="892"/>
      <c r="E49" s="893" t="n">
        <f aca="false" t="array" ref="E49:E49">SUM(IF(ISNUMBER(B49:D49), B49:D49, 0))</f>
        <v>0</v>
      </c>
      <c r="F49" s="803" t="s">
        <v>35</v>
      </c>
      <c r="G49" s="867"/>
      <c r="H49" s="867"/>
      <c r="I49" s="867"/>
      <c r="J49" s="867"/>
      <c r="K49" s="867"/>
      <c r="L49" s="849"/>
      <c r="M49" s="849"/>
      <c r="N49" s="849"/>
      <c r="O49" s="849"/>
      <c r="P49" s="849"/>
      <c r="Q49" s="849"/>
      <c r="R49" s="849"/>
      <c r="S49" s="849"/>
      <c r="T49" s="849"/>
      <c r="U49" s="849"/>
      <c r="V49" s="849"/>
      <c r="W49" s="849"/>
      <c r="X49" s="849"/>
      <c r="Y49" s="849"/>
      <c r="Z49" s="849"/>
      <c r="AA49" s="849"/>
      <c r="AB49" s="849"/>
      <c r="AC49" s="849"/>
      <c r="AD49" s="849"/>
      <c r="AE49" s="849"/>
      <c r="AF49" s="849"/>
    </row>
    <row r="50" customFormat="false" ht="23.25" hidden="false" customHeight="true" outlineLevel="0" collapsed="false">
      <c r="A50" s="849"/>
      <c r="B50" s="849"/>
      <c r="C50" s="889"/>
      <c r="D50" s="892"/>
      <c r="E50" s="896" t="n">
        <f aca="false" t="array" ref="E50:E50">SUM(IF(ISNUMBER(B50:D50), B50:D50, 0))</f>
        <v>0</v>
      </c>
      <c r="F50" s="803" t="s">
        <v>36</v>
      </c>
      <c r="G50" s="867"/>
      <c r="H50" s="867"/>
      <c r="I50" s="867"/>
      <c r="J50" s="867"/>
      <c r="K50" s="867"/>
      <c r="L50" s="849"/>
      <c r="M50" s="849"/>
      <c r="N50" s="849"/>
      <c r="O50" s="849"/>
      <c r="P50" s="849"/>
      <c r="Q50" s="849"/>
      <c r="R50" s="849"/>
      <c r="S50" s="849"/>
      <c r="T50" s="849"/>
      <c r="U50" s="849"/>
      <c r="V50" s="849"/>
      <c r="W50" s="849"/>
      <c r="X50" s="849"/>
      <c r="Y50" s="849"/>
      <c r="Z50" s="849"/>
      <c r="AA50" s="849"/>
      <c r="AB50" s="849"/>
      <c r="AC50" s="849"/>
      <c r="AD50" s="849"/>
      <c r="AE50" s="849"/>
      <c r="AF50" s="849"/>
    </row>
    <row r="51" customFormat="false" ht="23.25" hidden="false" customHeight="true" outlineLevel="0" collapsed="false">
      <c r="A51" s="849"/>
      <c r="B51" s="849"/>
      <c r="C51" s="912"/>
      <c r="D51" s="927"/>
      <c r="E51" s="867"/>
      <c r="F51" s="849"/>
      <c r="G51" s="867"/>
      <c r="H51" s="867"/>
      <c r="I51" s="867"/>
      <c r="J51" s="867"/>
      <c r="K51" s="867"/>
      <c r="L51" s="849"/>
      <c r="M51" s="849"/>
      <c r="N51" s="849"/>
      <c r="O51" s="849"/>
      <c r="P51" s="849"/>
      <c r="Q51" s="849"/>
      <c r="R51" s="849"/>
      <c r="S51" s="849"/>
      <c r="T51" s="849"/>
      <c r="U51" s="849"/>
      <c r="V51" s="849"/>
      <c r="W51" s="849"/>
      <c r="X51" s="849"/>
      <c r="Y51" s="849"/>
      <c r="Z51" s="849"/>
      <c r="AA51" s="849"/>
      <c r="AB51" s="849"/>
      <c r="AC51" s="849"/>
      <c r="AD51" s="849"/>
      <c r="AE51" s="849"/>
      <c r="AF51" s="849"/>
    </row>
    <row r="52" customFormat="false" ht="23.25" hidden="false" customHeight="true" outlineLevel="0" collapsed="false">
      <c r="A52" s="849"/>
      <c r="B52" s="849"/>
      <c r="C52" s="867"/>
      <c r="D52" s="867"/>
      <c r="E52" s="867"/>
      <c r="F52" s="867"/>
      <c r="G52" s="867"/>
      <c r="H52" s="867"/>
      <c r="I52" s="867"/>
      <c r="J52" s="867"/>
      <c r="K52" s="867"/>
      <c r="L52" s="849"/>
      <c r="M52" s="849"/>
      <c r="N52" s="849"/>
      <c r="O52" s="849"/>
      <c r="P52" s="849"/>
      <c r="Q52" s="849"/>
      <c r="R52" s="849"/>
      <c r="S52" s="849"/>
      <c r="T52" s="849"/>
      <c r="U52" s="849"/>
      <c r="V52" s="849"/>
      <c r="W52" s="849"/>
      <c r="X52" s="849"/>
      <c r="Y52" s="849"/>
      <c r="Z52" s="849"/>
      <c r="AA52" s="849"/>
      <c r="AB52" s="849"/>
      <c r="AC52" s="849"/>
      <c r="AD52" s="849"/>
      <c r="AE52" s="849"/>
      <c r="AF52" s="849"/>
    </row>
    <row r="53" customFormat="false" ht="22.5" hidden="false" customHeight="true" outlineLevel="0" collapsed="false">
      <c r="A53" s="849"/>
      <c r="B53" s="849"/>
      <c r="C53" s="849"/>
      <c r="D53" s="849"/>
      <c r="E53" s="849"/>
      <c r="F53" s="849"/>
      <c r="G53" s="849"/>
      <c r="H53" s="849"/>
      <c r="I53" s="849"/>
      <c r="J53" s="849"/>
      <c r="K53" s="849"/>
      <c r="L53" s="849"/>
      <c r="M53" s="849"/>
      <c r="N53" s="849"/>
      <c r="O53" s="849"/>
      <c r="P53" s="849"/>
      <c r="Q53" s="849"/>
      <c r="R53" s="849"/>
      <c r="S53" s="849"/>
      <c r="T53" s="849"/>
      <c r="U53" s="849"/>
      <c r="V53" s="849"/>
      <c r="W53" s="849"/>
      <c r="X53" s="849"/>
      <c r="Y53" s="849"/>
      <c r="Z53" s="849"/>
      <c r="AA53" s="849"/>
      <c r="AB53" s="849"/>
      <c r="AC53" s="849"/>
      <c r="AD53" s="849"/>
      <c r="AE53" s="849"/>
      <c r="AF53" s="849"/>
    </row>
    <row r="54" customFormat="false" ht="16.5" hidden="false" customHeight="false" outlineLevel="0" collapsed="false">
      <c r="A54" s="849"/>
      <c r="B54" s="849"/>
      <c r="C54" s="849"/>
      <c r="D54" s="849"/>
      <c r="E54" s="849"/>
      <c r="F54" s="849"/>
      <c r="G54" s="849"/>
      <c r="H54" s="849"/>
      <c r="I54" s="849"/>
      <c r="J54" s="849"/>
      <c r="K54" s="849"/>
      <c r="L54" s="849"/>
      <c r="M54" s="849"/>
      <c r="N54" s="849"/>
      <c r="O54" s="849"/>
      <c r="P54" s="849"/>
      <c r="Q54" s="849"/>
      <c r="R54" s="849"/>
      <c r="S54" s="849"/>
      <c r="T54" s="849"/>
      <c r="U54" s="849"/>
      <c r="V54" s="849"/>
      <c r="W54" s="849"/>
      <c r="X54" s="849"/>
      <c r="Y54" s="849"/>
      <c r="Z54" s="849"/>
      <c r="AA54" s="849"/>
      <c r="AB54" s="849"/>
      <c r="AC54" s="849"/>
      <c r="AD54" s="849"/>
      <c r="AE54" s="849"/>
      <c r="AF54" s="849"/>
    </row>
    <row r="55" customFormat="false" ht="16.5" hidden="false" customHeight="false" outlineLevel="0" collapsed="false">
      <c r="A55" s="849"/>
      <c r="B55" s="849"/>
      <c r="C55" s="849"/>
      <c r="D55" s="849"/>
      <c r="E55" s="849"/>
      <c r="F55" s="849"/>
      <c r="G55" s="849"/>
      <c r="H55" s="849"/>
      <c r="I55" s="849"/>
      <c r="J55" s="849"/>
      <c r="K55" s="849"/>
      <c r="L55" s="849"/>
      <c r="M55" s="849"/>
      <c r="N55" s="849"/>
      <c r="O55" s="849"/>
      <c r="P55" s="849"/>
      <c r="Q55" s="849"/>
      <c r="R55" s="849"/>
      <c r="S55" s="849"/>
      <c r="T55" s="849"/>
      <c r="U55" s="849"/>
      <c r="V55" s="849"/>
      <c r="W55" s="849"/>
      <c r="X55" s="849"/>
      <c r="Y55" s="849"/>
      <c r="Z55" s="849"/>
      <c r="AA55" s="849"/>
      <c r="AB55" s="849"/>
      <c r="AC55" s="849"/>
      <c r="AD55" s="849"/>
      <c r="AE55" s="849"/>
      <c r="AF55" s="849"/>
    </row>
    <row r="56" customFormat="false" ht="16.5" hidden="false" customHeight="false" outlineLevel="0" collapsed="false">
      <c r="A56" s="849"/>
      <c r="B56" s="849"/>
      <c r="C56" s="849"/>
      <c r="D56" s="849"/>
      <c r="E56" s="849"/>
      <c r="F56" s="849"/>
      <c r="G56" s="849"/>
      <c r="H56" s="849"/>
      <c r="I56" s="849"/>
      <c r="J56" s="849"/>
      <c r="K56" s="849"/>
      <c r="L56" s="849"/>
      <c r="M56" s="849"/>
      <c r="N56" s="849"/>
      <c r="O56" s="849"/>
      <c r="P56" s="849"/>
      <c r="Q56" s="849"/>
      <c r="R56" s="849"/>
      <c r="S56" s="849"/>
      <c r="T56" s="849"/>
      <c r="U56" s="849"/>
      <c r="V56" s="849"/>
      <c r="W56" s="849"/>
      <c r="X56" s="849"/>
      <c r="Y56" s="849"/>
      <c r="Z56" s="849"/>
      <c r="AA56" s="849"/>
      <c r="AB56" s="849"/>
      <c r="AC56" s="849"/>
      <c r="AD56" s="849"/>
      <c r="AE56" s="849"/>
      <c r="AF56" s="849"/>
    </row>
    <row r="57" customFormat="false" ht="16.5" hidden="false" customHeight="false" outlineLevel="0" collapsed="false">
      <c r="A57" s="849"/>
      <c r="B57" s="849"/>
      <c r="C57" s="849"/>
      <c r="D57" s="849"/>
      <c r="E57" s="849"/>
      <c r="F57" s="849"/>
      <c r="G57" s="849"/>
      <c r="H57" s="849"/>
      <c r="I57" s="849"/>
      <c r="J57" s="849"/>
      <c r="K57" s="849"/>
      <c r="L57" s="849"/>
      <c r="M57" s="849"/>
      <c r="N57" s="849"/>
      <c r="O57" s="849"/>
      <c r="P57" s="849"/>
      <c r="Q57" s="849"/>
      <c r="R57" s="849"/>
      <c r="S57" s="849"/>
      <c r="T57" s="849"/>
      <c r="U57" s="849"/>
      <c r="V57" s="849"/>
      <c r="W57" s="849"/>
      <c r="X57" s="849"/>
      <c r="Y57" s="849"/>
      <c r="Z57" s="849"/>
      <c r="AA57" s="849"/>
      <c r="AB57" s="849"/>
      <c r="AC57" s="849"/>
      <c r="AD57" s="849"/>
      <c r="AE57" s="849"/>
      <c r="AF57" s="849"/>
    </row>
    <row r="58" customFormat="false" ht="16.5" hidden="false" customHeight="false" outlineLevel="0" collapsed="false">
      <c r="A58" s="849"/>
      <c r="B58" s="849"/>
      <c r="C58" s="849"/>
      <c r="D58" s="849"/>
      <c r="E58" s="849"/>
      <c r="F58" s="849"/>
      <c r="G58" s="849"/>
      <c r="H58" s="849"/>
      <c r="I58" s="849"/>
      <c r="J58" s="849"/>
      <c r="K58" s="849"/>
      <c r="L58" s="849"/>
      <c r="M58" s="849"/>
      <c r="N58" s="849"/>
      <c r="O58" s="849"/>
      <c r="P58" s="849"/>
      <c r="Q58" s="849"/>
      <c r="R58" s="849"/>
      <c r="S58" s="849"/>
      <c r="T58" s="849"/>
      <c r="U58" s="849"/>
      <c r="V58" s="849"/>
      <c r="W58" s="849"/>
      <c r="X58" s="849"/>
      <c r="Y58" s="849"/>
      <c r="Z58" s="849"/>
      <c r="AA58" s="849"/>
      <c r="AB58" s="849"/>
      <c r="AC58" s="849"/>
      <c r="AD58" s="849"/>
      <c r="AE58" s="849"/>
      <c r="AF58" s="849"/>
    </row>
    <row r="59" customFormat="false" ht="16.5" hidden="false" customHeight="false" outlineLevel="0" collapsed="false">
      <c r="A59" s="849"/>
      <c r="B59" s="849"/>
      <c r="C59" s="849"/>
      <c r="D59" s="849"/>
      <c r="E59" s="849"/>
      <c r="F59" s="849"/>
      <c r="G59" s="849"/>
      <c r="H59" s="849"/>
      <c r="I59" s="849"/>
      <c r="J59" s="849"/>
      <c r="K59" s="849"/>
      <c r="L59" s="849"/>
      <c r="M59" s="849"/>
      <c r="N59" s="849"/>
      <c r="O59" s="849"/>
      <c r="P59" s="849"/>
      <c r="Q59" s="849"/>
      <c r="R59" s="849"/>
      <c r="S59" s="849"/>
      <c r="T59" s="849"/>
      <c r="U59" s="849"/>
      <c r="V59" s="849"/>
      <c r="W59" s="849"/>
      <c r="X59" s="849"/>
      <c r="Y59" s="849"/>
      <c r="Z59" s="849"/>
      <c r="AA59" s="849"/>
      <c r="AB59" s="849"/>
      <c r="AC59" s="849"/>
      <c r="AD59" s="849"/>
      <c r="AE59" s="849"/>
      <c r="AF59" s="849"/>
    </row>
    <row r="60" customFormat="false" ht="16.5" hidden="false" customHeight="false" outlineLevel="0" collapsed="false">
      <c r="A60" s="849"/>
      <c r="B60" s="849"/>
      <c r="C60" s="849"/>
      <c r="D60" s="849"/>
      <c r="E60" s="849"/>
      <c r="F60" s="849"/>
      <c r="G60" s="849"/>
      <c r="H60" s="849"/>
      <c r="I60" s="849"/>
      <c r="J60" s="849"/>
      <c r="K60" s="849"/>
      <c r="L60" s="849"/>
      <c r="M60" s="849"/>
      <c r="N60" s="849"/>
      <c r="O60" s="849"/>
      <c r="P60" s="849"/>
      <c r="Q60" s="849"/>
      <c r="R60" s="849"/>
      <c r="S60" s="849"/>
      <c r="T60" s="849"/>
      <c r="U60" s="849"/>
      <c r="V60" s="849"/>
      <c r="W60" s="849"/>
      <c r="X60" s="849"/>
      <c r="Y60" s="849"/>
      <c r="Z60" s="849"/>
      <c r="AA60" s="849"/>
      <c r="AB60" s="849"/>
      <c r="AC60" s="849"/>
      <c r="AD60" s="849"/>
      <c r="AE60" s="849"/>
      <c r="AF60" s="849"/>
    </row>
    <row r="61" customFormat="false" ht="16.5" hidden="false" customHeight="false" outlineLevel="0" collapsed="false">
      <c r="A61" s="849"/>
      <c r="B61" s="849"/>
      <c r="C61" s="849"/>
      <c r="D61" s="849"/>
      <c r="E61" s="849"/>
      <c r="F61" s="849"/>
      <c r="G61" s="849"/>
      <c r="H61" s="849"/>
      <c r="I61" s="849"/>
      <c r="J61" s="849"/>
      <c r="K61" s="849"/>
      <c r="L61" s="849"/>
      <c r="M61" s="849"/>
      <c r="N61" s="849"/>
      <c r="O61" s="849"/>
      <c r="P61" s="849"/>
      <c r="Q61" s="849"/>
      <c r="R61" s="849"/>
      <c r="S61" s="849"/>
      <c r="T61" s="849"/>
      <c r="U61" s="849"/>
      <c r="V61" s="849"/>
      <c r="W61" s="849"/>
      <c r="X61" s="849"/>
      <c r="Y61" s="849"/>
      <c r="Z61" s="849"/>
      <c r="AA61" s="849"/>
      <c r="AB61" s="849"/>
      <c r="AC61" s="849"/>
      <c r="AD61" s="849"/>
      <c r="AE61" s="849"/>
      <c r="AF61" s="849"/>
    </row>
    <row r="62" customFormat="false" ht="16.5" hidden="false" customHeight="false" outlineLevel="0" collapsed="false">
      <c r="A62" s="849"/>
      <c r="B62" s="849"/>
      <c r="C62" s="849"/>
      <c r="D62" s="849"/>
      <c r="E62" s="849"/>
      <c r="F62" s="849"/>
      <c r="G62" s="849"/>
      <c r="H62" s="849"/>
      <c r="I62" s="849"/>
      <c r="J62" s="849"/>
      <c r="K62" s="849"/>
      <c r="L62" s="849"/>
      <c r="M62" s="849"/>
      <c r="N62" s="849"/>
      <c r="O62" s="849"/>
      <c r="P62" s="849"/>
      <c r="Q62" s="849"/>
      <c r="R62" s="849"/>
      <c r="S62" s="849"/>
      <c r="T62" s="849"/>
      <c r="U62" s="849"/>
      <c r="V62" s="849"/>
      <c r="W62" s="849"/>
      <c r="X62" s="849"/>
      <c r="Y62" s="849"/>
      <c r="Z62" s="849"/>
      <c r="AA62" s="849"/>
      <c r="AB62" s="849"/>
      <c r="AC62" s="849"/>
      <c r="AD62" s="849"/>
      <c r="AE62" s="849"/>
      <c r="AF62" s="849"/>
    </row>
    <row r="63" customFormat="false" ht="16.5" hidden="false" customHeight="false" outlineLevel="0" collapsed="false">
      <c r="A63" s="849"/>
      <c r="B63" s="849"/>
      <c r="C63" s="849"/>
      <c r="D63" s="849"/>
      <c r="E63" s="849"/>
      <c r="F63" s="849"/>
      <c r="G63" s="849"/>
      <c r="H63" s="849"/>
      <c r="I63" s="849"/>
      <c r="J63" s="849"/>
      <c r="K63" s="849"/>
      <c r="L63" s="849"/>
      <c r="M63" s="849"/>
      <c r="N63" s="849"/>
      <c r="O63" s="849"/>
      <c r="P63" s="849"/>
      <c r="Q63" s="849"/>
      <c r="R63" s="849"/>
      <c r="S63" s="849"/>
      <c r="T63" s="849"/>
      <c r="U63" s="849"/>
      <c r="V63" s="849"/>
      <c r="W63" s="849"/>
      <c r="X63" s="849"/>
      <c r="Y63" s="849"/>
      <c r="Z63" s="849"/>
      <c r="AA63" s="849"/>
      <c r="AB63" s="849"/>
      <c r="AC63" s="849"/>
      <c r="AD63" s="849"/>
      <c r="AE63" s="849"/>
      <c r="AF63" s="849"/>
    </row>
    <row r="64" customFormat="false" ht="16.5" hidden="false" customHeight="false" outlineLevel="0" collapsed="false">
      <c r="A64" s="849"/>
      <c r="B64" s="849"/>
      <c r="C64" s="849"/>
      <c r="D64" s="849"/>
      <c r="E64" s="849"/>
      <c r="F64" s="849"/>
      <c r="G64" s="849"/>
      <c r="H64" s="849"/>
      <c r="I64" s="849"/>
      <c r="J64" s="849"/>
      <c r="K64" s="849"/>
      <c r="L64" s="849"/>
      <c r="M64" s="849"/>
      <c r="N64" s="849"/>
      <c r="O64" s="849"/>
      <c r="P64" s="849"/>
      <c r="Q64" s="849"/>
      <c r="R64" s="849"/>
      <c r="S64" s="849"/>
      <c r="T64" s="849"/>
      <c r="U64" s="849"/>
      <c r="V64" s="849"/>
      <c r="W64" s="849"/>
      <c r="X64" s="849"/>
      <c r="Y64" s="849"/>
      <c r="Z64" s="849"/>
      <c r="AA64" s="849"/>
      <c r="AB64" s="849"/>
      <c r="AC64" s="849"/>
      <c r="AD64" s="849"/>
      <c r="AE64" s="849"/>
      <c r="AF64" s="849"/>
    </row>
    <row r="65" customFormat="false" ht="16.5" hidden="false" customHeight="false" outlineLevel="0" collapsed="false">
      <c r="A65" s="849"/>
      <c r="B65" s="849"/>
      <c r="C65" s="849"/>
      <c r="D65" s="849"/>
      <c r="E65" s="849"/>
      <c r="F65" s="849"/>
      <c r="G65" s="849"/>
      <c r="H65" s="849"/>
      <c r="I65" s="849"/>
      <c r="J65" s="849"/>
      <c r="K65" s="849"/>
      <c r="L65" s="849"/>
      <c r="M65" s="849"/>
      <c r="N65" s="849"/>
      <c r="O65" s="849"/>
      <c r="P65" s="849"/>
      <c r="Q65" s="849"/>
      <c r="R65" s="849"/>
      <c r="S65" s="849"/>
      <c r="T65" s="849"/>
      <c r="U65" s="849"/>
      <c r="V65" s="849"/>
      <c r="W65" s="849"/>
      <c r="X65" s="849"/>
      <c r="Y65" s="849"/>
      <c r="Z65" s="849"/>
      <c r="AA65" s="849"/>
      <c r="AB65" s="849"/>
      <c r="AC65" s="849"/>
      <c r="AD65" s="849"/>
      <c r="AE65" s="849"/>
      <c r="AF65" s="849"/>
    </row>
    <row r="66" customFormat="false" ht="16.5" hidden="false" customHeight="false" outlineLevel="0" collapsed="false">
      <c r="A66" s="849"/>
      <c r="B66" s="849"/>
      <c r="C66" s="849"/>
      <c r="D66" s="849"/>
      <c r="E66" s="849"/>
      <c r="F66" s="849"/>
      <c r="G66" s="849"/>
      <c r="H66" s="849"/>
      <c r="I66" s="849"/>
      <c r="J66" s="849"/>
      <c r="K66" s="849"/>
      <c r="L66" s="849"/>
      <c r="M66" s="849"/>
      <c r="N66" s="849"/>
      <c r="O66" s="849"/>
      <c r="P66" s="849"/>
      <c r="Q66" s="849"/>
      <c r="R66" s="849"/>
      <c r="S66" s="849"/>
      <c r="T66" s="849"/>
      <c r="U66" s="849"/>
      <c r="V66" s="849"/>
      <c r="W66" s="849"/>
      <c r="X66" s="849"/>
      <c r="Y66" s="849"/>
      <c r="Z66" s="849"/>
      <c r="AA66" s="849"/>
      <c r="AB66" s="849"/>
      <c r="AC66" s="849"/>
      <c r="AD66" s="849"/>
      <c r="AE66" s="849"/>
      <c r="AF66" s="849"/>
    </row>
    <row r="67" customFormat="false" ht="16.5" hidden="false" customHeight="false" outlineLevel="0" collapsed="false">
      <c r="A67" s="849"/>
      <c r="B67" s="849"/>
      <c r="C67" s="849"/>
      <c r="D67" s="849"/>
      <c r="E67" s="849"/>
      <c r="F67" s="849"/>
      <c r="G67" s="849"/>
      <c r="H67" s="849"/>
      <c r="I67" s="849"/>
      <c r="J67" s="849"/>
      <c r="K67" s="849"/>
      <c r="L67" s="849"/>
      <c r="M67" s="849"/>
      <c r="N67" s="849"/>
      <c r="O67" s="849"/>
      <c r="P67" s="849"/>
      <c r="Q67" s="849"/>
      <c r="R67" s="849"/>
      <c r="S67" s="849"/>
      <c r="T67" s="849"/>
      <c r="U67" s="849"/>
      <c r="V67" s="849"/>
      <c r="W67" s="849"/>
      <c r="X67" s="849"/>
      <c r="Y67" s="849"/>
      <c r="Z67" s="849"/>
      <c r="AA67" s="849"/>
      <c r="AB67" s="849"/>
      <c r="AC67" s="849"/>
      <c r="AD67" s="849"/>
      <c r="AE67" s="849"/>
      <c r="AF67" s="849"/>
    </row>
    <row r="68" customFormat="false" ht="16.5" hidden="false" customHeight="false" outlineLevel="0" collapsed="false">
      <c r="A68" s="849"/>
      <c r="B68" s="849"/>
      <c r="C68" s="849"/>
      <c r="D68" s="849"/>
      <c r="E68" s="849"/>
      <c r="F68" s="849"/>
      <c r="G68" s="849"/>
      <c r="H68" s="849"/>
      <c r="I68" s="849"/>
      <c r="J68" s="849"/>
      <c r="K68" s="849"/>
      <c r="L68" s="849"/>
      <c r="M68" s="849"/>
      <c r="N68" s="849"/>
      <c r="O68" s="849"/>
      <c r="P68" s="849"/>
      <c r="Q68" s="849"/>
      <c r="R68" s="849"/>
      <c r="S68" s="849"/>
      <c r="T68" s="849"/>
      <c r="U68" s="849"/>
      <c r="V68" s="849"/>
      <c r="W68" s="849"/>
      <c r="X68" s="849"/>
      <c r="Y68" s="849"/>
      <c r="Z68" s="849"/>
      <c r="AA68" s="849"/>
      <c r="AB68" s="849"/>
      <c r="AC68" s="849"/>
      <c r="AD68" s="849"/>
      <c r="AE68" s="849"/>
      <c r="AF68" s="849"/>
    </row>
    <row r="69" customFormat="false" ht="16.5" hidden="false" customHeight="false" outlineLevel="0" collapsed="false">
      <c r="A69" s="849"/>
      <c r="B69" s="849"/>
      <c r="C69" s="849"/>
      <c r="D69" s="849"/>
      <c r="E69" s="849"/>
      <c r="F69" s="849"/>
      <c r="G69" s="849"/>
      <c r="H69" s="849"/>
      <c r="I69" s="849"/>
      <c r="J69" s="849"/>
      <c r="K69" s="849"/>
      <c r="L69" s="849"/>
      <c r="M69" s="849"/>
      <c r="N69" s="849"/>
      <c r="O69" s="849"/>
      <c r="P69" s="849"/>
      <c r="Q69" s="849"/>
      <c r="R69" s="849"/>
      <c r="S69" s="849"/>
      <c r="T69" s="849"/>
      <c r="U69" s="849"/>
      <c r="V69" s="849"/>
      <c r="W69" s="849"/>
      <c r="X69" s="849"/>
      <c r="Y69" s="849"/>
      <c r="Z69" s="849"/>
      <c r="AA69" s="849"/>
      <c r="AB69" s="849"/>
      <c r="AC69" s="849"/>
      <c r="AD69" s="849"/>
      <c r="AE69" s="849"/>
      <c r="AF69" s="849"/>
    </row>
    <row r="70" customFormat="false" ht="16.5" hidden="false" customHeight="false" outlineLevel="0" collapsed="false">
      <c r="A70" s="849"/>
      <c r="B70" s="849"/>
      <c r="C70" s="849"/>
      <c r="D70" s="849"/>
      <c r="E70" s="849"/>
      <c r="F70" s="849"/>
      <c r="G70" s="849"/>
      <c r="H70" s="849"/>
      <c r="I70" s="849"/>
      <c r="J70" s="849"/>
      <c r="K70" s="849"/>
      <c r="L70" s="849"/>
      <c r="M70" s="849"/>
      <c r="N70" s="849"/>
      <c r="O70" s="849"/>
      <c r="P70" s="849"/>
      <c r="Q70" s="849"/>
      <c r="R70" s="849"/>
      <c r="S70" s="849"/>
      <c r="T70" s="849"/>
      <c r="U70" s="849"/>
      <c r="V70" s="849"/>
      <c r="W70" s="849"/>
      <c r="X70" s="849"/>
      <c r="Y70" s="849"/>
      <c r="Z70" s="849"/>
      <c r="AA70" s="849"/>
      <c r="AB70" s="849"/>
      <c r="AC70" s="849"/>
      <c r="AD70" s="849"/>
      <c r="AE70" s="849"/>
      <c r="AF70" s="849"/>
    </row>
    <row r="71" customFormat="false" ht="16.5" hidden="false" customHeight="false" outlineLevel="0" collapsed="false">
      <c r="A71" s="849"/>
      <c r="B71" s="849"/>
      <c r="C71" s="849"/>
      <c r="D71" s="849"/>
      <c r="E71" s="849"/>
      <c r="F71" s="849"/>
      <c r="G71" s="849"/>
      <c r="H71" s="849"/>
      <c r="I71" s="849"/>
      <c r="J71" s="849"/>
      <c r="K71" s="849"/>
      <c r="L71" s="849"/>
      <c r="M71" s="849"/>
      <c r="N71" s="849"/>
      <c r="O71" s="849"/>
      <c r="P71" s="849"/>
      <c r="Q71" s="849"/>
      <c r="R71" s="849"/>
      <c r="S71" s="849"/>
      <c r="T71" s="849"/>
      <c r="U71" s="849"/>
      <c r="V71" s="849"/>
      <c r="W71" s="849"/>
      <c r="X71" s="849"/>
      <c r="Y71" s="849"/>
      <c r="Z71" s="849"/>
      <c r="AA71" s="849"/>
      <c r="AB71" s="849"/>
      <c r="AC71" s="849"/>
      <c r="AD71" s="849"/>
      <c r="AE71" s="849"/>
      <c r="AF71" s="849"/>
    </row>
    <row r="72" customFormat="false" ht="16.5" hidden="false" customHeight="false" outlineLevel="0" collapsed="false">
      <c r="A72" s="849"/>
      <c r="B72" s="849"/>
      <c r="C72" s="849"/>
      <c r="D72" s="849"/>
      <c r="E72" s="849"/>
      <c r="F72" s="849"/>
      <c r="G72" s="849"/>
      <c r="H72" s="849"/>
      <c r="I72" s="849"/>
      <c r="J72" s="849"/>
      <c r="K72" s="849"/>
      <c r="L72" s="849"/>
      <c r="M72" s="849"/>
      <c r="N72" s="849"/>
      <c r="O72" s="849"/>
      <c r="P72" s="849"/>
      <c r="Q72" s="849"/>
      <c r="R72" s="849"/>
      <c r="S72" s="849"/>
      <c r="T72" s="849"/>
      <c r="U72" s="849"/>
      <c r="V72" s="849"/>
      <c r="W72" s="849"/>
      <c r="X72" s="849"/>
      <c r="Y72" s="849"/>
      <c r="Z72" s="849"/>
      <c r="AA72" s="849"/>
      <c r="AB72" s="849"/>
      <c r="AC72" s="849"/>
      <c r="AD72" s="849"/>
      <c r="AE72" s="849"/>
      <c r="AF72" s="849"/>
    </row>
    <row r="73" customFormat="false" ht="16.5" hidden="false" customHeight="false" outlineLevel="0" collapsed="false">
      <c r="A73" s="849"/>
      <c r="B73" s="849"/>
      <c r="C73" s="849"/>
      <c r="D73" s="849"/>
      <c r="E73" s="849"/>
      <c r="F73" s="849"/>
      <c r="G73" s="849"/>
      <c r="H73" s="849"/>
      <c r="I73" s="849"/>
      <c r="J73" s="849"/>
      <c r="K73" s="849"/>
      <c r="L73" s="849"/>
      <c r="M73" s="849"/>
      <c r="N73" s="849"/>
      <c r="O73" s="849"/>
      <c r="P73" s="849"/>
      <c r="Q73" s="849"/>
      <c r="R73" s="849"/>
      <c r="S73" s="849"/>
      <c r="T73" s="849"/>
      <c r="U73" s="849"/>
      <c r="V73" s="849"/>
      <c r="W73" s="849"/>
      <c r="X73" s="849"/>
      <c r="Y73" s="849"/>
      <c r="Z73" s="849"/>
      <c r="AA73" s="849"/>
      <c r="AB73" s="849"/>
      <c r="AC73" s="849"/>
      <c r="AD73" s="849"/>
      <c r="AE73" s="849"/>
      <c r="AF73" s="849"/>
    </row>
    <row r="74" customFormat="false" ht="16.5" hidden="false" customHeight="false" outlineLevel="0" collapsed="false">
      <c r="A74" s="849"/>
      <c r="B74" s="849"/>
      <c r="C74" s="849"/>
      <c r="D74" s="849"/>
      <c r="E74" s="849"/>
      <c r="F74" s="849"/>
      <c r="G74" s="849"/>
      <c r="H74" s="849"/>
      <c r="I74" s="849"/>
      <c r="J74" s="849"/>
      <c r="K74" s="849"/>
      <c r="L74" s="849"/>
      <c r="M74" s="849"/>
      <c r="N74" s="849"/>
      <c r="O74" s="849"/>
      <c r="P74" s="849"/>
      <c r="Q74" s="849"/>
      <c r="R74" s="849"/>
      <c r="S74" s="849"/>
      <c r="T74" s="849"/>
      <c r="U74" s="849"/>
      <c r="V74" s="849"/>
      <c r="W74" s="849"/>
      <c r="X74" s="849"/>
      <c r="Y74" s="849"/>
      <c r="Z74" s="849"/>
      <c r="AA74" s="849"/>
      <c r="AB74" s="849"/>
      <c r="AC74" s="849"/>
      <c r="AD74" s="849"/>
      <c r="AE74" s="849"/>
      <c r="AF74" s="849"/>
    </row>
    <row r="75" customFormat="false" ht="16.5" hidden="false" customHeight="false" outlineLevel="0" collapsed="false">
      <c r="A75" s="849"/>
      <c r="B75" s="849"/>
      <c r="C75" s="849"/>
      <c r="D75" s="849"/>
      <c r="E75" s="849"/>
      <c r="F75" s="849"/>
      <c r="G75" s="849"/>
      <c r="H75" s="849"/>
      <c r="I75" s="849"/>
      <c r="J75" s="849"/>
      <c r="K75" s="849"/>
      <c r="L75" s="849"/>
      <c r="M75" s="849"/>
      <c r="N75" s="849"/>
      <c r="O75" s="849"/>
      <c r="P75" s="849"/>
      <c r="Q75" s="849"/>
      <c r="R75" s="849"/>
      <c r="S75" s="849"/>
      <c r="T75" s="849"/>
      <c r="U75" s="849"/>
      <c r="V75" s="849"/>
      <c r="W75" s="849"/>
      <c r="X75" s="849"/>
      <c r="Y75" s="849"/>
      <c r="Z75" s="849"/>
      <c r="AA75" s="849"/>
      <c r="AB75" s="849"/>
      <c r="AC75" s="849"/>
      <c r="AD75" s="849"/>
      <c r="AE75" s="849"/>
      <c r="AF75" s="849"/>
    </row>
    <row r="76" customFormat="false" ht="16.5" hidden="false" customHeight="false" outlineLevel="0" collapsed="false">
      <c r="A76" s="849"/>
      <c r="B76" s="849"/>
      <c r="C76" s="849"/>
      <c r="D76" s="849"/>
      <c r="E76" s="849"/>
      <c r="F76" s="849"/>
      <c r="G76" s="849"/>
      <c r="H76" s="849"/>
      <c r="I76" s="849"/>
      <c r="J76" s="849"/>
      <c r="K76" s="849"/>
      <c r="L76" s="849"/>
      <c r="M76" s="849"/>
      <c r="N76" s="849"/>
      <c r="O76" s="849"/>
      <c r="P76" s="849"/>
      <c r="Q76" s="849"/>
      <c r="R76" s="849"/>
      <c r="S76" s="849"/>
      <c r="T76" s="849"/>
      <c r="U76" s="849"/>
      <c r="V76" s="849"/>
      <c r="W76" s="849"/>
      <c r="X76" s="849"/>
      <c r="Y76" s="849"/>
      <c r="Z76" s="849"/>
      <c r="AA76" s="849"/>
      <c r="AB76" s="849"/>
      <c r="AC76" s="849"/>
      <c r="AD76" s="849"/>
      <c r="AE76" s="849"/>
      <c r="AF76" s="849"/>
    </row>
    <row r="77" customFormat="false" ht="16.5" hidden="false" customHeight="false" outlineLevel="0" collapsed="false">
      <c r="A77" s="849"/>
      <c r="B77" s="849"/>
      <c r="C77" s="849"/>
      <c r="D77" s="849"/>
      <c r="E77" s="849"/>
      <c r="F77" s="849"/>
      <c r="G77" s="849"/>
      <c r="H77" s="849"/>
      <c r="I77" s="849"/>
      <c r="J77" s="849"/>
      <c r="K77" s="849"/>
      <c r="L77" s="849"/>
      <c r="M77" s="849"/>
      <c r="N77" s="849"/>
      <c r="O77" s="849"/>
      <c r="P77" s="849"/>
      <c r="Q77" s="849"/>
      <c r="R77" s="849"/>
      <c r="S77" s="849"/>
      <c r="T77" s="849"/>
      <c r="U77" s="849"/>
      <c r="V77" s="849"/>
      <c r="W77" s="849"/>
      <c r="X77" s="849"/>
      <c r="Y77" s="849"/>
      <c r="Z77" s="849"/>
      <c r="AA77" s="849"/>
      <c r="AB77" s="849"/>
      <c r="AC77" s="849"/>
      <c r="AD77" s="849"/>
      <c r="AE77" s="849"/>
      <c r="AF77" s="849"/>
    </row>
    <row r="78" customFormat="false" ht="16.5" hidden="false" customHeight="false" outlineLevel="0" collapsed="false">
      <c r="A78" s="849"/>
      <c r="B78" s="849"/>
      <c r="C78" s="849"/>
      <c r="D78" s="849"/>
      <c r="E78" s="849"/>
      <c r="F78" s="849"/>
      <c r="G78" s="849"/>
      <c r="H78" s="849"/>
      <c r="I78" s="849"/>
      <c r="J78" s="849"/>
      <c r="K78" s="849"/>
      <c r="L78" s="849"/>
      <c r="M78" s="849"/>
      <c r="N78" s="849"/>
      <c r="O78" s="849"/>
      <c r="P78" s="849"/>
      <c r="Q78" s="849"/>
      <c r="R78" s="849"/>
      <c r="S78" s="849"/>
      <c r="T78" s="849"/>
      <c r="U78" s="849"/>
      <c r="V78" s="849"/>
      <c r="W78" s="849"/>
      <c r="X78" s="849"/>
      <c r="Y78" s="849"/>
      <c r="Z78" s="849"/>
      <c r="AA78" s="849"/>
      <c r="AB78" s="849"/>
      <c r="AC78" s="849"/>
      <c r="AD78" s="849"/>
      <c r="AE78" s="849"/>
      <c r="AF78" s="849"/>
    </row>
    <row r="79" customFormat="false" ht="16.5" hidden="false" customHeight="false" outlineLevel="0" collapsed="false">
      <c r="A79" s="849"/>
      <c r="B79" s="849"/>
      <c r="C79" s="849"/>
      <c r="D79" s="849"/>
      <c r="E79" s="849"/>
      <c r="F79" s="849"/>
      <c r="G79" s="849"/>
      <c r="H79" s="849"/>
      <c r="I79" s="849"/>
      <c r="J79" s="849"/>
      <c r="K79" s="849"/>
      <c r="L79" s="849"/>
      <c r="M79" s="849"/>
      <c r="N79" s="849"/>
      <c r="O79" s="849"/>
      <c r="P79" s="849"/>
      <c r="Q79" s="849"/>
      <c r="R79" s="849"/>
      <c r="S79" s="849"/>
      <c r="T79" s="849"/>
      <c r="U79" s="849"/>
      <c r="V79" s="849"/>
      <c r="W79" s="849"/>
      <c r="X79" s="849"/>
      <c r="Y79" s="849"/>
      <c r="Z79" s="849"/>
      <c r="AA79" s="849"/>
      <c r="AB79" s="849"/>
      <c r="AC79" s="849"/>
      <c r="AD79" s="849"/>
      <c r="AE79" s="849"/>
      <c r="AF79" s="849"/>
    </row>
    <row r="80" customFormat="false" ht="16.5" hidden="false" customHeight="false" outlineLevel="0" collapsed="false">
      <c r="A80" s="849"/>
      <c r="B80" s="849"/>
      <c r="C80" s="849"/>
      <c r="D80" s="849"/>
      <c r="E80" s="849"/>
      <c r="F80" s="849"/>
      <c r="G80" s="849"/>
      <c r="H80" s="849"/>
      <c r="I80" s="849"/>
      <c r="J80" s="849"/>
      <c r="K80" s="849"/>
      <c r="L80" s="849"/>
      <c r="M80" s="849"/>
      <c r="N80" s="849"/>
      <c r="O80" s="849"/>
      <c r="P80" s="849"/>
      <c r="Q80" s="849"/>
      <c r="R80" s="849"/>
      <c r="S80" s="849"/>
      <c r="T80" s="849"/>
      <c r="U80" s="849"/>
      <c r="V80" s="849"/>
      <c r="W80" s="849"/>
      <c r="X80" s="849"/>
      <c r="Y80" s="849"/>
      <c r="Z80" s="849"/>
      <c r="AA80" s="849"/>
      <c r="AB80" s="849"/>
      <c r="AC80" s="849"/>
      <c r="AD80" s="849"/>
      <c r="AE80" s="849"/>
      <c r="AF80" s="849"/>
    </row>
    <row r="81" customFormat="false" ht="16.5" hidden="false" customHeight="false" outlineLevel="0" collapsed="false">
      <c r="A81" s="849"/>
      <c r="B81" s="849"/>
      <c r="C81" s="849"/>
      <c r="D81" s="849"/>
      <c r="E81" s="849"/>
      <c r="F81" s="849"/>
      <c r="G81" s="849"/>
      <c r="H81" s="849"/>
      <c r="I81" s="849"/>
      <c r="J81" s="849"/>
      <c r="K81" s="849"/>
      <c r="L81" s="849"/>
      <c r="M81" s="849"/>
      <c r="N81" s="849"/>
      <c r="O81" s="849"/>
      <c r="P81" s="849"/>
      <c r="Q81" s="849"/>
      <c r="R81" s="849"/>
      <c r="S81" s="849"/>
      <c r="T81" s="849"/>
      <c r="U81" s="849"/>
      <c r="V81" s="849"/>
      <c r="W81" s="849"/>
      <c r="X81" s="849"/>
      <c r="Y81" s="849"/>
      <c r="Z81" s="849"/>
      <c r="AA81" s="849"/>
      <c r="AB81" s="849"/>
      <c r="AC81" s="849"/>
      <c r="AD81" s="849"/>
      <c r="AE81" s="849"/>
      <c r="AF81" s="849"/>
    </row>
    <row r="82" customFormat="false" ht="16.5" hidden="false" customHeight="false" outlineLevel="0" collapsed="false">
      <c r="A82" s="849"/>
      <c r="B82" s="849"/>
      <c r="C82" s="849"/>
      <c r="D82" s="849"/>
      <c r="E82" s="849"/>
      <c r="F82" s="849"/>
      <c r="G82" s="849"/>
      <c r="H82" s="849"/>
      <c r="I82" s="849"/>
      <c r="J82" s="849"/>
      <c r="K82" s="849"/>
      <c r="L82" s="849"/>
      <c r="M82" s="849"/>
      <c r="N82" s="849"/>
      <c r="O82" s="849"/>
      <c r="P82" s="849"/>
      <c r="Q82" s="849"/>
      <c r="R82" s="849"/>
      <c r="S82" s="849"/>
      <c r="T82" s="849"/>
      <c r="U82" s="849"/>
      <c r="V82" s="849"/>
      <c r="W82" s="849"/>
      <c r="X82" s="849"/>
      <c r="Y82" s="849"/>
      <c r="Z82" s="849"/>
      <c r="AA82" s="849"/>
      <c r="AB82" s="849"/>
      <c r="AC82" s="849"/>
      <c r="AD82" s="849"/>
      <c r="AE82" s="849"/>
      <c r="AF82" s="849"/>
    </row>
    <row r="83" customFormat="false" ht="16.5" hidden="false" customHeight="false" outlineLevel="0" collapsed="false">
      <c r="A83" s="849"/>
      <c r="B83" s="849"/>
      <c r="C83" s="849"/>
      <c r="D83" s="849"/>
      <c r="E83" s="849"/>
      <c r="F83" s="849"/>
      <c r="G83" s="849"/>
      <c r="H83" s="849"/>
      <c r="I83" s="849"/>
      <c r="J83" s="849"/>
      <c r="K83" s="849"/>
      <c r="L83" s="849"/>
      <c r="M83" s="849"/>
      <c r="N83" s="849"/>
      <c r="O83" s="849"/>
      <c r="P83" s="849"/>
      <c r="Q83" s="849"/>
      <c r="R83" s="849"/>
      <c r="S83" s="849"/>
      <c r="T83" s="849"/>
      <c r="U83" s="849"/>
      <c r="V83" s="849"/>
      <c r="W83" s="849"/>
      <c r="X83" s="849"/>
      <c r="Y83" s="849"/>
      <c r="Z83" s="849"/>
      <c r="AA83" s="849"/>
      <c r="AB83" s="849"/>
      <c r="AC83" s="849"/>
      <c r="AD83" s="849"/>
      <c r="AE83" s="849"/>
      <c r="AF83" s="849"/>
    </row>
    <row r="84" customFormat="false" ht="16.5" hidden="false" customHeight="false" outlineLevel="0" collapsed="false">
      <c r="A84" s="849"/>
      <c r="B84" s="849"/>
      <c r="C84" s="849"/>
      <c r="D84" s="849"/>
      <c r="E84" s="849"/>
      <c r="F84" s="849"/>
      <c r="G84" s="849"/>
      <c r="H84" s="849"/>
      <c r="I84" s="849"/>
      <c r="J84" s="849"/>
      <c r="K84" s="849"/>
      <c r="L84" s="849"/>
      <c r="M84" s="849"/>
      <c r="N84" s="849"/>
      <c r="O84" s="849"/>
      <c r="P84" s="849"/>
      <c r="Q84" s="849"/>
      <c r="R84" s="849"/>
      <c r="S84" s="849"/>
      <c r="T84" s="849"/>
      <c r="U84" s="849"/>
      <c r="V84" s="849"/>
      <c r="W84" s="849"/>
      <c r="X84" s="849"/>
      <c r="Y84" s="849"/>
      <c r="Z84" s="849"/>
      <c r="AA84" s="849"/>
      <c r="AB84" s="849"/>
      <c r="AC84" s="849"/>
      <c r="AD84" s="849"/>
      <c r="AE84" s="849"/>
      <c r="AF84" s="849"/>
    </row>
    <row r="85" customFormat="false" ht="16.5" hidden="false" customHeight="false" outlineLevel="0" collapsed="false">
      <c r="A85" s="849"/>
      <c r="B85" s="849"/>
      <c r="C85" s="849"/>
      <c r="D85" s="849"/>
      <c r="E85" s="849"/>
      <c r="F85" s="849"/>
      <c r="G85" s="849"/>
      <c r="H85" s="849"/>
      <c r="I85" s="849"/>
      <c r="J85" s="849"/>
      <c r="K85" s="849"/>
      <c r="L85" s="849"/>
      <c r="M85" s="849"/>
      <c r="N85" s="849"/>
      <c r="O85" s="849"/>
      <c r="P85" s="849"/>
      <c r="Q85" s="849"/>
      <c r="R85" s="849"/>
      <c r="S85" s="849"/>
      <c r="T85" s="849"/>
      <c r="U85" s="849"/>
      <c r="V85" s="849"/>
      <c r="W85" s="849"/>
      <c r="X85" s="849"/>
      <c r="Y85" s="849"/>
      <c r="Z85" s="849"/>
      <c r="AA85" s="849"/>
      <c r="AB85" s="849"/>
      <c r="AC85" s="849"/>
      <c r="AD85" s="849"/>
      <c r="AE85" s="849"/>
      <c r="AF85" s="849"/>
    </row>
    <row r="86" customFormat="false" ht="16.5" hidden="false" customHeight="false" outlineLevel="0" collapsed="false">
      <c r="A86" s="849"/>
      <c r="B86" s="849"/>
      <c r="C86" s="849"/>
      <c r="D86" s="849"/>
      <c r="E86" s="849"/>
      <c r="F86" s="849"/>
      <c r="G86" s="849"/>
      <c r="H86" s="849"/>
      <c r="I86" s="849"/>
      <c r="J86" s="849"/>
      <c r="K86" s="849"/>
      <c r="L86" s="849"/>
      <c r="M86" s="849"/>
      <c r="N86" s="849"/>
      <c r="O86" s="849"/>
      <c r="P86" s="849"/>
      <c r="Q86" s="849"/>
      <c r="R86" s="849"/>
      <c r="S86" s="849"/>
      <c r="T86" s="849"/>
      <c r="U86" s="849"/>
      <c r="V86" s="849"/>
      <c r="W86" s="849"/>
      <c r="X86" s="849"/>
      <c r="Y86" s="849"/>
      <c r="Z86" s="849"/>
      <c r="AA86" s="849"/>
      <c r="AB86" s="849"/>
      <c r="AC86" s="849"/>
      <c r="AD86" s="849"/>
      <c r="AE86" s="849"/>
      <c r="AF86" s="849"/>
    </row>
    <row r="87" customFormat="false" ht="16.5" hidden="false" customHeight="false" outlineLevel="0" collapsed="false">
      <c r="A87" s="849"/>
      <c r="B87" s="849"/>
      <c r="C87" s="849"/>
      <c r="D87" s="849"/>
      <c r="E87" s="849"/>
      <c r="F87" s="849"/>
      <c r="G87" s="849"/>
      <c r="H87" s="849"/>
      <c r="I87" s="849"/>
      <c r="J87" s="849"/>
      <c r="K87" s="849"/>
      <c r="L87" s="849"/>
      <c r="M87" s="849"/>
      <c r="N87" s="849"/>
      <c r="O87" s="849"/>
      <c r="P87" s="849"/>
      <c r="Q87" s="849"/>
      <c r="R87" s="849"/>
      <c r="S87" s="849"/>
      <c r="T87" s="849"/>
      <c r="U87" s="849"/>
      <c r="V87" s="849"/>
      <c r="W87" s="849"/>
      <c r="X87" s="849"/>
      <c r="Y87" s="849"/>
      <c r="Z87" s="849"/>
      <c r="AA87" s="849"/>
      <c r="AB87" s="849"/>
      <c r="AC87" s="849"/>
      <c r="AD87" s="849"/>
      <c r="AE87" s="849"/>
      <c r="AF87" s="849"/>
    </row>
    <row r="88" customFormat="false" ht="16.5" hidden="false" customHeight="false" outlineLevel="0" collapsed="false">
      <c r="A88" s="849"/>
      <c r="B88" s="849"/>
      <c r="C88" s="849"/>
      <c r="D88" s="849"/>
      <c r="E88" s="849"/>
      <c r="F88" s="849"/>
      <c r="G88" s="849"/>
      <c r="H88" s="849"/>
      <c r="I88" s="849"/>
      <c r="J88" s="849"/>
      <c r="K88" s="849"/>
      <c r="L88" s="849"/>
      <c r="M88" s="849"/>
      <c r="N88" s="849"/>
      <c r="O88" s="849"/>
      <c r="P88" s="849"/>
      <c r="Q88" s="849"/>
      <c r="R88" s="849"/>
      <c r="S88" s="849"/>
      <c r="T88" s="849"/>
      <c r="U88" s="849"/>
      <c r="V88" s="849"/>
      <c r="W88" s="849"/>
      <c r="X88" s="849"/>
      <c r="Y88" s="849"/>
      <c r="Z88" s="849"/>
      <c r="AA88" s="849"/>
      <c r="AB88" s="849"/>
      <c r="AC88" s="849"/>
      <c r="AD88" s="849"/>
      <c r="AE88" s="849"/>
      <c r="AF88" s="849"/>
    </row>
  </sheetData>
  <mergeCells count="2">
    <mergeCell ref="E5:I5"/>
    <mergeCell ref="C13:H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88"/>
  <sheetViews>
    <sheetView showFormulas="false" showGridLines="true" showRowColHeaders="true" showZeros="true" rightToLeft="false" tabSelected="false" showOutlineSymbols="true" defaultGridColor="true" view="normal" topLeftCell="A19" colorId="64" zoomScale="140" zoomScaleNormal="140" zoomScalePageLayoutView="100" workbookViewId="0">
      <selection pane="topLeft" activeCell="A38" activeCellId="0" sqref="A38"/>
    </sheetView>
  </sheetViews>
  <sheetFormatPr defaultColWidth="8.8593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.71"/>
    <col collapsed="false" customWidth="true" hidden="false" outlineLevel="0" max="10" min="3" style="0" width="22.71"/>
    <col collapsed="false" customWidth="true" hidden="false" outlineLevel="0" max="11" min="11" style="0" width="1.29"/>
    <col collapsed="false" customWidth="true" hidden="false" outlineLevel="0" max="14" min="12" style="0" width="23.28"/>
  </cols>
  <sheetData>
    <row r="1" customFormat="false" ht="23.25" hidden="false" customHeight="true" outlineLevel="0" collapsed="false">
      <c r="A1" s="849"/>
      <c r="B1" s="849"/>
      <c r="C1" s="850" t="s">
        <v>0</v>
      </c>
      <c r="D1" s="851" t="n">
        <v>183.2</v>
      </c>
      <c r="E1" s="849"/>
      <c r="F1" s="852"/>
      <c r="G1" s="849"/>
      <c r="H1" s="849"/>
      <c r="I1" s="849"/>
      <c r="J1" s="849"/>
      <c r="K1" s="849"/>
      <c r="L1" s="849"/>
      <c r="M1" s="849"/>
      <c r="N1" s="849"/>
      <c r="O1" s="849"/>
      <c r="P1" s="849"/>
      <c r="Q1" s="849"/>
      <c r="R1" s="849"/>
      <c r="S1" s="849"/>
      <c r="T1" s="849"/>
      <c r="U1" s="849"/>
      <c r="V1" s="849"/>
      <c r="W1" s="849"/>
      <c r="X1" s="849"/>
      <c r="Y1" s="849"/>
      <c r="Z1" s="849"/>
      <c r="AA1" s="849"/>
      <c r="AB1" s="849"/>
      <c r="AC1" s="849"/>
      <c r="AD1" s="849"/>
      <c r="AE1" s="849"/>
      <c r="AF1" s="849"/>
    </row>
    <row r="2" customFormat="false" ht="23.25" hidden="false" customHeight="true" outlineLevel="0" collapsed="false">
      <c r="A2" s="849"/>
      <c r="B2" s="853" t="s">
        <v>442</v>
      </c>
      <c r="C2" s="854" t="s">
        <v>1</v>
      </c>
      <c r="D2" s="855" t="n">
        <f aca="false">J8+J16+J24+J32+J40+E48</f>
        <v>100.6</v>
      </c>
      <c r="E2" s="856" t="s">
        <v>2</v>
      </c>
      <c r="F2" s="857" t="n">
        <f aca="false">J9+J17+J25+J33+J41+E49</f>
        <v>0</v>
      </c>
      <c r="G2" s="856" t="s">
        <v>3</v>
      </c>
      <c r="H2" s="857" t="n">
        <f aca="false">J10+J18+J26+J34+J42+E50</f>
        <v>0</v>
      </c>
      <c r="I2" s="858"/>
      <c r="J2" s="867"/>
      <c r="K2" s="860"/>
      <c r="L2" s="859"/>
      <c r="M2" s="849"/>
      <c r="N2" s="849"/>
      <c r="O2" s="849"/>
      <c r="P2" s="849"/>
      <c r="Q2" s="849"/>
      <c r="R2" s="849"/>
      <c r="S2" s="849"/>
      <c r="T2" s="849"/>
      <c r="U2" s="849"/>
      <c r="V2" s="849"/>
      <c r="W2" s="849"/>
      <c r="X2" s="849"/>
      <c r="Y2" s="849"/>
      <c r="Z2" s="849"/>
      <c r="AA2" s="849"/>
      <c r="AB2" s="849"/>
      <c r="AC2" s="849"/>
      <c r="AD2" s="849"/>
      <c r="AE2" s="849"/>
      <c r="AF2" s="849"/>
    </row>
    <row r="3" customFormat="false" ht="23.25" hidden="false" customHeight="true" outlineLevel="0" collapsed="false">
      <c r="A3" s="849"/>
      <c r="B3" s="861" t="s">
        <v>5</v>
      </c>
      <c r="C3" s="862" t="s">
        <v>6</v>
      </c>
      <c r="D3" s="863" t="s">
        <v>7</v>
      </c>
      <c r="E3" s="864" t="s">
        <v>8</v>
      </c>
      <c r="F3" s="865" t="s">
        <v>9</v>
      </c>
      <c r="G3" s="863" t="s">
        <v>8</v>
      </c>
      <c r="H3" s="863" t="s">
        <v>11</v>
      </c>
      <c r="I3" s="866" t="s">
        <v>6</v>
      </c>
      <c r="J3" s="867"/>
      <c r="K3" s="867"/>
      <c r="L3" s="859" t="s">
        <v>443</v>
      </c>
      <c r="M3" s="849"/>
      <c r="N3" s="849"/>
      <c r="O3" s="849"/>
      <c r="P3" s="849"/>
      <c r="Q3" s="849"/>
      <c r="R3" s="849"/>
      <c r="S3" s="849"/>
      <c r="T3" s="849"/>
      <c r="U3" s="849"/>
      <c r="V3" s="849"/>
      <c r="W3" s="849"/>
      <c r="X3" s="849"/>
      <c r="Y3" s="849"/>
      <c r="Z3" s="849"/>
      <c r="AA3" s="849"/>
      <c r="AB3" s="849"/>
      <c r="AC3" s="849"/>
      <c r="AD3" s="849"/>
      <c r="AE3" s="849"/>
      <c r="AF3" s="849"/>
    </row>
    <row r="4" customFormat="false" ht="23.25" hidden="false" customHeight="true" outlineLevel="0" collapsed="false">
      <c r="A4" s="849"/>
      <c r="B4" s="868" t="s">
        <v>14</v>
      </c>
      <c r="C4" s="869" t="n">
        <v>1</v>
      </c>
      <c r="D4" s="869" t="n">
        <v>2</v>
      </c>
      <c r="E4" s="869" t="n">
        <v>3</v>
      </c>
      <c r="F4" s="869" t="n">
        <v>4</v>
      </c>
      <c r="G4" s="869" t="n">
        <v>5</v>
      </c>
      <c r="H4" s="870" t="n">
        <v>6</v>
      </c>
      <c r="I4" s="871" t="n">
        <v>7</v>
      </c>
      <c r="J4" s="906"/>
      <c r="K4" s="867"/>
      <c r="L4" s="872" t="s">
        <v>444</v>
      </c>
      <c r="M4" s="849"/>
      <c r="N4" s="849"/>
      <c r="O4" s="849"/>
      <c r="P4" s="849"/>
      <c r="Q4" s="849"/>
      <c r="R4" s="849"/>
      <c r="S4" s="849"/>
      <c r="T4" s="849"/>
      <c r="U4" s="849"/>
      <c r="V4" s="849"/>
      <c r="W4" s="849"/>
      <c r="X4" s="849"/>
      <c r="Y4" s="849"/>
      <c r="Z4" s="849"/>
      <c r="AA4" s="849"/>
      <c r="AB4" s="849"/>
      <c r="AC4" s="849"/>
      <c r="AD4" s="849"/>
      <c r="AE4" s="849"/>
      <c r="AF4" s="849"/>
    </row>
    <row r="5" customFormat="false" ht="23.25" hidden="false" customHeight="true" outlineLevel="0" collapsed="false">
      <c r="A5" s="849"/>
      <c r="B5" s="873" t="s">
        <v>16</v>
      </c>
      <c r="C5" s="933" t="s">
        <v>80</v>
      </c>
      <c r="D5" s="918" t="s">
        <v>80</v>
      </c>
      <c r="E5" s="948" t="s">
        <v>80</v>
      </c>
      <c r="F5" s="918" t="s">
        <v>80</v>
      </c>
      <c r="G5" s="918" t="s">
        <v>209</v>
      </c>
      <c r="H5" s="918" t="s">
        <v>79</v>
      </c>
      <c r="I5" s="920" t="s">
        <v>80</v>
      </c>
      <c r="J5" s="906"/>
      <c r="K5" s="867"/>
      <c r="L5" s="849"/>
      <c r="M5" s="849"/>
      <c r="N5" s="849"/>
      <c r="O5" s="849"/>
      <c r="P5" s="849"/>
      <c r="Q5" s="849"/>
      <c r="R5" s="849"/>
      <c r="S5" s="849"/>
      <c r="T5" s="849"/>
      <c r="U5" s="849"/>
      <c r="V5" s="849"/>
      <c r="W5" s="849"/>
      <c r="X5" s="849"/>
      <c r="Y5" s="849"/>
      <c r="Z5" s="849"/>
      <c r="AA5" s="849"/>
      <c r="AB5" s="849"/>
      <c r="AC5" s="849"/>
      <c r="AD5" s="849"/>
      <c r="AE5" s="849"/>
      <c r="AF5" s="849"/>
    </row>
    <row r="6" customFormat="false" ht="23.25" hidden="false" customHeight="true" outlineLevel="0" collapsed="false">
      <c r="A6" s="849"/>
      <c r="B6" s="868" t="s">
        <v>18</v>
      </c>
      <c r="C6" s="929" t="n">
        <v>0.01</v>
      </c>
      <c r="D6" s="879" t="n">
        <v>0</v>
      </c>
      <c r="E6" s="880" t="n">
        <v>0.01</v>
      </c>
      <c r="F6" s="879" t="n">
        <v>0.03</v>
      </c>
      <c r="G6" s="879" t="n">
        <v>0.08</v>
      </c>
      <c r="H6" s="879" t="n">
        <v>0.13</v>
      </c>
      <c r="I6" s="881" t="n">
        <v>0.2</v>
      </c>
      <c r="J6" s="882"/>
      <c r="K6" s="867"/>
      <c r="L6" s="849"/>
      <c r="M6" s="849"/>
      <c r="N6" s="849"/>
      <c r="O6" s="849"/>
      <c r="P6" s="849"/>
      <c r="Q6" s="849"/>
      <c r="R6" s="849"/>
      <c r="S6" s="849"/>
      <c r="T6" s="849"/>
      <c r="U6" s="849"/>
      <c r="V6" s="849"/>
      <c r="W6" s="849"/>
      <c r="X6" s="849"/>
      <c r="Y6" s="849"/>
      <c r="Z6" s="849"/>
      <c r="AA6" s="849"/>
      <c r="AB6" s="849"/>
      <c r="AC6" s="849"/>
      <c r="AD6" s="849"/>
      <c r="AE6" s="849"/>
      <c r="AF6" s="849"/>
    </row>
    <row r="7" customFormat="false" ht="23.25" hidden="false" customHeight="true" outlineLevel="0" collapsed="false">
      <c r="A7" s="849"/>
      <c r="B7" s="873" t="s">
        <v>19</v>
      </c>
      <c r="C7" s="883" t="s">
        <v>62</v>
      </c>
      <c r="D7" s="884" t="s">
        <v>352</v>
      </c>
      <c r="E7" s="885" t="s">
        <v>169</v>
      </c>
      <c r="F7" s="884" t="s">
        <v>352</v>
      </c>
      <c r="G7" s="884" t="s">
        <v>62</v>
      </c>
      <c r="H7" s="884" t="s">
        <v>40</v>
      </c>
      <c r="I7" s="886" t="s">
        <v>54</v>
      </c>
      <c r="J7" s="887" t="s">
        <v>20</v>
      </c>
      <c r="K7" s="867"/>
      <c r="L7" s="888"/>
      <c r="M7" s="849"/>
      <c r="N7" s="849"/>
      <c r="O7" s="849"/>
      <c r="P7" s="849"/>
      <c r="Q7" s="849"/>
      <c r="R7" s="849"/>
      <c r="S7" s="849"/>
      <c r="T7" s="849"/>
      <c r="U7" s="849"/>
      <c r="V7" s="849"/>
      <c r="W7" s="849"/>
      <c r="X7" s="849"/>
      <c r="Y7" s="849"/>
      <c r="Z7" s="849"/>
      <c r="AA7" s="849"/>
      <c r="AB7" s="849"/>
      <c r="AC7" s="849"/>
      <c r="AD7" s="849"/>
      <c r="AE7" s="849"/>
      <c r="AF7" s="849"/>
    </row>
    <row r="8" customFormat="false" ht="23.25" hidden="false" customHeight="true" outlineLevel="0" collapsed="false">
      <c r="A8" s="849"/>
      <c r="B8" s="868" t="s">
        <v>21</v>
      </c>
      <c r="C8" s="889" t="n">
        <v>5.6</v>
      </c>
      <c r="D8" s="890" t="n">
        <v>8.2</v>
      </c>
      <c r="E8" s="891" t="n">
        <v>6.9</v>
      </c>
      <c r="F8" s="890" t="n">
        <v>1.2</v>
      </c>
      <c r="G8" s="890" t="n">
        <v>7.3</v>
      </c>
      <c r="H8" s="890" t="n">
        <v>8.1</v>
      </c>
      <c r="I8" s="892" t="n">
        <v>6.8</v>
      </c>
      <c r="J8" s="893" t="n">
        <f aca="false" t="array" ref="J8:J8">SUM(IF(ISNUMBER(C8:I8), C8:I8, 0))</f>
        <v>44.1</v>
      </c>
      <c r="K8" s="867"/>
      <c r="L8" s="894" t="s">
        <v>22</v>
      </c>
      <c r="M8" s="849"/>
      <c r="N8" s="849"/>
      <c r="O8" s="849"/>
      <c r="P8" s="849"/>
      <c r="Q8" s="849"/>
      <c r="R8" s="849"/>
      <c r="S8" s="849"/>
      <c r="T8" s="849"/>
      <c r="U8" s="849"/>
      <c r="V8" s="849"/>
      <c r="W8" s="849"/>
      <c r="X8" s="849"/>
      <c r="Y8" s="849"/>
      <c r="Z8" s="849"/>
      <c r="AA8" s="849"/>
      <c r="AB8" s="849"/>
      <c r="AC8" s="849"/>
      <c r="AD8" s="849"/>
      <c r="AE8" s="849"/>
      <c r="AF8" s="849"/>
    </row>
    <row r="9" customFormat="false" ht="23.25" hidden="false" customHeight="true" outlineLevel="0" collapsed="false">
      <c r="A9" s="849"/>
      <c r="B9" s="868" t="s">
        <v>23</v>
      </c>
      <c r="C9" s="889" t="n">
        <v>0</v>
      </c>
      <c r="D9" s="890" t="n">
        <v>0</v>
      </c>
      <c r="E9" s="891" t="n">
        <v>0</v>
      </c>
      <c r="F9" s="890" t="n">
        <v>0</v>
      </c>
      <c r="G9" s="890" t="n">
        <v>0</v>
      </c>
      <c r="H9" s="890" t="n">
        <v>0</v>
      </c>
      <c r="I9" s="892" t="n">
        <v>0</v>
      </c>
      <c r="J9" s="893" t="n">
        <f aca="false" t="array" ref="J9:J9">SUM(IF(ISNUMBER(B9:I9), B9:I9, 0))</f>
        <v>0</v>
      </c>
      <c r="K9" s="867"/>
      <c r="L9" s="894" t="s">
        <v>24</v>
      </c>
      <c r="M9" s="849"/>
      <c r="N9" s="849"/>
      <c r="O9" s="849"/>
      <c r="P9" s="849"/>
      <c r="Q9" s="849"/>
      <c r="R9" s="849"/>
      <c r="S9" s="849"/>
      <c r="T9" s="849"/>
      <c r="U9" s="849"/>
      <c r="V9" s="849"/>
      <c r="W9" s="849"/>
      <c r="X9" s="849"/>
      <c r="Y9" s="849"/>
      <c r="Z9" s="849"/>
      <c r="AA9" s="849"/>
      <c r="AB9" s="849"/>
      <c r="AC9" s="849"/>
      <c r="AD9" s="849"/>
      <c r="AE9" s="849"/>
      <c r="AF9" s="849"/>
    </row>
    <row r="10" customFormat="false" ht="23.25" hidden="false" customHeight="true" outlineLevel="0" collapsed="false">
      <c r="A10" s="849"/>
      <c r="B10" s="868" t="s">
        <v>25</v>
      </c>
      <c r="C10" s="889" t="n">
        <v>0</v>
      </c>
      <c r="D10" s="890" t="n">
        <v>0</v>
      </c>
      <c r="E10" s="891" t="n">
        <v>0</v>
      </c>
      <c r="F10" s="890" t="n">
        <v>0</v>
      </c>
      <c r="G10" s="890" t="n">
        <v>0</v>
      </c>
      <c r="H10" s="890" t="n">
        <v>0</v>
      </c>
      <c r="I10" s="895" t="n">
        <v>0</v>
      </c>
      <c r="J10" s="896" t="n">
        <f aca="false" t="array" ref="J10:J10">SUM(IF(ISNUMBER(B10:I10), B10:I10, 0))</f>
        <v>0</v>
      </c>
      <c r="K10" s="867"/>
      <c r="L10" s="894" t="s">
        <v>26</v>
      </c>
      <c r="M10" s="849"/>
      <c r="N10" s="849"/>
      <c r="O10" s="849"/>
      <c r="P10" s="849"/>
      <c r="Q10" s="849"/>
      <c r="R10" s="849"/>
      <c r="S10" s="849"/>
      <c r="T10" s="849"/>
      <c r="U10" s="849"/>
      <c r="V10" s="849"/>
      <c r="W10" s="849"/>
      <c r="X10" s="849"/>
      <c r="Y10" s="849"/>
      <c r="Z10" s="849"/>
      <c r="AA10" s="849"/>
      <c r="AB10" s="849"/>
      <c r="AC10" s="849"/>
      <c r="AD10" s="849"/>
      <c r="AE10" s="849"/>
      <c r="AF10" s="849"/>
    </row>
    <row r="11" customFormat="false" ht="23.25" hidden="false" customHeight="true" outlineLevel="0" collapsed="false">
      <c r="A11" s="849"/>
      <c r="B11" s="897" t="s">
        <v>27</v>
      </c>
      <c r="C11" s="898" t="s">
        <v>445</v>
      </c>
      <c r="D11" s="899" t="s">
        <v>446</v>
      </c>
      <c r="E11" s="900" t="s">
        <v>447</v>
      </c>
      <c r="F11" s="899" t="s">
        <v>448</v>
      </c>
      <c r="G11" s="899" t="s">
        <v>449</v>
      </c>
      <c r="H11" s="902" t="s">
        <v>450</v>
      </c>
      <c r="I11" s="903" t="s">
        <v>451</v>
      </c>
      <c r="J11" s="882"/>
      <c r="K11" s="867"/>
      <c r="L11" s="907"/>
      <c r="M11" s="849"/>
      <c r="N11" s="849"/>
      <c r="O11" s="849"/>
      <c r="P11" s="849"/>
      <c r="Q11" s="849"/>
      <c r="R11" s="849"/>
      <c r="S11" s="849"/>
      <c r="T11" s="849"/>
      <c r="U11" s="849"/>
      <c r="V11" s="849"/>
      <c r="W11" s="849"/>
      <c r="X11" s="849"/>
      <c r="Y11" s="849"/>
      <c r="Z11" s="849"/>
      <c r="AA11" s="849"/>
      <c r="AB11" s="849"/>
      <c r="AC11" s="849"/>
      <c r="AD11" s="849"/>
      <c r="AE11" s="849"/>
      <c r="AF11" s="849"/>
    </row>
    <row r="12" customFormat="false" ht="23.25" hidden="false" customHeight="true" outlineLevel="0" collapsed="false">
      <c r="A12" s="849"/>
      <c r="B12" s="849" t="s">
        <v>4</v>
      </c>
      <c r="C12" s="904" t="n">
        <v>8</v>
      </c>
      <c r="D12" s="904" t="n">
        <v>9</v>
      </c>
      <c r="E12" s="904" t="n">
        <v>10</v>
      </c>
      <c r="F12" s="904" t="n">
        <v>11</v>
      </c>
      <c r="G12" s="904" t="n">
        <v>12</v>
      </c>
      <c r="H12" s="905" t="n">
        <v>13</v>
      </c>
      <c r="I12" s="869" t="n">
        <v>14</v>
      </c>
      <c r="J12" s="906"/>
      <c r="K12" s="867"/>
      <c r="L12" s="907"/>
      <c r="M12" s="849"/>
      <c r="N12" s="849"/>
      <c r="O12" s="849"/>
      <c r="P12" s="849"/>
      <c r="Q12" s="849"/>
      <c r="R12" s="849"/>
      <c r="S12" s="849"/>
      <c r="T12" s="849"/>
      <c r="U12" s="849"/>
      <c r="V12" s="849"/>
      <c r="W12" s="849"/>
      <c r="X12" s="849"/>
      <c r="Y12" s="849"/>
      <c r="Z12" s="849"/>
      <c r="AA12" s="849"/>
      <c r="AB12" s="849"/>
      <c r="AC12" s="849"/>
      <c r="AD12" s="849"/>
      <c r="AE12" s="849"/>
      <c r="AF12" s="849"/>
    </row>
    <row r="13" customFormat="false" ht="23.25" hidden="false" customHeight="true" outlineLevel="0" collapsed="false">
      <c r="A13" s="849"/>
      <c r="B13" s="849"/>
      <c r="C13" s="933" t="s">
        <v>80</v>
      </c>
      <c r="D13" s="918" t="s">
        <v>352</v>
      </c>
      <c r="E13" s="918" t="s">
        <v>80</v>
      </c>
      <c r="F13" s="918" t="s">
        <v>80</v>
      </c>
      <c r="G13" s="918" t="s">
        <v>209</v>
      </c>
      <c r="H13" s="918" t="s">
        <v>62</v>
      </c>
      <c r="I13" s="877" t="s">
        <v>359</v>
      </c>
      <c r="J13" s="906"/>
      <c r="K13" s="867"/>
      <c r="L13" s="907"/>
      <c r="M13" s="849"/>
      <c r="N13" s="849"/>
      <c r="O13" s="849"/>
      <c r="P13" s="849"/>
      <c r="Q13" s="849"/>
      <c r="R13" s="849"/>
      <c r="S13" s="849"/>
      <c r="T13" s="849"/>
      <c r="U13" s="849"/>
      <c r="V13" s="849"/>
      <c r="W13" s="849"/>
      <c r="X13" s="849"/>
      <c r="Y13" s="849"/>
      <c r="Z13" s="849"/>
      <c r="AA13" s="849"/>
      <c r="AB13" s="849"/>
      <c r="AC13" s="849"/>
      <c r="AD13" s="849"/>
      <c r="AE13" s="849"/>
      <c r="AF13" s="849"/>
    </row>
    <row r="14" customFormat="false" ht="23.25" hidden="false" customHeight="true" outlineLevel="0" collapsed="false">
      <c r="A14" s="849"/>
      <c r="B14" s="849"/>
      <c r="C14" s="929" t="n">
        <v>0.29</v>
      </c>
      <c r="D14" s="879" t="n">
        <v>0.38</v>
      </c>
      <c r="E14" s="879" t="n">
        <v>0.48</v>
      </c>
      <c r="F14" s="879" t="n">
        <v>0.58</v>
      </c>
      <c r="G14" s="879" t="n">
        <v>0.68</v>
      </c>
      <c r="H14" s="879" t="n">
        <v>0.78</v>
      </c>
      <c r="I14" s="881" t="n">
        <v>0.86</v>
      </c>
      <c r="J14" s="867"/>
      <c r="K14" s="867"/>
      <c r="L14" s="907"/>
      <c r="M14" s="849"/>
      <c r="N14" s="849"/>
      <c r="O14" s="849"/>
      <c r="P14" s="849"/>
      <c r="Q14" s="849"/>
      <c r="R14" s="849"/>
      <c r="S14" s="849"/>
      <c r="T14" s="849"/>
      <c r="U14" s="849"/>
      <c r="V14" s="849"/>
      <c r="W14" s="849"/>
      <c r="X14" s="849"/>
      <c r="Y14" s="849"/>
      <c r="Z14" s="849"/>
      <c r="AA14" s="849"/>
      <c r="AB14" s="849"/>
      <c r="AC14" s="849"/>
      <c r="AD14" s="849"/>
      <c r="AE14" s="849"/>
      <c r="AF14" s="849"/>
    </row>
    <row r="15" customFormat="false" ht="23.25" hidden="false" customHeight="true" outlineLevel="0" collapsed="false">
      <c r="A15" s="849"/>
      <c r="B15" s="849"/>
      <c r="C15" s="883" t="s">
        <v>62</v>
      </c>
      <c r="D15" s="884" t="s">
        <v>80</v>
      </c>
      <c r="E15" s="884" t="s">
        <v>169</v>
      </c>
      <c r="F15" s="884" t="s">
        <v>352</v>
      </c>
      <c r="G15" s="884" t="s">
        <v>40</v>
      </c>
      <c r="H15" s="884" t="s">
        <v>180</v>
      </c>
      <c r="I15" s="886" t="s">
        <v>54</v>
      </c>
      <c r="J15" s="887" t="s">
        <v>29</v>
      </c>
      <c r="K15" s="867"/>
      <c r="L15" s="907"/>
      <c r="M15" s="849"/>
      <c r="N15" s="849"/>
      <c r="O15" s="849"/>
      <c r="P15" s="849"/>
      <c r="Q15" s="849"/>
      <c r="R15" s="849"/>
      <c r="S15" s="849"/>
      <c r="T15" s="849"/>
      <c r="U15" s="849"/>
      <c r="V15" s="849"/>
      <c r="W15" s="849"/>
      <c r="X15" s="849"/>
      <c r="Y15" s="849"/>
      <c r="Z15" s="849"/>
      <c r="AA15" s="849"/>
      <c r="AB15" s="849"/>
      <c r="AC15" s="849"/>
      <c r="AD15" s="849"/>
      <c r="AE15" s="849"/>
      <c r="AF15" s="849"/>
    </row>
    <row r="16" customFormat="false" ht="23.25" hidden="false" customHeight="true" outlineLevel="0" collapsed="false">
      <c r="A16" s="849"/>
      <c r="B16" s="849"/>
      <c r="C16" s="889" t="n">
        <v>7.3</v>
      </c>
      <c r="D16" s="890" t="s">
        <v>452</v>
      </c>
      <c r="E16" s="890" t="n">
        <v>5.5</v>
      </c>
      <c r="F16" s="890" t="n">
        <v>4.7</v>
      </c>
      <c r="G16" s="890" t="n">
        <v>1.7</v>
      </c>
      <c r="H16" s="890" t="s">
        <v>453</v>
      </c>
      <c r="I16" s="892" t="s">
        <v>454</v>
      </c>
      <c r="J16" s="893" t="n">
        <f aca="false" t="array" ref="J16:J16">SUM(IF(ISNUMBER(B16:I16), B16:I16, 0))</f>
        <v>19.2</v>
      </c>
      <c r="K16" s="867"/>
      <c r="L16" s="803" t="s">
        <v>22</v>
      </c>
      <c r="M16" s="849"/>
      <c r="N16" s="849"/>
      <c r="O16" s="849"/>
      <c r="P16" s="849"/>
      <c r="Q16" s="849"/>
      <c r="R16" s="849"/>
      <c r="S16" s="849"/>
      <c r="T16" s="849"/>
      <c r="U16" s="849"/>
      <c r="V16" s="849"/>
      <c r="W16" s="849"/>
      <c r="X16" s="849"/>
      <c r="Y16" s="849"/>
      <c r="Z16" s="849"/>
      <c r="AA16" s="849"/>
      <c r="AB16" s="849"/>
      <c r="AC16" s="849"/>
      <c r="AD16" s="849"/>
      <c r="AE16" s="849"/>
      <c r="AF16" s="849"/>
    </row>
    <row r="17" customFormat="false" ht="23.25" hidden="false" customHeight="true" outlineLevel="0" collapsed="false">
      <c r="A17" s="849"/>
      <c r="B17" s="849"/>
      <c r="C17" s="889" t="n">
        <v>0</v>
      </c>
      <c r="D17" s="890" t="n">
        <v>0</v>
      </c>
      <c r="E17" s="890" t="n">
        <v>0</v>
      </c>
      <c r="F17" s="890" t="n">
        <v>0</v>
      </c>
      <c r="G17" s="890" t="n">
        <v>0</v>
      </c>
      <c r="H17" s="890" t="n">
        <v>0</v>
      </c>
      <c r="I17" s="892" t="n">
        <v>0</v>
      </c>
      <c r="J17" s="893" t="n">
        <f aca="false" t="array" ref="J17:J17">SUM(IF(ISNUMBER(B17:I17), B17:I17, 0))</f>
        <v>0</v>
      </c>
      <c r="K17" s="867"/>
      <c r="L17" s="803" t="s">
        <v>24</v>
      </c>
      <c r="M17" s="849"/>
      <c r="N17" s="849"/>
      <c r="O17" s="849"/>
      <c r="P17" s="849"/>
      <c r="Q17" s="849"/>
      <c r="R17" s="849"/>
      <c r="S17" s="849"/>
      <c r="T17" s="849"/>
      <c r="U17" s="849"/>
      <c r="V17" s="849"/>
      <c r="W17" s="849"/>
      <c r="X17" s="849"/>
      <c r="Y17" s="849"/>
      <c r="Z17" s="849"/>
      <c r="AA17" s="849"/>
      <c r="AB17" s="849"/>
      <c r="AC17" s="849"/>
      <c r="AD17" s="849"/>
      <c r="AE17" s="849"/>
      <c r="AF17" s="849"/>
    </row>
    <row r="18" customFormat="false" ht="23.25" hidden="false" customHeight="true" outlineLevel="0" collapsed="false">
      <c r="A18" s="849"/>
      <c r="B18" s="849"/>
      <c r="C18" s="889" t="n">
        <v>0</v>
      </c>
      <c r="D18" s="890" t="n">
        <v>0</v>
      </c>
      <c r="E18" s="890" t="n">
        <v>0</v>
      </c>
      <c r="F18" s="890" t="n">
        <v>0</v>
      </c>
      <c r="G18" s="890" t="n">
        <v>0</v>
      </c>
      <c r="H18" s="890" t="n">
        <v>0</v>
      </c>
      <c r="I18" s="892" t="n">
        <v>0</v>
      </c>
      <c r="J18" s="896" t="n">
        <f aca="false" t="array" ref="J18:J18">SUM(IF(ISNUMBER(B18:I18), B18:I18, 0))</f>
        <v>0</v>
      </c>
      <c r="K18" s="867"/>
      <c r="L18" s="803" t="s">
        <v>26</v>
      </c>
      <c r="M18" s="849"/>
      <c r="N18" s="849"/>
      <c r="O18" s="849"/>
      <c r="P18" s="849"/>
      <c r="Q18" s="849"/>
      <c r="R18" s="849"/>
      <c r="S18" s="849"/>
      <c r="T18" s="849"/>
      <c r="U18" s="849"/>
      <c r="V18" s="849"/>
      <c r="W18" s="849"/>
      <c r="X18" s="849"/>
      <c r="Y18" s="849"/>
      <c r="Z18" s="849"/>
      <c r="AA18" s="849"/>
      <c r="AB18" s="849"/>
      <c r="AC18" s="849"/>
      <c r="AD18" s="849"/>
      <c r="AE18" s="849"/>
      <c r="AF18" s="849"/>
    </row>
    <row r="19" customFormat="false" ht="23.25" hidden="false" customHeight="true" outlineLevel="0" collapsed="false">
      <c r="A19" s="849"/>
      <c r="B19" s="849"/>
      <c r="C19" s="912" t="s">
        <v>455</v>
      </c>
      <c r="D19" s="913" t="s">
        <v>456</v>
      </c>
      <c r="E19" s="899" t="s">
        <v>457</v>
      </c>
      <c r="F19" s="899" t="s">
        <v>458</v>
      </c>
      <c r="G19" s="914" t="s">
        <v>459</v>
      </c>
      <c r="H19" s="915" t="s">
        <v>460</v>
      </c>
      <c r="I19" s="903" t="s">
        <v>461</v>
      </c>
      <c r="J19" s="867"/>
      <c r="K19" s="867"/>
      <c r="L19" s="907"/>
      <c r="M19" s="849"/>
      <c r="N19" s="849"/>
      <c r="O19" s="849"/>
      <c r="P19" s="849"/>
      <c r="Q19" s="849"/>
      <c r="R19" s="849"/>
      <c r="S19" s="849"/>
      <c r="T19" s="849"/>
      <c r="U19" s="849"/>
      <c r="V19" s="849"/>
      <c r="W19" s="849"/>
      <c r="X19" s="849"/>
      <c r="Y19" s="849"/>
      <c r="Z19" s="849"/>
      <c r="AA19" s="849"/>
      <c r="AB19" s="849"/>
      <c r="AC19" s="849"/>
      <c r="AD19" s="849"/>
      <c r="AE19" s="849"/>
      <c r="AF19" s="849"/>
    </row>
    <row r="20" customFormat="false" ht="23.25" hidden="false" customHeight="true" outlineLevel="0" collapsed="false">
      <c r="A20" s="849"/>
      <c r="B20" s="849"/>
      <c r="C20" s="904" t="n">
        <v>15</v>
      </c>
      <c r="D20" s="904" t="n">
        <v>16</v>
      </c>
      <c r="E20" s="904" t="n">
        <v>17</v>
      </c>
      <c r="F20" s="904" t="n">
        <v>18</v>
      </c>
      <c r="G20" s="904" t="n">
        <v>19</v>
      </c>
      <c r="H20" s="905" t="n">
        <v>20</v>
      </c>
      <c r="I20" s="871" t="n">
        <v>21</v>
      </c>
      <c r="J20" s="906"/>
      <c r="K20" s="867"/>
      <c r="L20" s="907"/>
      <c r="M20" s="849"/>
      <c r="N20" s="849"/>
      <c r="O20" s="849"/>
      <c r="P20" s="849"/>
      <c r="Q20" s="849"/>
      <c r="R20" s="849"/>
      <c r="S20" s="849"/>
      <c r="T20" s="849"/>
      <c r="U20" s="849"/>
      <c r="V20" s="849"/>
      <c r="W20" s="849"/>
      <c r="X20" s="849"/>
      <c r="Y20" s="849"/>
      <c r="Z20" s="849"/>
      <c r="AA20" s="849"/>
      <c r="AB20" s="849"/>
      <c r="AC20" s="849"/>
      <c r="AD20" s="849"/>
      <c r="AE20" s="849"/>
      <c r="AF20" s="849"/>
    </row>
    <row r="21" customFormat="false" ht="23.25" hidden="false" customHeight="true" outlineLevel="0" collapsed="false">
      <c r="A21" s="849"/>
      <c r="B21" s="849"/>
      <c r="C21" s="946"/>
      <c r="D21" s="943"/>
      <c r="E21" s="943"/>
      <c r="F21" s="943"/>
      <c r="G21" s="943"/>
      <c r="H21" s="918" t="s">
        <v>79</v>
      </c>
      <c r="I21" s="920" t="s">
        <v>40</v>
      </c>
      <c r="J21" s="906"/>
      <c r="K21" s="867"/>
      <c r="L21" s="907"/>
      <c r="M21" s="849"/>
      <c r="N21" s="849"/>
      <c r="O21" s="849"/>
      <c r="P21" s="849"/>
      <c r="Q21" s="849"/>
      <c r="R21" s="849"/>
      <c r="S21" s="849"/>
      <c r="T21" s="849"/>
      <c r="U21" s="849"/>
      <c r="V21" s="849"/>
      <c r="W21" s="849"/>
      <c r="X21" s="849"/>
      <c r="Y21" s="849"/>
      <c r="Z21" s="849"/>
      <c r="AA21" s="849"/>
      <c r="AB21" s="849"/>
      <c r="AC21" s="849"/>
      <c r="AD21" s="849"/>
      <c r="AE21" s="849"/>
      <c r="AF21" s="849"/>
    </row>
    <row r="22" customFormat="false" ht="23.25" hidden="false" customHeight="true" outlineLevel="0" collapsed="false">
      <c r="A22" s="849"/>
      <c r="B22" s="849"/>
      <c r="C22" s="929" t="n">
        <v>0.93</v>
      </c>
      <c r="D22" s="879" t="n">
        <v>0.98</v>
      </c>
      <c r="E22" s="879" t="n">
        <v>1</v>
      </c>
      <c r="F22" s="879" t="n">
        <v>0.99</v>
      </c>
      <c r="G22" s="879" t="n">
        <v>0.95</v>
      </c>
      <c r="H22" s="879" t="n">
        <v>0.88</v>
      </c>
      <c r="I22" s="881" t="n">
        <v>0.79</v>
      </c>
      <c r="J22" s="867"/>
      <c r="K22" s="867"/>
      <c r="L22" s="907"/>
      <c r="M22" s="849"/>
      <c r="N22" s="849"/>
      <c r="O22" s="849"/>
      <c r="P22" s="849"/>
      <c r="Q22" s="849"/>
      <c r="R22" s="849"/>
      <c r="S22" s="849"/>
      <c r="T22" s="849"/>
      <c r="U22" s="849"/>
      <c r="V22" s="849"/>
      <c r="W22" s="849"/>
      <c r="X22" s="849"/>
      <c r="Y22" s="849"/>
      <c r="Z22" s="849"/>
      <c r="AA22" s="849"/>
      <c r="AB22" s="849"/>
      <c r="AC22" s="849"/>
      <c r="AD22" s="849"/>
      <c r="AE22" s="849"/>
      <c r="AF22" s="849"/>
    </row>
    <row r="23" customFormat="false" ht="23.25" hidden="false" customHeight="true" outlineLevel="0" collapsed="false">
      <c r="A23" s="849"/>
      <c r="B23" s="849"/>
      <c r="C23" s="883"/>
      <c r="D23" s="884"/>
      <c r="E23" s="884"/>
      <c r="F23" s="884"/>
      <c r="G23" s="884"/>
      <c r="H23" s="884" t="s">
        <v>40</v>
      </c>
      <c r="I23" s="886" t="s">
        <v>80</v>
      </c>
      <c r="J23" s="887" t="s">
        <v>30</v>
      </c>
      <c r="K23" s="867"/>
      <c r="L23" s="907"/>
      <c r="M23" s="849"/>
      <c r="N23" s="849"/>
      <c r="O23" s="849"/>
      <c r="P23" s="849"/>
      <c r="Q23" s="849"/>
      <c r="R23" s="849"/>
      <c r="S23" s="849"/>
      <c r="T23" s="849"/>
      <c r="U23" s="849"/>
      <c r="V23" s="849"/>
      <c r="W23" s="849"/>
      <c r="X23" s="849"/>
      <c r="Y23" s="849"/>
      <c r="Z23" s="849"/>
      <c r="AA23" s="849"/>
      <c r="AB23" s="849"/>
      <c r="AC23" s="849"/>
      <c r="AD23" s="849"/>
      <c r="AE23" s="849"/>
      <c r="AF23" s="849"/>
    </row>
    <row r="24" customFormat="false" ht="23.25" hidden="false" customHeight="true" outlineLevel="0" collapsed="false">
      <c r="A24" s="849"/>
      <c r="B24" s="849"/>
      <c r="C24" s="889"/>
      <c r="D24" s="921"/>
      <c r="E24" s="890"/>
      <c r="F24" s="890"/>
      <c r="G24" s="890"/>
      <c r="H24" s="890" t="s">
        <v>462</v>
      </c>
      <c r="I24" s="892" t="s">
        <v>463</v>
      </c>
      <c r="J24" s="893" t="n">
        <f aca="false" t="array" ref="J24:J24">SUM(IF(ISNUMBER(B24:I24), B24:I24, 0))</f>
        <v>0</v>
      </c>
      <c r="K24" s="867"/>
      <c r="L24" s="803" t="s">
        <v>22</v>
      </c>
      <c r="M24" s="849"/>
      <c r="N24" s="849"/>
      <c r="O24" s="849"/>
      <c r="P24" s="849"/>
      <c r="Q24" s="849"/>
      <c r="R24" s="849"/>
      <c r="S24" s="849"/>
      <c r="T24" s="849"/>
      <c r="U24" s="849"/>
      <c r="V24" s="849"/>
      <c r="W24" s="849"/>
      <c r="X24" s="849"/>
      <c r="Y24" s="849"/>
      <c r="Z24" s="849"/>
      <c r="AA24" s="849"/>
      <c r="AB24" s="849"/>
      <c r="AC24" s="849"/>
      <c r="AD24" s="849"/>
      <c r="AE24" s="849"/>
      <c r="AF24" s="849"/>
    </row>
    <row r="25" customFormat="false" ht="23.25" hidden="false" customHeight="true" outlineLevel="0" collapsed="false">
      <c r="A25" s="849"/>
      <c r="B25" s="849"/>
      <c r="C25" s="889"/>
      <c r="D25" s="921"/>
      <c r="E25" s="890"/>
      <c r="F25" s="890"/>
      <c r="G25" s="890"/>
      <c r="H25" s="890" t="n">
        <v>0</v>
      </c>
      <c r="I25" s="892" t="n">
        <v>0</v>
      </c>
      <c r="J25" s="893" t="n">
        <f aca="false" t="array" ref="J25:J25">SUM(IF(ISNUMBER(B25:I25), B25:I25, 0))</f>
        <v>0</v>
      </c>
      <c r="K25" s="867"/>
      <c r="L25" s="803" t="s">
        <v>24</v>
      </c>
      <c r="M25" s="849"/>
      <c r="N25" s="849"/>
      <c r="O25" s="849"/>
      <c r="P25" s="849"/>
      <c r="Q25" s="849"/>
      <c r="R25" s="849"/>
      <c r="S25" s="849"/>
      <c r="T25" s="849"/>
      <c r="U25" s="849"/>
      <c r="V25" s="849"/>
      <c r="W25" s="849"/>
      <c r="X25" s="849"/>
      <c r="Y25" s="849"/>
      <c r="Z25" s="849"/>
      <c r="AA25" s="849"/>
      <c r="AB25" s="849"/>
      <c r="AC25" s="849"/>
      <c r="AD25" s="849"/>
      <c r="AE25" s="849"/>
      <c r="AF25" s="849"/>
    </row>
    <row r="26" customFormat="false" ht="23.25" hidden="false" customHeight="true" outlineLevel="0" collapsed="false">
      <c r="A26" s="849"/>
      <c r="B26" s="849"/>
      <c r="C26" s="949"/>
      <c r="D26" s="922"/>
      <c r="E26" s="922"/>
      <c r="F26" s="922"/>
      <c r="G26" s="922"/>
      <c r="H26" s="890" t="n">
        <v>0</v>
      </c>
      <c r="I26" s="892" t="n">
        <v>0</v>
      </c>
      <c r="J26" s="896" t="n">
        <f aca="false" t="array" ref="J26:J26">SUM(IF(ISNUMBER(B26:I26), B26:I26, 0))</f>
        <v>0</v>
      </c>
      <c r="K26" s="867"/>
      <c r="L26" s="803" t="s">
        <v>26</v>
      </c>
      <c r="M26" s="849"/>
      <c r="N26" s="849"/>
      <c r="O26" s="849"/>
      <c r="P26" s="849"/>
      <c r="Q26" s="849"/>
      <c r="R26" s="849"/>
      <c r="S26" s="849"/>
      <c r="T26" s="849"/>
      <c r="U26" s="849"/>
      <c r="V26" s="849"/>
      <c r="W26" s="849"/>
      <c r="X26" s="849"/>
      <c r="Y26" s="849"/>
      <c r="Z26" s="849"/>
      <c r="AA26" s="849"/>
      <c r="AB26" s="849"/>
      <c r="AC26" s="849"/>
      <c r="AD26" s="849"/>
      <c r="AE26" s="849"/>
      <c r="AF26" s="849"/>
    </row>
    <row r="27" customFormat="false" ht="23.25" hidden="false" customHeight="true" outlineLevel="0" collapsed="false">
      <c r="A27" s="849"/>
      <c r="B27" s="849"/>
      <c r="C27" s="950"/>
      <c r="D27" s="951"/>
      <c r="E27" s="951"/>
      <c r="F27" s="952"/>
      <c r="G27" s="951"/>
      <c r="H27" s="899" t="s">
        <v>464</v>
      </c>
      <c r="I27" s="927" t="s">
        <v>465</v>
      </c>
      <c r="J27" s="867"/>
      <c r="K27" s="867"/>
      <c r="L27" s="907"/>
      <c r="M27" s="849"/>
      <c r="N27" s="849"/>
      <c r="O27" s="849"/>
      <c r="P27" s="849"/>
      <c r="Q27" s="849"/>
      <c r="R27" s="849"/>
      <c r="S27" s="849"/>
      <c r="T27" s="849"/>
      <c r="U27" s="849"/>
      <c r="V27" s="849"/>
      <c r="W27" s="849"/>
      <c r="X27" s="849"/>
      <c r="Y27" s="849"/>
      <c r="Z27" s="849"/>
      <c r="AA27" s="849"/>
      <c r="AB27" s="849"/>
      <c r="AC27" s="849"/>
      <c r="AD27" s="849"/>
      <c r="AE27" s="849"/>
      <c r="AF27" s="849"/>
    </row>
    <row r="28" customFormat="false" ht="23.25" hidden="false" customHeight="true" outlineLevel="0" collapsed="false">
      <c r="A28" s="849"/>
      <c r="B28" s="849"/>
      <c r="C28" s="904" t="n">
        <v>22</v>
      </c>
      <c r="D28" s="904" t="n">
        <v>23</v>
      </c>
      <c r="E28" s="904" t="n">
        <v>24</v>
      </c>
      <c r="F28" s="904" t="n">
        <v>25</v>
      </c>
      <c r="G28" s="904" t="n">
        <v>26</v>
      </c>
      <c r="H28" s="905" t="n">
        <v>27</v>
      </c>
      <c r="I28" s="953" t="n">
        <v>28</v>
      </c>
      <c r="J28" s="928"/>
      <c r="K28" s="867"/>
      <c r="L28" s="907"/>
      <c r="M28" s="849"/>
      <c r="N28" s="849"/>
      <c r="O28" s="849"/>
      <c r="P28" s="849"/>
      <c r="Q28" s="849"/>
      <c r="R28" s="849"/>
      <c r="S28" s="849"/>
      <c r="T28" s="849"/>
      <c r="U28" s="849"/>
      <c r="V28" s="849"/>
      <c r="W28" s="849"/>
      <c r="X28" s="849"/>
      <c r="Y28" s="849"/>
      <c r="Z28" s="849"/>
      <c r="AA28" s="849"/>
      <c r="AB28" s="849"/>
      <c r="AC28" s="849"/>
      <c r="AD28" s="849"/>
      <c r="AE28" s="849"/>
      <c r="AF28" s="849"/>
    </row>
    <row r="29" customFormat="false" ht="23.25" hidden="false" customHeight="true" outlineLevel="0" collapsed="false">
      <c r="A29" s="849"/>
      <c r="B29" s="849"/>
      <c r="C29" s="954" t="s">
        <v>80</v>
      </c>
      <c r="D29" s="875" t="s">
        <v>352</v>
      </c>
      <c r="E29" s="875" t="s">
        <v>80</v>
      </c>
      <c r="F29" s="875" t="s">
        <v>80</v>
      </c>
      <c r="G29" s="875" t="s">
        <v>209</v>
      </c>
      <c r="H29" s="875" t="s">
        <v>40</v>
      </c>
      <c r="I29" s="920" t="s">
        <v>359</v>
      </c>
      <c r="J29" s="906"/>
      <c r="K29" s="867"/>
      <c r="L29" s="907"/>
      <c r="M29" s="849"/>
      <c r="N29" s="849"/>
      <c r="O29" s="849"/>
      <c r="P29" s="849"/>
      <c r="Q29" s="849"/>
      <c r="R29" s="849"/>
      <c r="S29" s="849"/>
      <c r="T29" s="849"/>
      <c r="U29" s="849"/>
      <c r="V29" s="849"/>
      <c r="W29" s="849"/>
      <c r="X29" s="849"/>
      <c r="Y29" s="849"/>
      <c r="Z29" s="849"/>
      <c r="AA29" s="849"/>
      <c r="AB29" s="849"/>
      <c r="AC29" s="849"/>
      <c r="AD29" s="849"/>
      <c r="AE29" s="849"/>
      <c r="AF29" s="849"/>
    </row>
    <row r="30" customFormat="false" ht="23.25" hidden="false" customHeight="true" outlineLevel="0" collapsed="false">
      <c r="A30" s="849"/>
      <c r="B30" s="849"/>
      <c r="C30" s="929" t="n">
        <v>0.69</v>
      </c>
      <c r="D30" s="879" t="n">
        <v>0.58</v>
      </c>
      <c r="E30" s="879" t="n">
        <v>0.48</v>
      </c>
      <c r="F30" s="879" t="n">
        <v>0.37</v>
      </c>
      <c r="G30" s="879" t="n">
        <v>0.28</v>
      </c>
      <c r="H30" s="879" t="n">
        <v>0.2</v>
      </c>
      <c r="I30" s="881" t="n">
        <v>0.12</v>
      </c>
      <c r="J30" s="867"/>
      <c r="K30" s="867"/>
      <c r="L30" s="907"/>
      <c r="M30" s="849"/>
      <c r="N30" s="849"/>
      <c r="O30" s="849"/>
      <c r="P30" s="849"/>
      <c r="Q30" s="849"/>
      <c r="R30" s="849"/>
      <c r="S30" s="849"/>
      <c r="T30" s="849"/>
      <c r="U30" s="849"/>
      <c r="V30" s="849"/>
      <c r="W30" s="849"/>
      <c r="X30" s="849"/>
      <c r="Y30" s="849"/>
      <c r="Z30" s="849"/>
      <c r="AA30" s="849"/>
      <c r="AB30" s="849"/>
      <c r="AC30" s="849"/>
      <c r="AD30" s="849"/>
      <c r="AE30" s="849"/>
      <c r="AF30" s="849"/>
    </row>
    <row r="31" customFormat="false" ht="23.25" hidden="false" customHeight="true" outlineLevel="0" collapsed="false">
      <c r="A31" s="849"/>
      <c r="B31" s="849"/>
      <c r="C31" s="883" t="s">
        <v>169</v>
      </c>
      <c r="D31" s="884" t="s">
        <v>80</v>
      </c>
      <c r="E31" s="884" t="s">
        <v>169</v>
      </c>
      <c r="F31" s="884" t="s">
        <v>352</v>
      </c>
      <c r="G31" s="884" t="s">
        <v>62</v>
      </c>
      <c r="H31" s="884" t="s">
        <v>80</v>
      </c>
      <c r="I31" s="886" t="s">
        <v>54</v>
      </c>
      <c r="J31" s="887" t="s">
        <v>31</v>
      </c>
      <c r="K31" s="867"/>
      <c r="L31" s="907"/>
      <c r="M31" s="849"/>
      <c r="N31" s="849"/>
      <c r="O31" s="849"/>
      <c r="P31" s="849"/>
      <c r="Q31" s="849"/>
      <c r="R31" s="849"/>
      <c r="S31" s="849"/>
      <c r="T31" s="849"/>
      <c r="U31" s="849"/>
      <c r="V31" s="849"/>
      <c r="W31" s="849"/>
      <c r="X31" s="849"/>
      <c r="Y31" s="849"/>
      <c r="Z31" s="849"/>
      <c r="AA31" s="849"/>
      <c r="AB31" s="849"/>
      <c r="AC31" s="849"/>
      <c r="AD31" s="849"/>
      <c r="AE31" s="849"/>
      <c r="AF31" s="849"/>
    </row>
    <row r="32" customFormat="false" ht="23.25" hidden="false" customHeight="true" outlineLevel="0" collapsed="false">
      <c r="A32" s="849"/>
      <c r="B32" s="849"/>
      <c r="C32" s="889" t="s">
        <v>466</v>
      </c>
      <c r="D32" s="890" t="n">
        <v>2.5</v>
      </c>
      <c r="E32" s="890" t="n">
        <v>3.5</v>
      </c>
      <c r="F32" s="890" t="n">
        <v>4.9</v>
      </c>
      <c r="G32" s="890" t="n">
        <v>3.6</v>
      </c>
      <c r="H32" s="890" t="n">
        <v>0.7</v>
      </c>
      <c r="I32" s="892" t="n">
        <v>8.3</v>
      </c>
      <c r="J32" s="893" t="n">
        <f aca="false" t="array" ref="J32:J32">SUM(IF(ISNUMBER(B32:I32), B32:I32, 0))</f>
        <v>23.5</v>
      </c>
      <c r="K32" s="867"/>
      <c r="L32" s="803" t="s">
        <v>22</v>
      </c>
      <c r="M32" s="849"/>
      <c r="N32" s="849"/>
      <c r="O32" s="849"/>
      <c r="P32" s="849"/>
      <c r="Q32" s="849"/>
      <c r="R32" s="849"/>
      <c r="S32" s="849"/>
      <c r="T32" s="849"/>
      <c r="U32" s="849"/>
      <c r="V32" s="849"/>
      <c r="W32" s="849"/>
      <c r="X32" s="849"/>
      <c r="Y32" s="849"/>
      <c r="Z32" s="849"/>
      <c r="AA32" s="849"/>
      <c r="AB32" s="849"/>
      <c r="AC32" s="849"/>
      <c r="AD32" s="849"/>
      <c r="AE32" s="849"/>
      <c r="AF32" s="849"/>
    </row>
    <row r="33" customFormat="false" ht="23.25" hidden="false" customHeight="true" outlineLevel="0" collapsed="false">
      <c r="A33" s="849"/>
      <c r="B33" s="849"/>
      <c r="C33" s="889" t="n">
        <v>0</v>
      </c>
      <c r="D33" s="890" t="n">
        <v>0</v>
      </c>
      <c r="E33" s="890" t="n">
        <v>0</v>
      </c>
      <c r="F33" s="890" t="n">
        <v>0</v>
      </c>
      <c r="G33" s="892" t="n">
        <v>0</v>
      </c>
      <c r="H33" s="890" t="n">
        <v>0</v>
      </c>
      <c r="I33" s="892" t="n">
        <v>0</v>
      </c>
      <c r="J33" s="893" t="n">
        <f aca="false" t="array" ref="J33:J33">SUM(IF(ISNUMBER(B33:I33), B33:I33, 0))</f>
        <v>0</v>
      </c>
      <c r="K33" s="867"/>
      <c r="L33" s="803" t="s">
        <v>24</v>
      </c>
      <c r="M33" s="849"/>
      <c r="N33" s="849"/>
      <c r="O33" s="849"/>
      <c r="P33" s="849"/>
      <c r="Q33" s="849"/>
      <c r="R33" s="849"/>
      <c r="S33" s="849"/>
      <c r="T33" s="849"/>
      <c r="U33" s="849"/>
      <c r="V33" s="849"/>
      <c r="W33" s="849"/>
      <c r="X33" s="849"/>
      <c r="Y33" s="849"/>
      <c r="Z33" s="849"/>
      <c r="AA33" s="849"/>
      <c r="AB33" s="849"/>
      <c r="AC33" s="849"/>
      <c r="AD33" s="849"/>
      <c r="AE33" s="849"/>
      <c r="AF33" s="849"/>
    </row>
    <row r="34" customFormat="false" ht="23.25" hidden="false" customHeight="true" outlineLevel="0" collapsed="false">
      <c r="A34" s="849"/>
      <c r="B34" s="849"/>
      <c r="C34" s="889" t="n">
        <v>0</v>
      </c>
      <c r="D34" s="890" t="n">
        <v>0</v>
      </c>
      <c r="E34" s="890" t="n">
        <v>0</v>
      </c>
      <c r="F34" s="890" t="n">
        <v>0</v>
      </c>
      <c r="G34" s="890" t="n">
        <v>0</v>
      </c>
      <c r="H34" s="890" t="n">
        <v>0</v>
      </c>
      <c r="I34" s="892" t="n">
        <v>0</v>
      </c>
      <c r="J34" s="896" t="n">
        <f aca="false" t="array" ref="J34:J34">SUM(IF(ISNUMBER(B34:I34), B34:I34, 0))</f>
        <v>0</v>
      </c>
      <c r="K34" s="867"/>
      <c r="L34" s="803" t="s">
        <v>26</v>
      </c>
      <c r="M34" s="849"/>
      <c r="N34" s="849"/>
      <c r="O34" s="849"/>
      <c r="P34" s="849"/>
      <c r="Q34" s="849"/>
      <c r="R34" s="849"/>
      <c r="S34" s="849"/>
      <c r="T34" s="849"/>
      <c r="U34" s="849"/>
      <c r="V34" s="849"/>
      <c r="W34" s="849"/>
      <c r="X34" s="849"/>
      <c r="Y34" s="849"/>
      <c r="Z34" s="849"/>
      <c r="AA34" s="849"/>
      <c r="AB34" s="849"/>
      <c r="AC34" s="849"/>
      <c r="AD34" s="849"/>
      <c r="AE34" s="849"/>
      <c r="AF34" s="849"/>
    </row>
    <row r="35" customFormat="false" ht="23.25" hidden="false" customHeight="true" outlineLevel="0" collapsed="false">
      <c r="A35" s="849"/>
      <c r="B35" s="849"/>
      <c r="C35" s="912" t="s">
        <v>467</v>
      </c>
      <c r="D35" s="899" t="s">
        <v>468</v>
      </c>
      <c r="E35" s="899" t="s">
        <v>469</v>
      </c>
      <c r="F35" s="899" t="s">
        <v>470</v>
      </c>
      <c r="G35" s="951" t="s">
        <v>471</v>
      </c>
      <c r="H35" s="899" t="s">
        <v>472</v>
      </c>
      <c r="I35" s="955" t="s">
        <v>473</v>
      </c>
      <c r="J35" s="867"/>
      <c r="K35" s="867"/>
      <c r="L35" s="907"/>
      <c r="M35" s="849"/>
      <c r="N35" s="849"/>
      <c r="O35" s="849"/>
      <c r="P35" s="849"/>
      <c r="Q35" s="849"/>
      <c r="R35" s="849"/>
      <c r="S35" s="849"/>
      <c r="T35" s="849"/>
      <c r="U35" s="849"/>
      <c r="V35" s="849"/>
      <c r="W35" s="849"/>
      <c r="X35" s="849"/>
      <c r="Y35" s="849"/>
      <c r="Z35" s="849"/>
      <c r="AA35" s="849"/>
      <c r="AB35" s="849"/>
      <c r="AC35" s="849"/>
      <c r="AD35" s="849"/>
      <c r="AE35" s="849"/>
      <c r="AF35" s="849"/>
    </row>
    <row r="36" customFormat="false" ht="23.25" hidden="false" customHeight="true" outlineLevel="0" collapsed="false">
      <c r="A36" s="849"/>
      <c r="B36" s="849"/>
      <c r="C36" s="904" t="n">
        <v>29</v>
      </c>
      <c r="D36" s="904" t="n">
        <v>30</v>
      </c>
      <c r="E36" s="904"/>
      <c r="F36" s="904"/>
      <c r="G36" s="904"/>
      <c r="H36" s="905"/>
      <c r="I36" s="904"/>
      <c r="J36" s="928"/>
      <c r="K36" s="867"/>
      <c r="L36" s="907"/>
      <c r="M36" s="849"/>
      <c r="N36" s="849"/>
      <c r="O36" s="849"/>
      <c r="P36" s="849"/>
      <c r="Q36" s="849"/>
      <c r="R36" s="849"/>
      <c r="S36" s="849"/>
      <c r="T36" s="849"/>
      <c r="U36" s="849"/>
      <c r="V36" s="849"/>
      <c r="W36" s="849"/>
      <c r="X36" s="849"/>
      <c r="Y36" s="849"/>
      <c r="Z36" s="849"/>
      <c r="AA36" s="849"/>
      <c r="AB36" s="849"/>
      <c r="AC36" s="849"/>
      <c r="AD36" s="849"/>
      <c r="AE36" s="849"/>
      <c r="AF36" s="849"/>
    </row>
    <row r="37" customFormat="false" ht="23.25" hidden="false" customHeight="true" outlineLevel="0" collapsed="false">
      <c r="A37" s="849"/>
      <c r="B37" s="849"/>
      <c r="C37" s="933" t="s">
        <v>80</v>
      </c>
      <c r="D37" s="918" t="s">
        <v>80</v>
      </c>
      <c r="E37" s="918"/>
      <c r="F37" s="918"/>
      <c r="G37" s="918"/>
      <c r="H37" s="918"/>
      <c r="I37" s="877"/>
      <c r="J37" s="906"/>
      <c r="K37" s="867"/>
      <c r="L37" s="907"/>
      <c r="M37" s="849"/>
      <c r="N37" s="849"/>
      <c r="O37" s="849"/>
      <c r="P37" s="849"/>
      <c r="Q37" s="849"/>
      <c r="R37" s="849"/>
      <c r="S37" s="849"/>
      <c r="T37" s="849"/>
      <c r="U37" s="849"/>
      <c r="V37" s="849"/>
      <c r="W37" s="849"/>
      <c r="X37" s="849"/>
      <c r="Y37" s="849"/>
      <c r="Z37" s="849"/>
      <c r="AA37" s="849"/>
      <c r="AB37" s="849"/>
      <c r="AC37" s="849"/>
      <c r="AD37" s="849"/>
      <c r="AE37" s="849"/>
      <c r="AF37" s="849"/>
    </row>
    <row r="38" customFormat="false" ht="23.25" hidden="false" customHeight="true" outlineLevel="0" collapsed="false">
      <c r="A38" s="849"/>
      <c r="B38" s="849"/>
      <c r="C38" s="929" t="n">
        <v>0.07</v>
      </c>
      <c r="D38" s="879" t="n">
        <v>0.03</v>
      </c>
      <c r="E38" s="879"/>
      <c r="F38" s="879"/>
      <c r="G38" s="879"/>
      <c r="H38" s="879"/>
      <c r="I38" s="881"/>
      <c r="J38" s="867"/>
      <c r="K38" s="867"/>
      <c r="L38" s="907"/>
      <c r="M38" s="849"/>
      <c r="N38" s="849"/>
      <c r="O38" s="849"/>
      <c r="P38" s="849"/>
      <c r="Q38" s="849"/>
      <c r="R38" s="849"/>
      <c r="S38" s="849"/>
      <c r="T38" s="849"/>
      <c r="U38" s="849"/>
      <c r="V38" s="849"/>
      <c r="W38" s="849"/>
      <c r="X38" s="849"/>
      <c r="Y38" s="849"/>
      <c r="Z38" s="849"/>
      <c r="AA38" s="849"/>
      <c r="AB38" s="849"/>
      <c r="AC38" s="849"/>
      <c r="AD38" s="849"/>
      <c r="AE38" s="849"/>
      <c r="AF38" s="849"/>
    </row>
    <row r="39" customFormat="false" ht="23.25" hidden="false" customHeight="true" outlineLevel="0" collapsed="false">
      <c r="A39" s="849"/>
      <c r="B39" s="849"/>
      <c r="C39" s="883" t="s">
        <v>62</v>
      </c>
      <c r="D39" s="884" t="s">
        <v>352</v>
      </c>
      <c r="E39" s="884"/>
      <c r="F39" s="884"/>
      <c r="G39" s="884"/>
      <c r="H39" s="884"/>
      <c r="I39" s="886"/>
      <c r="J39" s="887" t="s">
        <v>32</v>
      </c>
      <c r="K39" s="867"/>
      <c r="L39" s="907"/>
      <c r="M39" s="849"/>
      <c r="N39" s="849"/>
      <c r="O39" s="849"/>
      <c r="P39" s="849"/>
      <c r="Q39" s="849"/>
      <c r="R39" s="849"/>
      <c r="S39" s="849"/>
      <c r="T39" s="849"/>
      <c r="U39" s="849"/>
      <c r="V39" s="849"/>
      <c r="W39" s="849"/>
      <c r="X39" s="849"/>
      <c r="Y39" s="849"/>
      <c r="Z39" s="849"/>
      <c r="AA39" s="849"/>
      <c r="AB39" s="849"/>
      <c r="AC39" s="849"/>
      <c r="AD39" s="849"/>
      <c r="AE39" s="849"/>
      <c r="AF39" s="849"/>
    </row>
    <row r="40" customFormat="false" ht="23.25" hidden="false" customHeight="true" outlineLevel="0" collapsed="false">
      <c r="A40" s="849"/>
      <c r="B40" s="849"/>
      <c r="C40" s="889" t="n">
        <v>6.7</v>
      </c>
      <c r="D40" s="890" t="n">
        <v>7.1</v>
      </c>
      <c r="E40" s="922"/>
      <c r="F40" s="922"/>
      <c r="G40" s="922"/>
      <c r="H40" s="922"/>
      <c r="I40" s="935"/>
      <c r="J40" s="893" t="n">
        <f aca="false" t="array" ref="J40:J40">SUM(IF(ISNUMBER(B40:I40), B40:I40, 0))</f>
        <v>13.8</v>
      </c>
      <c r="K40" s="867"/>
      <c r="L40" s="803" t="s">
        <v>22</v>
      </c>
      <c r="M40" s="849"/>
      <c r="N40" s="849"/>
      <c r="O40" s="849"/>
      <c r="P40" s="849"/>
      <c r="Q40" s="849"/>
      <c r="R40" s="849"/>
      <c r="S40" s="849"/>
      <c r="T40" s="849"/>
      <c r="U40" s="849"/>
      <c r="V40" s="849"/>
      <c r="W40" s="849"/>
      <c r="X40" s="849"/>
      <c r="Y40" s="849"/>
      <c r="Z40" s="849"/>
      <c r="AA40" s="849"/>
      <c r="AB40" s="849"/>
      <c r="AC40" s="849"/>
      <c r="AD40" s="849"/>
      <c r="AE40" s="849"/>
      <c r="AF40" s="849"/>
    </row>
    <row r="41" customFormat="false" ht="23.25" hidden="false" customHeight="true" outlineLevel="0" collapsed="false">
      <c r="A41" s="849"/>
      <c r="B41" s="849"/>
      <c r="C41" s="889" t="n">
        <v>0</v>
      </c>
      <c r="D41" s="890" t="n">
        <v>0</v>
      </c>
      <c r="E41" s="890"/>
      <c r="F41" s="890"/>
      <c r="G41" s="890"/>
      <c r="H41" s="890"/>
      <c r="I41" s="892"/>
      <c r="J41" s="893" t="n">
        <f aca="false" t="array" ref="J41:J41">SUM(IF(ISNUMBER(B44:I44), B44:I44, 0))</f>
        <v>0</v>
      </c>
      <c r="K41" s="867"/>
      <c r="L41" s="803" t="s">
        <v>24</v>
      </c>
      <c r="M41" s="849"/>
      <c r="N41" s="849"/>
      <c r="O41" s="849"/>
      <c r="P41" s="849"/>
      <c r="Q41" s="849"/>
      <c r="R41" s="849"/>
      <c r="S41" s="849"/>
      <c r="T41" s="849"/>
      <c r="U41" s="849"/>
      <c r="V41" s="849"/>
      <c r="W41" s="849"/>
      <c r="X41" s="849"/>
      <c r="Y41" s="849"/>
      <c r="Z41" s="849"/>
      <c r="AA41" s="849"/>
      <c r="AB41" s="849"/>
      <c r="AC41" s="849"/>
      <c r="AD41" s="849"/>
      <c r="AE41" s="849"/>
      <c r="AF41" s="849"/>
    </row>
    <row r="42" customFormat="false" ht="23.25" hidden="false" customHeight="true" outlineLevel="0" collapsed="false">
      <c r="A42" s="849"/>
      <c r="B42" s="849"/>
      <c r="C42" s="889" t="n">
        <v>0</v>
      </c>
      <c r="D42" s="890" t="n">
        <v>0</v>
      </c>
      <c r="E42" s="890"/>
      <c r="F42" s="890"/>
      <c r="G42" s="890"/>
      <c r="H42" s="890"/>
      <c r="I42" s="892"/>
      <c r="J42" s="896" t="n">
        <f aca="false" t="array" ref="J42:J42">SUM(IF(ISNUMBER(B42:I42), B42:I42, 0))</f>
        <v>0</v>
      </c>
      <c r="K42" s="867"/>
      <c r="L42" s="803" t="s">
        <v>26</v>
      </c>
      <c r="M42" s="849"/>
      <c r="N42" s="849"/>
      <c r="O42" s="849"/>
      <c r="P42" s="849"/>
      <c r="Q42" s="849"/>
      <c r="R42" s="849"/>
      <c r="S42" s="849"/>
      <c r="T42" s="849"/>
      <c r="U42" s="849"/>
      <c r="V42" s="849"/>
      <c r="W42" s="849"/>
      <c r="X42" s="849"/>
      <c r="Y42" s="849"/>
      <c r="Z42" s="849"/>
      <c r="AA42" s="849"/>
      <c r="AB42" s="849"/>
      <c r="AC42" s="849"/>
      <c r="AD42" s="849"/>
      <c r="AE42" s="849"/>
      <c r="AF42" s="849"/>
    </row>
    <row r="43" customFormat="false" ht="23.25" hidden="false" customHeight="true" outlineLevel="0" collapsed="false">
      <c r="A43" s="849"/>
      <c r="B43" s="849"/>
      <c r="C43" s="936" t="s">
        <v>474</v>
      </c>
      <c r="D43" s="937" t="s">
        <v>475</v>
      </c>
      <c r="E43" s="902"/>
      <c r="F43" s="899"/>
      <c r="G43" s="899"/>
      <c r="H43" s="899"/>
      <c r="I43" s="927"/>
      <c r="J43" s="867"/>
      <c r="K43" s="867"/>
      <c r="L43" s="888"/>
      <c r="M43" s="849"/>
      <c r="N43" s="849"/>
      <c r="O43" s="849"/>
      <c r="P43" s="849"/>
      <c r="Q43" s="849"/>
      <c r="R43" s="849"/>
      <c r="S43" s="849"/>
      <c r="T43" s="849"/>
      <c r="U43" s="849"/>
      <c r="V43" s="849"/>
      <c r="W43" s="849"/>
      <c r="X43" s="849"/>
      <c r="Y43" s="849"/>
      <c r="Z43" s="849"/>
      <c r="AA43" s="849"/>
      <c r="AB43" s="849"/>
      <c r="AC43" s="849"/>
      <c r="AD43" s="849"/>
      <c r="AE43" s="849"/>
      <c r="AF43" s="849"/>
    </row>
    <row r="44" customFormat="false" ht="23.25" hidden="false" customHeight="true" outlineLevel="0" collapsed="false">
      <c r="A44" s="849"/>
      <c r="B44" s="849"/>
      <c r="C44" s="938"/>
      <c r="D44" s="939"/>
      <c r="E44" s="928"/>
      <c r="F44" s="867"/>
      <c r="G44" s="867"/>
      <c r="H44" s="867"/>
      <c r="I44" s="867"/>
      <c r="J44" s="867"/>
      <c r="K44" s="867"/>
      <c r="L44" s="888"/>
      <c r="M44" s="849"/>
      <c r="N44" s="849"/>
      <c r="O44" s="849"/>
      <c r="P44" s="849"/>
      <c r="Q44" s="849"/>
      <c r="R44" s="849"/>
      <c r="S44" s="849"/>
      <c r="T44" s="849"/>
      <c r="U44" s="849"/>
      <c r="V44" s="849"/>
      <c r="W44" s="849"/>
      <c r="X44" s="849"/>
      <c r="Y44" s="849"/>
      <c r="Z44" s="849"/>
      <c r="AA44" s="849"/>
      <c r="AB44" s="849"/>
      <c r="AC44" s="849"/>
      <c r="AD44" s="849"/>
      <c r="AE44" s="849"/>
      <c r="AF44" s="849"/>
    </row>
    <row r="45" customFormat="false" ht="23.25" hidden="false" customHeight="true" outlineLevel="0" collapsed="false">
      <c r="A45" s="849"/>
      <c r="B45" s="849"/>
      <c r="C45" s="883"/>
      <c r="D45" s="920"/>
      <c r="E45" s="906"/>
      <c r="F45" s="867"/>
      <c r="G45" s="867"/>
      <c r="H45" s="867"/>
      <c r="I45" s="867"/>
      <c r="J45" s="867"/>
      <c r="K45" s="867"/>
      <c r="L45" s="849"/>
      <c r="M45" s="849"/>
      <c r="N45" s="849"/>
      <c r="O45" s="849"/>
      <c r="P45" s="849"/>
      <c r="Q45" s="849"/>
      <c r="R45" s="849"/>
      <c r="S45" s="849"/>
      <c r="T45" s="849"/>
      <c r="U45" s="849"/>
      <c r="V45" s="849"/>
      <c r="W45" s="849"/>
      <c r="X45" s="849"/>
      <c r="Y45" s="849"/>
      <c r="Z45" s="849"/>
      <c r="AA45" s="849"/>
      <c r="AB45" s="849"/>
      <c r="AC45" s="849"/>
      <c r="AD45" s="849"/>
      <c r="AE45" s="849"/>
      <c r="AF45" s="849"/>
    </row>
    <row r="46" customFormat="false" ht="23.25" hidden="false" customHeight="true" outlineLevel="0" collapsed="false">
      <c r="A46" s="849"/>
      <c r="B46" s="849"/>
      <c r="C46" s="940"/>
      <c r="D46" s="941"/>
      <c r="E46" s="867"/>
      <c r="F46" s="867"/>
      <c r="G46" s="867"/>
      <c r="H46" s="867"/>
      <c r="I46" s="867"/>
      <c r="J46" s="867"/>
      <c r="K46" s="867"/>
      <c r="L46" s="849"/>
      <c r="M46" s="849"/>
      <c r="N46" s="849"/>
      <c r="O46" s="849"/>
      <c r="P46" s="849"/>
      <c r="Q46" s="849"/>
      <c r="R46" s="849"/>
      <c r="S46" s="849"/>
      <c r="T46" s="849"/>
      <c r="U46" s="849"/>
      <c r="V46" s="849"/>
      <c r="W46" s="849"/>
      <c r="X46" s="849"/>
      <c r="Y46" s="849"/>
      <c r="Z46" s="849"/>
      <c r="AA46" s="849"/>
      <c r="AB46" s="849"/>
      <c r="AC46" s="849"/>
      <c r="AD46" s="849"/>
      <c r="AE46" s="849"/>
      <c r="AF46" s="849"/>
    </row>
    <row r="47" customFormat="false" ht="23.25" hidden="false" customHeight="true" outlineLevel="0" collapsed="false">
      <c r="A47" s="849"/>
      <c r="B47" s="849"/>
      <c r="C47" s="883"/>
      <c r="D47" s="886"/>
      <c r="E47" s="887" t="s">
        <v>33</v>
      </c>
      <c r="F47" s="942"/>
      <c r="G47" s="867"/>
      <c r="H47" s="867"/>
      <c r="I47" s="867"/>
      <c r="J47" s="867"/>
      <c r="K47" s="867"/>
      <c r="L47" s="849"/>
      <c r="M47" s="849"/>
      <c r="N47" s="849"/>
      <c r="O47" s="849"/>
      <c r="P47" s="849"/>
      <c r="Q47" s="849"/>
      <c r="R47" s="849"/>
      <c r="S47" s="849"/>
      <c r="T47" s="849"/>
      <c r="U47" s="849"/>
      <c r="V47" s="849"/>
      <c r="W47" s="849"/>
      <c r="X47" s="849"/>
      <c r="Y47" s="849"/>
      <c r="Z47" s="849"/>
      <c r="AA47" s="849"/>
      <c r="AB47" s="849"/>
      <c r="AC47" s="849"/>
      <c r="AD47" s="849"/>
      <c r="AE47" s="849"/>
      <c r="AF47" s="849"/>
    </row>
    <row r="48" customFormat="false" ht="23.25" hidden="false" customHeight="true" outlineLevel="0" collapsed="false">
      <c r="A48" s="849"/>
      <c r="B48" s="849"/>
      <c r="C48" s="934"/>
      <c r="D48" s="935"/>
      <c r="E48" s="893" t="n">
        <f aca="false" t="array" ref="E48:E48">SUM(IF(ISNUMBER(B48:D48), B48:D48, 0))</f>
        <v>0</v>
      </c>
      <c r="F48" s="803" t="s">
        <v>34</v>
      </c>
      <c r="G48" s="867"/>
      <c r="H48" s="867"/>
      <c r="I48" s="867"/>
      <c r="J48" s="867"/>
      <c r="K48" s="867"/>
      <c r="L48" s="849"/>
      <c r="M48" s="849"/>
      <c r="N48" s="849"/>
      <c r="O48" s="849"/>
      <c r="P48" s="849"/>
      <c r="Q48" s="849"/>
      <c r="R48" s="849"/>
      <c r="S48" s="849"/>
      <c r="T48" s="849"/>
      <c r="U48" s="849"/>
      <c r="V48" s="849"/>
      <c r="W48" s="849"/>
      <c r="X48" s="849"/>
      <c r="Y48" s="849"/>
      <c r="Z48" s="849"/>
      <c r="AA48" s="849"/>
      <c r="AB48" s="849"/>
      <c r="AC48" s="849"/>
      <c r="AD48" s="849"/>
      <c r="AE48" s="849"/>
      <c r="AF48" s="849"/>
    </row>
    <row r="49" customFormat="false" ht="23.25" hidden="false" customHeight="true" outlineLevel="0" collapsed="false">
      <c r="A49" s="849"/>
      <c r="B49" s="849"/>
      <c r="C49" s="889"/>
      <c r="D49" s="892"/>
      <c r="E49" s="893" t="n">
        <f aca="false" t="array" ref="E49:E49">SUM(IF(ISNUMBER(B49:D49), B49:D49, 0))</f>
        <v>0</v>
      </c>
      <c r="F49" s="803" t="s">
        <v>35</v>
      </c>
      <c r="G49" s="867"/>
      <c r="H49" s="867"/>
      <c r="I49" s="867"/>
      <c r="J49" s="867"/>
      <c r="K49" s="867"/>
      <c r="L49" s="849"/>
      <c r="M49" s="849"/>
      <c r="N49" s="849"/>
      <c r="O49" s="849"/>
      <c r="P49" s="849"/>
      <c r="Q49" s="849"/>
      <c r="R49" s="849"/>
      <c r="S49" s="849"/>
      <c r="T49" s="849"/>
      <c r="U49" s="849"/>
      <c r="V49" s="849"/>
      <c r="W49" s="849"/>
      <c r="X49" s="849"/>
      <c r="Y49" s="849"/>
      <c r="Z49" s="849"/>
      <c r="AA49" s="849"/>
      <c r="AB49" s="849"/>
      <c r="AC49" s="849"/>
      <c r="AD49" s="849"/>
      <c r="AE49" s="849"/>
      <c r="AF49" s="849"/>
    </row>
    <row r="50" customFormat="false" ht="23.25" hidden="false" customHeight="true" outlineLevel="0" collapsed="false">
      <c r="A50" s="849"/>
      <c r="B50" s="849"/>
      <c r="C50" s="889"/>
      <c r="D50" s="892"/>
      <c r="E50" s="896" t="n">
        <f aca="false" t="array" ref="E50:E50">SUM(IF(ISNUMBER(B50:D50), B50:D50, 0))</f>
        <v>0</v>
      </c>
      <c r="F50" s="803" t="s">
        <v>36</v>
      </c>
      <c r="G50" s="867"/>
      <c r="H50" s="867"/>
      <c r="I50" s="867"/>
      <c r="J50" s="867"/>
      <c r="K50" s="867"/>
      <c r="L50" s="849"/>
      <c r="M50" s="849"/>
      <c r="N50" s="849"/>
      <c r="O50" s="849"/>
      <c r="P50" s="849"/>
      <c r="Q50" s="849"/>
      <c r="R50" s="849"/>
      <c r="S50" s="849"/>
      <c r="T50" s="849"/>
      <c r="U50" s="849"/>
      <c r="V50" s="849"/>
      <c r="W50" s="849"/>
      <c r="X50" s="849"/>
      <c r="Y50" s="849"/>
      <c r="Z50" s="849"/>
      <c r="AA50" s="849"/>
      <c r="AB50" s="849"/>
      <c r="AC50" s="849"/>
      <c r="AD50" s="849"/>
      <c r="AE50" s="849"/>
      <c r="AF50" s="849"/>
    </row>
    <row r="51" customFormat="false" ht="23.25" hidden="false" customHeight="true" outlineLevel="0" collapsed="false">
      <c r="A51" s="849"/>
      <c r="B51" s="849"/>
      <c r="C51" s="956"/>
      <c r="D51" s="957"/>
      <c r="E51" s="867"/>
      <c r="F51" s="849"/>
      <c r="G51" s="867"/>
      <c r="H51" s="867"/>
      <c r="I51" s="867"/>
      <c r="J51" s="867"/>
      <c r="K51" s="867"/>
      <c r="L51" s="849"/>
      <c r="M51" s="849"/>
      <c r="N51" s="849"/>
      <c r="O51" s="849"/>
      <c r="P51" s="849"/>
      <c r="Q51" s="849"/>
      <c r="R51" s="849"/>
      <c r="S51" s="849"/>
      <c r="T51" s="849"/>
      <c r="U51" s="849"/>
      <c r="V51" s="849"/>
      <c r="W51" s="849"/>
      <c r="X51" s="849"/>
      <c r="Y51" s="849"/>
      <c r="Z51" s="849"/>
      <c r="AA51" s="849"/>
      <c r="AB51" s="849"/>
      <c r="AC51" s="849"/>
      <c r="AD51" s="849"/>
      <c r="AE51" s="849"/>
      <c r="AF51" s="849"/>
    </row>
    <row r="52" customFormat="false" ht="23.25" hidden="false" customHeight="true" outlineLevel="0" collapsed="false">
      <c r="A52" s="849"/>
      <c r="B52" s="849"/>
      <c r="C52" s="867"/>
      <c r="D52" s="867"/>
      <c r="E52" s="867"/>
      <c r="F52" s="867"/>
      <c r="G52" s="867"/>
      <c r="H52" s="867"/>
      <c r="I52" s="867"/>
      <c r="J52" s="867"/>
      <c r="K52" s="867"/>
      <c r="L52" s="849"/>
      <c r="M52" s="849"/>
      <c r="N52" s="849"/>
      <c r="O52" s="849"/>
      <c r="P52" s="849"/>
      <c r="Q52" s="849"/>
      <c r="R52" s="849"/>
      <c r="S52" s="849"/>
      <c r="T52" s="849"/>
      <c r="U52" s="849"/>
      <c r="V52" s="849"/>
      <c r="W52" s="849"/>
      <c r="X52" s="849"/>
      <c r="Y52" s="849"/>
      <c r="Z52" s="849"/>
      <c r="AA52" s="849"/>
      <c r="AB52" s="849"/>
      <c r="AC52" s="849"/>
      <c r="AD52" s="849"/>
      <c r="AE52" s="849"/>
      <c r="AF52" s="849"/>
    </row>
    <row r="53" customFormat="false" ht="22.5" hidden="false" customHeight="true" outlineLevel="0" collapsed="false">
      <c r="A53" s="849"/>
      <c r="B53" s="849"/>
      <c r="C53" s="849"/>
      <c r="D53" s="849"/>
      <c r="E53" s="849"/>
      <c r="F53" s="849"/>
      <c r="G53" s="849"/>
      <c r="H53" s="849"/>
      <c r="I53" s="849"/>
      <c r="J53" s="849"/>
      <c r="K53" s="849"/>
      <c r="L53" s="849"/>
      <c r="M53" s="849"/>
      <c r="N53" s="849"/>
      <c r="O53" s="849"/>
      <c r="P53" s="849"/>
      <c r="Q53" s="849"/>
      <c r="R53" s="849"/>
      <c r="S53" s="849"/>
      <c r="T53" s="849"/>
      <c r="U53" s="849"/>
      <c r="V53" s="849"/>
      <c r="W53" s="849"/>
      <c r="X53" s="849"/>
      <c r="Y53" s="849"/>
      <c r="Z53" s="849"/>
      <c r="AA53" s="849"/>
      <c r="AB53" s="849"/>
      <c r="AC53" s="849"/>
      <c r="AD53" s="849"/>
      <c r="AE53" s="849"/>
      <c r="AF53" s="849"/>
    </row>
    <row r="54" customFormat="false" ht="16.5" hidden="false" customHeight="false" outlineLevel="0" collapsed="false">
      <c r="A54" s="849"/>
      <c r="B54" s="849"/>
      <c r="C54" s="849"/>
      <c r="D54" s="849"/>
      <c r="E54" s="849"/>
      <c r="F54" s="849"/>
      <c r="G54" s="849"/>
      <c r="H54" s="849"/>
      <c r="I54" s="849"/>
      <c r="J54" s="849"/>
      <c r="K54" s="849"/>
      <c r="L54" s="849"/>
      <c r="M54" s="849"/>
      <c r="N54" s="849"/>
      <c r="O54" s="849"/>
      <c r="P54" s="849"/>
      <c r="Q54" s="849"/>
      <c r="R54" s="849"/>
      <c r="S54" s="849"/>
      <c r="T54" s="849"/>
      <c r="U54" s="849"/>
      <c r="V54" s="849"/>
      <c r="W54" s="849"/>
      <c r="X54" s="849"/>
      <c r="Y54" s="849"/>
      <c r="Z54" s="849"/>
      <c r="AA54" s="849"/>
      <c r="AB54" s="849"/>
      <c r="AC54" s="849"/>
      <c r="AD54" s="849"/>
      <c r="AE54" s="849"/>
      <c r="AF54" s="849"/>
    </row>
    <row r="55" customFormat="false" ht="16.5" hidden="false" customHeight="false" outlineLevel="0" collapsed="false">
      <c r="A55" s="849"/>
      <c r="B55" s="849"/>
      <c r="C55" s="849"/>
      <c r="D55" s="849"/>
      <c r="E55" s="849"/>
      <c r="F55" s="849"/>
      <c r="G55" s="849"/>
      <c r="H55" s="849"/>
      <c r="I55" s="849"/>
      <c r="J55" s="849"/>
      <c r="K55" s="849"/>
      <c r="L55" s="849"/>
      <c r="M55" s="849"/>
      <c r="N55" s="849"/>
      <c r="O55" s="849"/>
      <c r="P55" s="849"/>
      <c r="Q55" s="849"/>
      <c r="R55" s="849"/>
      <c r="S55" s="849"/>
      <c r="T55" s="849"/>
      <c r="U55" s="849"/>
      <c r="V55" s="849"/>
      <c r="W55" s="849"/>
      <c r="X55" s="849"/>
      <c r="Y55" s="849"/>
      <c r="Z55" s="849"/>
      <c r="AA55" s="849"/>
      <c r="AB55" s="849"/>
      <c r="AC55" s="849"/>
      <c r="AD55" s="849"/>
      <c r="AE55" s="849"/>
      <c r="AF55" s="849"/>
    </row>
    <row r="56" customFormat="false" ht="16.5" hidden="false" customHeight="false" outlineLevel="0" collapsed="false">
      <c r="A56" s="849"/>
      <c r="B56" s="849"/>
      <c r="C56" s="849"/>
      <c r="D56" s="849"/>
      <c r="E56" s="849"/>
      <c r="F56" s="849"/>
      <c r="G56" s="849"/>
      <c r="H56" s="849"/>
      <c r="I56" s="849"/>
      <c r="J56" s="849"/>
      <c r="K56" s="849"/>
      <c r="L56" s="849"/>
      <c r="M56" s="849"/>
      <c r="N56" s="849"/>
      <c r="O56" s="849"/>
      <c r="P56" s="849"/>
      <c r="Q56" s="849"/>
      <c r="R56" s="849"/>
      <c r="S56" s="849"/>
      <c r="T56" s="849"/>
      <c r="U56" s="849"/>
      <c r="V56" s="849"/>
      <c r="W56" s="849"/>
      <c r="X56" s="849"/>
      <c r="Y56" s="849"/>
      <c r="Z56" s="849"/>
      <c r="AA56" s="849"/>
      <c r="AB56" s="849"/>
      <c r="AC56" s="849"/>
      <c r="AD56" s="849"/>
      <c r="AE56" s="849"/>
      <c r="AF56" s="849"/>
    </row>
    <row r="57" customFormat="false" ht="16.5" hidden="false" customHeight="false" outlineLevel="0" collapsed="false">
      <c r="A57" s="849"/>
      <c r="B57" s="849"/>
      <c r="C57" s="849"/>
      <c r="D57" s="849"/>
      <c r="E57" s="849"/>
      <c r="F57" s="849"/>
      <c r="G57" s="849"/>
      <c r="H57" s="849"/>
      <c r="I57" s="849"/>
      <c r="J57" s="849"/>
      <c r="K57" s="849"/>
      <c r="L57" s="849"/>
      <c r="M57" s="849"/>
      <c r="N57" s="849"/>
      <c r="O57" s="849"/>
      <c r="P57" s="849"/>
      <c r="Q57" s="849"/>
      <c r="R57" s="849"/>
      <c r="S57" s="849"/>
      <c r="T57" s="849"/>
      <c r="U57" s="849"/>
      <c r="V57" s="849"/>
      <c r="W57" s="849"/>
      <c r="X57" s="849"/>
      <c r="Y57" s="849"/>
      <c r="Z57" s="849"/>
      <c r="AA57" s="849"/>
      <c r="AB57" s="849"/>
      <c r="AC57" s="849"/>
      <c r="AD57" s="849"/>
      <c r="AE57" s="849"/>
      <c r="AF57" s="849"/>
    </row>
    <row r="58" customFormat="false" ht="16.5" hidden="false" customHeight="false" outlineLevel="0" collapsed="false">
      <c r="A58" s="849"/>
      <c r="B58" s="849"/>
      <c r="C58" s="849"/>
      <c r="D58" s="849"/>
      <c r="E58" s="849"/>
      <c r="F58" s="849"/>
      <c r="G58" s="849"/>
      <c r="H58" s="849"/>
      <c r="I58" s="849"/>
      <c r="J58" s="849"/>
      <c r="K58" s="849"/>
      <c r="L58" s="849"/>
      <c r="M58" s="849"/>
      <c r="N58" s="849"/>
      <c r="O58" s="849"/>
      <c r="P58" s="849"/>
      <c r="Q58" s="849"/>
      <c r="R58" s="849"/>
      <c r="S58" s="849"/>
      <c r="T58" s="849"/>
      <c r="U58" s="849"/>
      <c r="V58" s="849"/>
      <c r="W58" s="849"/>
      <c r="X58" s="849"/>
      <c r="Y58" s="849"/>
      <c r="Z58" s="849"/>
      <c r="AA58" s="849"/>
      <c r="AB58" s="849"/>
      <c r="AC58" s="849"/>
      <c r="AD58" s="849"/>
      <c r="AE58" s="849"/>
      <c r="AF58" s="849"/>
    </row>
    <row r="59" customFormat="false" ht="16.5" hidden="false" customHeight="false" outlineLevel="0" collapsed="false">
      <c r="A59" s="849"/>
      <c r="B59" s="849"/>
      <c r="C59" s="849"/>
      <c r="D59" s="849"/>
      <c r="E59" s="849"/>
      <c r="F59" s="849"/>
      <c r="G59" s="849"/>
      <c r="H59" s="849"/>
      <c r="I59" s="849"/>
      <c r="J59" s="849"/>
      <c r="K59" s="849"/>
      <c r="L59" s="849"/>
      <c r="M59" s="849"/>
      <c r="N59" s="849"/>
      <c r="O59" s="849"/>
      <c r="P59" s="849"/>
      <c r="Q59" s="849"/>
      <c r="R59" s="849"/>
      <c r="S59" s="849"/>
      <c r="T59" s="849"/>
      <c r="U59" s="849"/>
      <c r="V59" s="849"/>
      <c r="W59" s="849"/>
      <c r="X59" s="849"/>
      <c r="Y59" s="849"/>
      <c r="Z59" s="849"/>
      <c r="AA59" s="849"/>
      <c r="AB59" s="849"/>
      <c r="AC59" s="849"/>
      <c r="AD59" s="849"/>
      <c r="AE59" s="849"/>
      <c r="AF59" s="849"/>
    </row>
    <row r="60" customFormat="false" ht="16.5" hidden="false" customHeight="false" outlineLevel="0" collapsed="false">
      <c r="A60" s="849"/>
      <c r="B60" s="849"/>
      <c r="C60" s="849"/>
      <c r="D60" s="849"/>
      <c r="E60" s="849"/>
      <c r="F60" s="849"/>
      <c r="G60" s="849"/>
      <c r="H60" s="849"/>
      <c r="I60" s="849"/>
      <c r="J60" s="849"/>
      <c r="K60" s="849"/>
      <c r="L60" s="849"/>
      <c r="M60" s="849"/>
      <c r="N60" s="849"/>
      <c r="O60" s="849"/>
      <c r="P60" s="849"/>
      <c r="Q60" s="849"/>
      <c r="R60" s="849"/>
      <c r="S60" s="849"/>
      <c r="T60" s="849"/>
      <c r="U60" s="849"/>
      <c r="V60" s="849"/>
      <c r="W60" s="849"/>
      <c r="X60" s="849"/>
      <c r="Y60" s="849"/>
      <c r="Z60" s="849"/>
      <c r="AA60" s="849"/>
      <c r="AB60" s="849"/>
      <c r="AC60" s="849"/>
      <c r="AD60" s="849"/>
      <c r="AE60" s="849"/>
      <c r="AF60" s="849"/>
    </row>
    <row r="61" customFormat="false" ht="16.5" hidden="false" customHeight="false" outlineLevel="0" collapsed="false">
      <c r="A61" s="849"/>
      <c r="B61" s="849"/>
      <c r="C61" s="849"/>
      <c r="D61" s="849"/>
      <c r="E61" s="849"/>
      <c r="F61" s="849"/>
      <c r="G61" s="849"/>
      <c r="H61" s="849"/>
      <c r="I61" s="849"/>
      <c r="J61" s="849"/>
      <c r="K61" s="849"/>
      <c r="L61" s="849"/>
      <c r="M61" s="849"/>
      <c r="N61" s="849"/>
      <c r="O61" s="849"/>
      <c r="P61" s="849"/>
      <c r="Q61" s="849"/>
      <c r="R61" s="849"/>
      <c r="S61" s="849"/>
      <c r="T61" s="849"/>
      <c r="U61" s="849"/>
      <c r="V61" s="849"/>
      <c r="W61" s="849"/>
      <c r="X61" s="849"/>
      <c r="Y61" s="849"/>
      <c r="Z61" s="849"/>
      <c r="AA61" s="849"/>
      <c r="AB61" s="849"/>
      <c r="AC61" s="849"/>
      <c r="AD61" s="849"/>
      <c r="AE61" s="849"/>
      <c r="AF61" s="849"/>
    </row>
    <row r="62" customFormat="false" ht="16.5" hidden="false" customHeight="false" outlineLevel="0" collapsed="false">
      <c r="A62" s="849"/>
      <c r="B62" s="849"/>
      <c r="C62" s="849"/>
      <c r="D62" s="849"/>
      <c r="E62" s="849"/>
      <c r="F62" s="849"/>
      <c r="G62" s="849"/>
      <c r="H62" s="849"/>
      <c r="I62" s="849"/>
      <c r="J62" s="849"/>
      <c r="K62" s="849"/>
      <c r="L62" s="849"/>
      <c r="M62" s="849"/>
      <c r="N62" s="849"/>
      <c r="O62" s="849"/>
      <c r="P62" s="849"/>
      <c r="Q62" s="849"/>
      <c r="R62" s="849"/>
      <c r="S62" s="849"/>
      <c r="T62" s="849"/>
      <c r="U62" s="849"/>
      <c r="V62" s="849"/>
      <c r="W62" s="849"/>
      <c r="X62" s="849"/>
      <c r="Y62" s="849"/>
      <c r="Z62" s="849"/>
      <c r="AA62" s="849"/>
      <c r="AB62" s="849"/>
      <c r="AC62" s="849"/>
      <c r="AD62" s="849"/>
      <c r="AE62" s="849"/>
      <c r="AF62" s="849"/>
    </row>
    <row r="63" customFormat="false" ht="16.5" hidden="false" customHeight="false" outlineLevel="0" collapsed="false">
      <c r="A63" s="849"/>
      <c r="B63" s="849"/>
      <c r="C63" s="849"/>
      <c r="D63" s="849"/>
      <c r="E63" s="849"/>
      <c r="F63" s="849"/>
      <c r="G63" s="849"/>
      <c r="H63" s="849"/>
      <c r="I63" s="849"/>
      <c r="J63" s="849"/>
      <c r="K63" s="849"/>
      <c r="L63" s="849"/>
      <c r="M63" s="849"/>
      <c r="N63" s="849"/>
      <c r="O63" s="849"/>
      <c r="P63" s="849"/>
      <c r="Q63" s="849"/>
      <c r="R63" s="849"/>
      <c r="S63" s="849"/>
      <c r="T63" s="849"/>
      <c r="U63" s="849"/>
      <c r="V63" s="849"/>
      <c r="W63" s="849"/>
      <c r="X63" s="849"/>
      <c r="Y63" s="849"/>
      <c r="Z63" s="849"/>
      <c r="AA63" s="849"/>
      <c r="AB63" s="849"/>
      <c r="AC63" s="849"/>
      <c r="AD63" s="849"/>
      <c r="AE63" s="849"/>
      <c r="AF63" s="849"/>
    </row>
    <row r="64" customFormat="false" ht="16.5" hidden="false" customHeight="false" outlineLevel="0" collapsed="false">
      <c r="A64" s="849"/>
      <c r="B64" s="849"/>
      <c r="C64" s="849"/>
      <c r="D64" s="849"/>
      <c r="E64" s="849"/>
      <c r="F64" s="849"/>
      <c r="G64" s="849"/>
      <c r="H64" s="849"/>
      <c r="I64" s="849"/>
      <c r="J64" s="849"/>
      <c r="K64" s="849"/>
      <c r="L64" s="849"/>
      <c r="M64" s="849"/>
      <c r="N64" s="849"/>
      <c r="O64" s="849"/>
      <c r="P64" s="849"/>
      <c r="Q64" s="849"/>
      <c r="R64" s="849"/>
      <c r="S64" s="849"/>
      <c r="T64" s="849"/>
      <c r="U64" s="849"/>
      <c r="V64" s="849"/>
      <c r="W64" s="849"/>
      <c r="X64" s="849"/>
      <c r="Y64" s="849"/>
      <c r="Z64" s="849"/>
      <c r="AA64" s="849"/>
      <c r="AB64" s="849"/>
      <c r="AC64" s="849"/>
      <c r="AD64" s="849"/>
      <c r="AE64" s="849"/>
      <c r="AF64" s="849"/>
    </row>
    <row r="65" customFormat="false" ht="16.5" hidden="false" customHeight="false" outlineLevel="0" collapsed="false">
      <c r="A65" s="849"/>
      <c r="B65" s="849"/>
      <c r="C65" s="849"/>
      <c r="D65" s="849"/>
      <c r="E65" s="849"/>
      <c r="F65" s="849"/>
      <c r="G65" s="849"/>
      <c r="H65" s="849"/>
      <c r="I65" s="849"/>
      <c r="J65" s="849"/>
      <c r="K65" s="849"/>
      <c r="L65" s="849"/>
      <c r="M65" s="849"/>
      <c r="N65" s="849"/>
      <c r="O65" s="849"/>
      <c r="P65" s="849"/>
      <c r="Q65" s="849"/>
      <c r="R65" s="849"/>
      <c r="S65" s="849"/>
      <c r="T65" s="849"/>
      <c r="U65" s="849"/>
      <c r="V65" s="849"/>
      <c r="W65" s="849"/>
      <c r="X65" s="849"/>
      <c r="Y65" s="849"/>
      <c r="Z65" s="849"/>
      <c r="AA65" s="849"/>
      <c r="AB65" s="849"/>
      <c r="AC65" s="849"/>
      <c r="AD65" s="849"/>
      <c r="AE65" s="849"/>
      <c r="AF65" s="849"/>
    </row>
    <row r="66" customFormat="false" ht="16.5" hidden="false" customHeight="false" outlineLevel="0" collapsed="false">
      <c r="A66" s="849"/>
      <c r="B66" s="849"/>
      <c r="C66" s="849"/>
      <c r="D66" s="849"/>
      <c r="E66" s="849"/>
      <c r="F66" s="849"/>
      <c r="G66" s="849"/>
      <c r="H66" s="849"/>
      <c r="I66" s="849"/>
      <c r="J66" s="849"/>
      <c r="K66" s="849"/>
      <c r="L66" s="849"/>
      <c r="M66" s="849"/>
      <c r="N66" s="849"/>
      <c r="O66" s="849"/>
      <c r="P66" s="849"/>
      <c r="Q66" s="849"/>
      <c r="R66" s="849"/>
      <c r="S66" s="849"/>
      <c r="T66" s="849"/>
      <c r="U66" s="849"/>
      <c r="V66" s="849"/>
      <c r="W66" s="849"/>
      <c r="X66" s="849"/>
      <c r="Y66" s="849"/>
      <c r="Z66" s="849"/>
      <c r="AA66" s="849"/>
      <c r="AB66" s="849"/>
      <c r="AC66" s="849"/>
      <c r="AD66" s="849"/>
      <c r="AE66" s="849"/>
      <c r="AF66" s="849"/>
    </row>
    <row r="67" customFormat="false" ht="16.5" hidden="false" customHeight="false" outlineLevel="0" collapsed="false">
      <c r="A67" s="849"/>
      <c r="B67" s="849"/>
      <c r="C67" s="849"/>
      <c r="D67" s="849"/>
      <c r="E67" s="849"/>
      <c r="F67" s="849"/>
      <c r="G67" s="849"/>
      <c r="H67" s="849"/>
      <c r="I67" s="849"/>
      <c r="J67" s="849"/>
      <c r="K67" s="849"/>
      <c r="L67" s="849"/>
      <c r="M67" s="849"/>
      <c r="N67" s="849"/>
      <c r="O67" s="849"/>
      <c r="P67" s="849"/>
      <c r="Q67" s="849"/>
      <c r="R67" s="849"/>
      <c r="S67" s="849"/>
      <c r="T67" s="849"/>
      <c r="U67" s="849"/>
      <c r="V67" s="849"/>
      <c r="W67" s="849"/>
      <c r="X67" s="849"/>
      <c r="Y67" s="849"/>
      <c r="Z67" s="849"/>
      <c r="AA67" s="849"/>
      <c r="AB67" s="849"/>
      <c r="AC67" s="849"/>
      <c r="AD67" s="849"/>
      <c r="AE67" s="849"/>
      <c r="AF67" s="849"/>
    </row>
    <row r="68" customFormat="false" ht="16.5" hidden="false" customHeight="false" outlineLevel="0" collapsed="false">
      <c r="A68" s="849"/>
      <c r="B68" s="849"/>
      <c r="C68" s="849"/>
      <c r="D68" s="849"/>
      <c r="E68" s="849"/>
      <c r="F68" s="849"/>
      <c r="G68" s="849"/>
      <c r="H68" s="849"/>
      <c r="I68" s="849"/>
      <c r="J68" s="849"/>
      <c r="K68" s="849"/>
      <c r="L68" s="849"/>
      <c r="M68" s="849"/>
      <c r="N68" s="849"/>
      <c r="O68" s="849"/>
      <c r="P68" s="849"/>
      <c r="Q68" s="849"/>
      <c r="R68" s="849"/>
      <c r="S68" s="849"/>
      <c r="T68" s="849"/>
      <c r="U68" s="849"/>
      <c r="V68" s="849"/>
      <c r="W68" s="849"/>
      <c r="X68" s="849"/>
      <c r="Y68" s="849"/>
      <c r="Z68" s="849"/>
      <c r="AA68" s="849"/>
      <c r="AB68" s="849"/>
      <c r="AC68" s="849"/>
      <c r="AD68" s="849"/>
      <c r="AE68" s="849"/>
      <c r="AF68" s="849"/>
    </row>
    <row r="69" customFormat="false" ht="16.5" hidden="false" customHeight="false" outlineLevel="0" collapsed="false">
      <c r="A69" s="849"/>
      <c r="B69" s="849"/>
      <c r="C69" s="849"/>
      <c r="D69" s="849"/>
      <c r="E69" s="849"/>
      <c r="F69" s="849"/>
      <c r="G69" s="849"/>
      <c r="H69" s="849"/>
      <c r="I69" s="849"/>
      <c r="J69" s="849"/>
      <c r="K69" s="849"/>
      <c r="L69" s="849"/>
      <c r="M69" s="849"/>
      <c r="N69" s="849"/>
      <c r="O69" s="849"/>
      <c r="P69" s="849"/>
      <c r="Q69" s="849"/>
      <c r="R69" s="849"/>
      <c r="S69" s="849"/>
      <c r="T69" s="849"/>
      <c r="U69" s="849"/>
      <c r="V69" s="849"/>
      <c r="W69" s="849"/>
      <c r="X69" s="849"/>
      <c r="Y69" s="849"/>
      <c r="Z69" s="849"/>
      <c r="AA69" s="849"/>
      <c r="AB69" s="849"/>
      <c r="AC69" s="849"/>
      <c r="AD69" s="849"/>
      <c r="AE69" s="849"/>
      <c r="AF69" s="849"/>
    </row>
    <row r="70" customFormat="false" ht="16.5" hidden="false" customHeight="false" outlineLevel="0" collapsed="false">
      <c r="A70" s="849"/>
      <c r="B70" s="849"/>
      <c r="C70" s="849"/>
      <c r="D70" s="849"/>
      <c r="E70" s="849"/>
      <c r="F70" s="849"/>
      <c r="G70" s="849"/>
      <c r="H70" s="849"/>
      <c r="I70" s="849"/>
      <c r="J70" s="849"/>
      <c r="K70" s="849"/>
      <c r="L70" s="849"/>
      <c r="M70" s="849"/>
      <c r="N70" s="849"/>
      <c r="O70" s="849"/>
      <c r="P70" s="849"/>
      <c r="Q70" s="849"/>
      <c r="R70" s="849"/>
      <c r="S70" s="849"/>
      <c r="T70" s="849"/>
      <c r="U70" s="849"/>
      <c r="V70" s="849"/>
      <c r="W70" s="849"/>
      <c r="X70" s="849"/>
      <c r="Y70" s="849"/>
      <c r="Z70" s="849"/>
      <c r="AA70" s="849"/>
      <c r="AB70" s="849"/>
      <c r="AC70" s="849"/>
      <c r="AD70" s="849"/>
      <c r="AE70" s="849"/>
      <c r="AF70" s="849"/>
    </row>
    <row r="71" customFormat="false" ht="16.5" hidden="false" customHeight="false" outlineLevel="0" collapsed="false">
      <c r="A71" s="849"/>
      <c r="B71" s="849"/>
      <c r="C71" s="849"/>
      <c r="D71" s="849"/>
      <c r="E71" s="849"/>
      <c r="F71" s="849"/>
      <c r="G71" s="849"/>
      <c r="H71" s="849"/>
      <c r="I71" s="849"/>
      <c r="J71" s="849"/>
      <c r="K71" s="849"/>
      <c r="L71" s="849"/>
      <c r="M71" s="849"/>
      <c r="N71" s="849"/>
      <c r="O71" s="849"/>
      <c r="P71" s="849"/>
      <c r="Q71" s="849"/>
      <c r="R71" s="849"/>
      <c r="S71" s="849"/>
      <c r="T71" s="849"/>
      <c r="U71" s="849"/>
      <c r="V71" s="849"/>
      <c r="W71" s="849"/>
      <c r="X71" s="849"/>
      <c r="Y71" s="849"/>
      <c r="Z71" s="849"/>
      <c r="AA71" s="849"/>
      <c r="AB71" s="849"/>
      <c r="AC71" s="849"/>
      <c r="AD71" s="849"/>
      <c r="AE71" s="849"/>
      <c r="AF71" s="849"/>
    </row>
    <row r="72" customFormat="false" ht="16.5" hidden="false" customHeight="false" outlineLevel="0" collapsed="false">
      <c r="A72" s="849"/>
      <c r="B72" s="849"/>
      <c r="C72" s="849"/>
      <c r="D72" s="849"/>
      <c r="E72" s="849"/>
      <c r="F72" s="849"/>
      <c r="G72" s="849"/>
      <c r="H72" s="849"/>
      <c r="I72" s="849"/>
      <c r="J72" s="849"/>
      <c r="K72" s="849"/>
      <c r="L72" s="849"/>
      <c r="M72" s="849"/>
      <c r="N72" s="849"/>
      <c r="O72" s="849"/>
      <c r="P72" s="849"/>
      <c r="Q72" s="849"/>
      <c r="R72" s="849"/>
      <c r="S72" s="849"/>
      <c r="T72" s="849"/>
      <c r="U72" s="849"/>
      <c r="V72" s="849"/>
      <c r="W72" s="849"/>
      <c r="X72" s="849"/>
      <c r="Y72" s="849"/>
      <c r="Z72" s="849"/>
      <c r="AA72" s="849"/>
      <c r="AB72" s="849"/>
      <c r="AC72" s="849"/>
      <c r="AD72" s="849"/>
      <c r="AE72" s="849"/>
      <c r="AF72" s="849"/>
    </row>
    <row r="73" customFormat="false" ht="16.5" hidden="false" customHeight="false" outlineLevel="0" collapsed="false">
      <c r="A73" s="849"/>
      <c r="B73" s="849"/>
      <c r="C73" s="849"/>
      <c r="D73" s="849"/>
      <c r="E73" s="849"/>
      <c r="F73" s="849"/>
      <c r="G73" s="849"/>
      <c r="H73" s="849"/>
      <c r="I73" s="849"/>
      <c r="J73" s="849"/>
      <c r="K73" s="849"/>
      <c r="L73" s="849"/>
      <c r="M73" s="849"/>
      <c r="N73" s="849"/>
      <c r="O73" s="849"/>
      <c r="P73" s="849"/>
      <c r="Q73" s="849"/>
      <c r="R73" s="849"/>
      <c r="S73" s="849"/>
      <c r="T73" s="849"/>
      <c r="U73" s="849"/>
      <c r="V73" s="849"/>
      <c r="W73" s="849"/>
      <c r="X73" s="849"/>
      <c r="Y73" s="849"/>
      <c r="Z73" s="849"/>
      <c r="AA73" s="849"/>
      <c r="AB73" s="849"/>
      <c r="AC73" s="849"/>
      <c r="AD73" s="849"/>
      <c r="AE73" s="849"/>
      <c r="AF73" s="849"/>
    </row>
    <row r="74" customFormat="false" ht="16.5" hidden="false" customHeight="false" outlineLevel="0" collapsed="false">
      <c r="A74" s="849"/>
      <c r="B74" s="849"/>
      <c r="C74" s="849"/>
      <c r="D74" s="849"/>
      <c r="E74" s="849"/>
      <c r="F74" s="849"/>
      <c r="G74" s="849"/>
      <c r="H74" s="849"/>
      <c r="I74" s="849"/>
      <c r="J74" s="849"/>
      <c r="K74" s="849"/>
      <c r="L74" s="849"/>
      <c r="M74" s="849"/>
      <c r="N74" s="849"/>
      <c r="O74" s="849"/>
      <c r="P74" s="849"/>
      <c r="Q74" s="849"/>
      <c r="R74" s="849"/>
      <c r="S74" s="849"/>
      <c r="T74" s="849"/>
      <c r="U74" s="849"/>
      <c r="V74" s="849"/>
      <c r="W74" s="849"/>
      <c r="X74" s="849"/>
      <c r="Y74" s="849"/>
      <c r="Z74" s="849"/>
      <c r="AA74" s="849"/>
      <c r="AB74" s="849"/>
      <c r="AC74" s="849"/>
      <c r="AD74" s="849"/>
      <c r="AE74" s="849"/>
      <c r="AF74" s="849"/>
    </row>
    <row r="75" customFormat="false" ht="16.5" hidden="false" customHeight="false" outlineLevel="0" collapsed="false">
      <c r="A75" s="849"/>
      <c r="B75" s="849"/>
      <c r="C75" s="849"/>
      <c r="D75" s="849"/>
      <c r="E75" s="849"/>
      <c r="F75" s="849"/>
      <c r="G75" s="849"/>
      <c r="H75" s="849"/>
      <c r="I75" s="849"/>
      <c r="J75" s="849"/>
      <c r="K75" s="849"/>
      <c r="L75" s="849"/>
      <c r="M75" s="849"/>
      <c r="N75" s="849"/>
      <c r="O75" s="849"/>
      <c r="P75" s="849"/>
      <c r="Q75" s="849"/>
      <c r="R75" s="849"/>
      <c r="S75" s="849"/>
      <c r="T75" s="849"/>
      <c r="U75" s="849"/>
      <c r="V75" s="849"/>
      <c r="W75" s="849"/>
      <c r="X75" s="849"/>
      <c r="Y75" s="849"/>
      <c r="Z75" s="849"/>
      <c r="AA75" s="849"/>
      <c r="AB75" s="849"/>
      <c r="AC75" s="849"/>
      <c r="AD75" s="849"/>
      <c r="AE75" s="849"/>
      <c r="AF75" s="849"/>
    </row>
    <row r="76" customFormat="false" ht="16.5" hidden="false" customHeight="false" outlineLevel="0" collapsed="false">
      <c r="A76" s="849"/>
      <c r="B76" s="849"/>
      <c r="C76" s="849"/>
      <c r="D76" s="849"/>
      <c r="E76" s="849"/>
      <c r="F76" s="849"/>
      <c r="G76" s="849"/>
      <c r="H76" s="849"/>
      <c r="I76" s="849"/>
      <c r="J76" s="849"/>
      <c r="K76" s="849"/>
      <c r="L76" s="849"/>
      <c r="M76" s="849"/>
      <c r="N76" s="849"/>
      <c r="O76" s="849"/>
      <c r="P76" s="849"/>
      <c r="Q76" s="849"/>
      <c r="R76" s="849"/>
      <c r="S76" s="849"/>
      <c r="T76" s="849"/>
      <c r="U76" s="849"/>
      <c r="V76" s="849"/>
      <c r="W76" s="849"/>
      <c r="X76" s="849"/>
      <c r="Y76" s="849"/>
      <c r="Z76" s="849"/>
      <c r="AA76" s="849"/>
      <c r="AB76" s="849"/>
      <c r="AC76" s="849"/>
      <c r="AD76" s="849"/>
      <c r="AE76" s="849"/>
      <c r="AF76" s="849"/>
    </row>
    <row r="77" customFormat="false" ht="16.5" hidden="false" customHeight="false" outlineLevel="0" collapsed="false">
      <c r="A77" s="849"/>
      <c r="B77" s="849"/>
      <c r="C77" s="849"/>
      <c r="D77" s="849"/>
      <c r="E77" s="849"/>
      <c r="F77" s="849"/>
      <c r="G77" s="849"/>
      <c r="H77" s="849"/>
      <c r="I77" s="849"/>
      <c r="J77" s="849"/>
      <c r="K77" s="849"/>
      <c r="L77" s="849"/>
      <c r="M77" s="849"/>
      <c r="N77" s="849"/>
      <c r="O77" s="849"/>
      <c r="P77" s="849"/>
      <c r="Q77" s="849"/>
      <c r="R77" s="849"/>
      <c r="S77" s="849"/>
      <c r="T77" s="849"/>
      <c r="U77" s="849"/>
      <c r="V77" s="849"/>
      <c r="W77" s="849"/>
      <c r="X77" s="849"/>
      <c r="Y77" s="849"/>
      <c r="Z77" s="849"/>
      <c r="AA77" s="849"/>
      <c r="AB77" s="849"/>
      <c r="AC77" s="849"/>
      <c r="AD77" s="849"/>
      <c r="AE77" s="849"/>
      <c r="AF77" s="849"/>
    </row>
    <row r="78" customFormat="false" ht="16.5" hidden="false" customHeight="false" outlineLevel="0" collapsed="false">
      <c r="A78" s="849"/>
      <c r="B78" s="849"/>
      <c r="C78" s="849"/>
      <c r="D78" s="849"/>
      <c r="E78" s="849"/>
      <c r="F78" s="849"/>
      <c r="G78" s="849"/>
      <c r="H78" s="849"/>
      <c r="I78" s="849"/>
      <c r="J78" s="849"/>
      <c r="K78" s="849"/>
      <c r="L78" s="849"/>
      <c r="M78" s="849"/>
      <c r="N78" s="849"/>
      <c r="O78" s="849"/>
      <c r="P78" s="849"/>
      <c r="Q78" s="849"/>
      <c r="R78" s="849"/>
      <c r="S78" s="849"/>
      <c r="T78" s="849"/>
      <c r="U78" s="849"/>
      <c r="V78" s="849"/>
      <c r="W78" s="849"/>
      <c r="X78" s="849"/>
      <c r="Y78" s="849"/>
      <c r="Z78" s="849"/>
      <c r="AA78" s="849"/>
      <c r="AB78" s="849"/>
      <c r="AC78" s="849"/>
      <c r="AD78" s="849"/>
      <c r="AE78" s="849"/>
      <c r="AF78" s="849"/>
    </row>
    <row r="79" customFormat="false" ht="16.5" hidden="false" customHeight="false" outlineLevel="0" collapsed="false">
      <c r="A79" s="849"/>
      <c r="B79" s="849"/>
      <c r="C79" s="849"/>
      <c r="D79" s="849"/>
      <c r="E79" s="849"/>
      <c r="F79" s="849"/>
      <c r="G79" s="849"/>
      <c r="H79" s="849"/>
      <c r="I79" s="849"/>
      <c r="J79" s="849"/>
      <c r="K79" s="849"/>
      <c r="L79" s="849"/>
      <c r="M79" s="849"/>
      <c r="N79" s="849"/>
      <c r="O79" s="849"/>
      <c r="P79" s="849"/>
      <c r="Q79" s="849"/>
      <c r="R79" s="849"/>
      <c r="S79" s="849"/>
      <c r="T79" s="849"/>
      <c r="U79" s="849"/>
      <c r="V79" s="849"/>
      <c r="W79" s="849"/>
      <c r="X79" s="849"/>
      <c r="Y79" s="849"/>
      <c r="Z79" s="849"/>
      <c r="AA79" s="849"/>
      <c r="AB79" s="849"/>
      <c r="AC79" s="849"/>
      <c r="AD79" s="849"/>
      <c r="AE79" s="849"/>
      <c r="AF79" s="849"/>
    </row>
    <row r="80" customFormat="false" ht="16.5" hidden="false" customHeight="false" outlineLevel="0" collapsed="false">
      <c r="A80" s="849"/>
      <c r="B80" s="849"/>
      <c r="C80" s="849"/>
      <c r="D80" s="849"/>
      <c r="E80" s="849"/>
      <c r="F80" s="849"/>
      <c r="G80" s="849"/>
      <c r="H80" s="849"/>
      <c r="I80" s="849"/>
      <c r="J80" s="849"/>
      <c r="K80" s="849"/>
      <c r="L80" s="849"/>
      <c r="M80" s="849"/>
      <c r="N80" s="849"/>
      <c r="O80" s="849"/>
      <c r="P80" s="849"/>
      <c r="Q80" s="849"/>
      <c r="R80" s="849"/>
      <c r="S80" s="849"/>
      <c r="T80" s="849"/>
      <c r="U80" s="849"/>
      <c r="V80" s="849"/>
      <c r="W80" s="849"/>
      <c r="X80" s="849"/>
      <c r="Y80" s="849"/>
      <c r="Z80" s="849"/>
      <c r="AA80" s="849"/>
      <c r="AB80" s="849"/>
      <c r="AC80" s="849"/>
      <c r="AD80" s="849"/>
      <c r="AE80" s="849"/>
      <c r="AF80" s="849"/>
    </row>
    <row r="81" customFormat="false" ht="16.5" hidden="false" customHeight="false" outlineLevel="0" collapsed="false">
      <c r="A81" s="849"/>
      <c r="B81" s="849"/>
      <c r="C81" s="849"/>
      <c r="D81" s="849"/>
      <c r="E81" s="849"/>
      <c r="F81" s="849"/>
      <c r="G81" s="849"/>
      <c r="H81" s="849"/>
      <c r="I81" s="849"/>
      <c r="J81" s="849"/>
      <c r="K81" s="849"/>
      <c r="L81" s="849"/>
      <c r="M81" s="849"/>
      <c r="N81" s="849"/>
      <c r="O81" s="849"/>
      <c r="P81" s="849"/>
      <c r="Q81" s="849"/>
      <c r="R81" s="849"/>
      <c r="S81" s="849"/>
      <c r="T81" s="849"/>
      <c r="U81" s="849"/>
      <c r="V81" s="849"/>
      <c r="W81" s="849"/>
      <c r="X81" s="849"/>
      <c r="Y81" s="849"/>
      <c r="Z81" s="849"/>
      <c r="AA81" s="849"/>
      <c r="AB81" s="849"/>
      <c r="AC81" s="849"/>
      <c r="AD81" s="849"/>
      <c r="AE81" s="849"/>
      <c r="AF81" s="849"/>
    </row>
    <row r="82" customFormat="false" ht="16.5" hidden="false" customHeight="false" outlineLevel="0" collapsed="false">
      <c r="A82" s="849"/>
      <c r="B82" s="849"/>
      <c r="C82" s="849"/>
      <c r="D82" s="849"/>
      <c r="E82" s="849"/>
      <c r="F82" s="849"/>
      <c r="G82" s="849"/>
      <c r="H82" s="849"/>
      <c r="I82" s="849"/>
      <c r="J82" s="849"/>
      <c r="K82" s="849"/>
      <c r="L82" s="849"/>
      <c r="M82" s="849"/>
      <c r="N82" s="849"/>
      <c r="O82" s="849"/>
      <c r="P82" s="849"/>
      <c r="Q82" s="849"/>
      <c r="R82" s="849"/>
      <c r="S82" s="849"/>
      <c r="T82" s="849"/>
      <c r="U82" s="849"/>
      <c r="V82" s="849"/>
      <c r="W82" s="849"/>
      <c r="X82" s="849"/>
      <c r="Y82" s="849"/>
      <c r="Z82" s="849"/>
      <c r="AA82" s="849"/>
      <c r="AB82" s="849"/>
      <c r="AC82" s="849"/>
      <c r="AD82" s="849"/>
      <c r="AE82" s="849"/>
      <c r="AF82" s="849"/>
    </row>
    <row r="83" customFormat="false" ht="16.5" hidden="false" customHeight="false" outlineLevel="0" collapsed="false">
      <c r="A83" s="849"/>
      <c r="B83" s="849"/>
      <c r="C83" s="849"/>
      <c r="D83" s="849"/>
      <c r="E83" s="849"/>
      <c r="F83" s="849"/>
      <c r="G83" s="849"/>
      <c r="H83" s="849"/>
      <c r="I83" s="849"/>
      <c r="J83" s="849"/>
      <c r="K83" s="849"/>
      <c r="L83" s="849"/>
      <c r="M83" s="849"/>
      <c r="N83" s="849"/>
      <c r="O83" s="849"/>
      <c r="P83" s="849"/>
      <c r="Q83" s="849"/>
      <c r="R83" s="849"/>
      <c r="S83" s="849"/>
      <c r="T83" s="849"/>
      <c r="U83" s="849"/>
      <c r="V83" s="849"/>
      <c r="W83" s="849"/>
      <c r="X83" s="849"/>
      <c r="Y83" s="849"/>
      <c r="Z83" s="849"/>
      <c r="AA83" s="849"/>
      <c r="AB83" s="849"/>
      <c r="AC83" s="849"/>
      <c r="AD83" s="849"/>
      <c r="AE83" s="849"/>
      <c r="AF83" s="849"/>
    </row>
    <row r="84" customFormat="false" ht="16.5" hidden="false" customHeight="false" outlineLevel="0" collapsed="false">
      <c r="A84" s="849"/>
      <c r="B84" s="849"/>
      <c r="C84" s="849"/>
      <c r="D84" s="849"/>
      <c r="E84" s="849"/>
      <c r="F84" s="849"/>
      <c r="G84" s="849"/>
      <c r="H84" s="849"/>
      <c r="I84" s="849"/>
      <c r="J84" s="849"/>
      <c r="K84" s="849"/>
      <c r="L84" s="849"/>
      <c r="M84" s="849"/>
      <c r="N84" s="849"/>
      <c r="O84" s="849"/>
      <c r="P84" s="849"/>
      <c r="Q84" s="849"/>
      <c r="R84" s="849"/>
      <c r="S84" s="849"/>
      <c r="T84" s="849"/>
      <c r="U84" s="849"/>
      <c r="V84" s="849"/>
      <c r="W84" s="849"/>
      <c r="X84" s="849"/>
      <c r="Y84" s="849"/>
      <c r="Z84" s="849"/>
      <c r="AA84" s="849"/>
      <c r="AB84" s="849"/>
      <c r="AC84" s="849"/>
      <c r="AD84" s="849"/>
      <c r="AE84" s="849"/>
      <c r="AF84" s="849"/>
    </row>
    <row r="85" customFormat="false" ht="16.5" hidden="false" customHeight="false" outlineLevel="0" collapsed="false">
      <c r="A85" s="849"/>
      <c r="B85" s="849"/>
      <c r="C85" s="849"/>
      <c r="D85" s="849"/>
      <c r="E85" s="849"/>
      <c r="F85" s="849"/>
      <c r="G85" s="849"/>
      <c r="H85" s="849"/>
      <c r="I85" s="849"/>
      <c r="J85" s="849"/>
      <c r="K85" s="849"/>
      <c r="L85" s="849"/>
      <c r="M85" s="849"/>
      <c r="N85" s="849"/>
      <c r="O85" s="849"/>
      <c r="P85" s="849"/>
      <c r="Q85" s="849"/>
      <c r="R85" s="849"/>
      <c r="S85" s="849"/>
      <c r="T85" s="849"/>
      <c r="U85" s="849"/>
      <c r="V85" s="849"/>
      <c r="W85" s="849"/>
      <c r="X85" s="849"/>
      <c r="Y85" s="849"/>
      <c r="Z85" s="849"/>
      <c r="AA85" s="849"/>
      <c r="AB85" s="849"/>
      <c r="AC85" s="849"/>
      <c r="AD85" s="849"/>
      <c r="AE85" s="849"/>
      <c r="AF85" s="849"/>
    </row>
    <row r="86" customFormat="false" ht="16.5" hidden="false" customHeight="false" outlineLevel="0" collapsed="false">
      <c r="A86" s="849"/>
      <c r="B86" s="849"/>
      <c r="C86" s="849"/>
      <c r="D86" s="849"/>
      <c r="E86" s="849"/>
      <c r="F86" s="849"/>
      <c r="G86" s="849"/>
      <c r="H86" s="849"/>
      <c r="I86" s="849"/>
      <c r="J86" s="849"/>
      <c r="K86" s="849"/>
      <c r="L86" s="849"/>
      <c r="M86" s="849"/>
      <c r="N86" s="849"/>
      <c r="O86" s="849"/>
      <c r="P86" s="849"/>
      <c r="Q86" s="849"/>
      <c r="R86" s="849"/>
      <c r="S86" s="849"/>
      <c r="T86" s="849"/>
      <c r="U86" s="849"/>
      <c r="V86" s="849"/>
      <c r="W86" s="849"/>
      <c r="X86" s="849"/>
      <c r="Y86" s="849"/>
      <c r="Z86" s="849"/>
      <c r="AA86" s="849"/>
      <c r="AB86" s="849"/>
      <c r="AC86" s="849"/>
      <c r="AD86" s="849"/>
      <c r="AE86" s="849"/>
      <c r="AF86" s="849"/>
    </row>
    <row r="87" customFormat="false" ht="16.5" hidden="false" customHeight="false" outlineLevel="0" collapsed="false">
      <c r="A87" s="849"/>
      <c r="B87" s="849"/>
      <c r="C87" s="849"/>
      <c r="D87" s="849"/>
      <c r="E87" s="849"/>
      <c r="F87" s="849"/>
      <c r="G87" s="849"/>
      <c r="H87" s="849"/>
      <c r="I87" s="849"/>
      <c r="J87" s="849"/>
      <c r="K87" s="849"/>
      <c r="L87" s="849"/>
      <c r="M87" s="849"/>
      <c r="N87" s="849"/>
      <c r="O87" s="849"/>
      <c r="P87" s="849"/>
      <c r="Q87" s="849"/>
      <c r="R87" s="849"/>
      <c r="S87" s="849"/>
      <c r="T87" s="849"/>
      <c r="U87" s="849"/>
      <c r="V87" s="849"/>
      <c r="W87" s="849"/>
      <c r="X87" s="849"/>
      <c r="Y87" s="849"/>
      <c r="Z87" s="849"/>
      <c r="AA87" s="849"/>
      <c r="AB87" s="849"/>
      <c r="AC87" s="849"/>
      <c r="AD87" s="849"/>
      <c r="AE87" s="849"/>
      <c r="AF87" s="849"/>
    </row>
    <row r="88" customFormat="false" ht="16.5" hidden="false" customHeight="false" outlineLevel="0" collapsed="false">
      <c r="A88" s="849"/>
      <c r="B88" s="849"/>
      <c r="C88" s="849"/>
      <c r="D88" s="849"/>
      <c r="E88" s="849"/>
      <c r="F88" s="849"/>
      <c r="G88" s="849"/>
      <c r="H88" s="849"/>
      <c r="I88" s="849"/>
      <c r="J88" s="849"/>
      <c r="K88" s="849"/>
      <c r="L88" s="849"/>
      <c r="M88" s="849"/>
      <c r="N88" s="849"/>
      <c r="O88" s="849"/>
      <c r="P88" s="849"/>
      <c r="Q88" s="849"/>
      <c r="R88" s="849"/>
      <c r="S88" s="849"/>
      <c r="T88" s="849"/>
      <c r="U88" s="849"/>
      <c r="V88" s="849"/>
      <c r="W88" s="849"/>
      <c r="X88" s="849"/>
      <c r="Y88" s="849"/>
      <c r="Z88" s="849"/>
      <c r="AA88" s="849"/>
      <c r="AB88" s="849"/>
      <c r="AC88" s="849"/>
      <c r="AD88" s="849"/>
      <c r="AE88" s="849"/>
      <c r="AF88" s="84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82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F42" activeCellId="0" sqref="F42"/>
    </sheetView>
  </sheetViews>
  <sheetFormatPr defaultColWidth="19.859375" defaultRowHeight="30.75" zeroHeight="false" outlineLevelRow="0" outlineLevelCol="0"/>
  <cols>
    <col collapsed="false" customWidth="true" hidden="false" outlineLevel="0" max="1" min="1" style="958" width="4.71"/>
    <col collapsed="false" customWidth="true" hidden="false" outlineLevel="0" max="10" min="2" style="958" width="23.28"/>
    <col collapsed="false" customWidth="true" hidden="false" outlineLevel="0" max="11" min="11" style="958" width="4.14"/>
    <col collapsed="false" customWidth="false" hidden="false" outlineLevel="0" max="16384" min="12" style="958" width="19.86"/>
  </cols>
  <sheetData>
    <row r="1" customFormat="false" ht="30" hidden="false" customHeight="true" outlineLevel="0" collapsed="false">
      <c r="A1" s="849"/>
      <c r="B1" s="849"/>
      <c r="C1" s="849"/>
      <c r="D1" s="849"/>
      <c r="E1" s="849"/>
      <c r="F1" s="849"/>
      <c r="G1" s="849"/>
      <c r="H1" s="849"/>
      <c r="I1" s="849"/>
      <c r="J1" s="849"/>
      <c r="K1" s="849"/>
      <c r="L1" s="849"/>
      <c r="M1" s="849"/>
      <c r="N1" s="849"/>
      <c r="O1" s="849"/>
      <c r="P1" s="849"/>
      <c r="Q1" s="849"/>
      <c r="R1" s="849"/>
      <c r="S1" s="849"/>
      <c r="T1" s="849"/>
      <c r="U1" s="849"/>
      <c r="V1" s="849"/>
      <c r="W1" s="849"/>
      <c r="X1" s="849"/>
      <c r="Y1" s="849"/>
      <c r="Z1" s="849"/>
      <c r="AA1" s="849"/>
      <c r="AB1" s="849"/>
      <c r="AC1" s="849"/>
      <c r="AD1" s="849"/>
      <c r="AE1" s="849"/>
      <c r="AF1" s="849"/>
    </row>
    <row r="2" customFormat="false" ht="30" hidden="false" customHeight="true" outlineLevel="0" collapsed="false">
      <c r="A2" s="849"/>
      <c r="B2" s="959" t="s">
        <v>37</v>
      </c>
      <c r="C2" s="854" t="s">
        <v>1</v>
      </c>
      <c r="D2" s="960" t="n">
        <f aca="false">J5+J12+J19+J26+J33+E40</f>
        <v>97.5</v>
      </c>
      <c r="E2" s="858"/>
      <c r="F2" s="858"/>
      <c r="G2" s="858"/>
      <c r="H2" s="858"/>
      <c r="I2" s="858"/>
      <c r="J2" s="867"/>
      <c r="K2" s="860"/>
      <c r="L2" s="859"/>
      <c r="M2" s="849"/>
      <c r="N2" s="849"/>
      <c r="O2" s="849"/>
      <c r="P2" s="849"/>
      <c r="Q2" s="849"/>
      <c r="R2" s="849"/>
      <c r="S2" s="849"/>
      <c r="T2" s="849"/>
      <c r="U2" s="849"/>
      <c r="V2" s="849"/>
      <c r="W2" s="849"/>
      <c r="X2" s="849"/>
      <c r="Y2" s="849"/>
      <c r="Z2" s="849"/>
      <c r="AA2" s="849"/>
      <c r="AB2" s="849"/>
      <c r="AC2" s="849"/>
      <c r="AD2" s="849"/>
      <c r="AE2" s="849"/>
      <c r="AF2" s="849"/>
    </row>
    <row r="3" customFormat="false" ht="30" hidden="false" customHeight="true" outlineLevel="0" collapsed="false">
      <c r="A3" s="849"/>
      <c r="B3" s="861" t="s">
        <v>5</v>
      </c>
      <c r="C3" s="862" t="s">
        <v>6</v>
      </c>
      <c r="D3" s="863" t="s">
        <v>7</v>
      </c>
      <c r="E3" s="961" t="s">
        <v>8</v>
      </c>
      <c r="F3" s="863" t="s">
        <v>9</v>
      </c>
      <c r="G3" s="863" t="s">
        <v>8</v>
      </c>
      <c r="H3" s="863" t="s">
        <v>11</v>
      </c>
      <c r="I3" s="962" t="s">
        <v>6</v>
      </c>
      <c r="J3" s="867"/>
      <c r="K3" s="867"/>
      <c r="L3" s="859" t="s">
        <v>476</v>
      </c>
      <c r="M3" s="849"/>
      <c r="N3" s="849"/>
      <c r="O3" s="849"/>
      <c r="P3" s="849"/>
      <c r="Q3" s="849"/>
      <c r="R3" s="849"/>
      <c r="S3" s="849"/>
      <c r="T3" s="849"/>
      <c r="U3" s="849"/>
      <c r="V3" s="849"/>
      <c r="W3" s="849"/>
      <c r="X3" s="849"/>
      <c r="Y3" s="849"/>
      <c r="Z3" s="849"/>
      <c r="AA3" s="849"/>
      <c r="AB3" s="849"/>
      <c r="AC3" s="849"/>
      <c r="AD3" s="849"/>
      <c r="AE3" s="849"/>
      <c r="AF3" s="849"/>
    </row>
    <row r="4" customFormat="false" ht="30" hidden="false" customHeight="true" outlineLevel="0" collapsed="false">
      <c r="A4" s="849"/>
      <c r="B4" s="868" t="s">
        <v>14</v>
      </c>
      <c r="C4" s="871"/>
      <c r="D4" s="871"/>
      <c r="E4" s="871"/>
      <c r="F4" s="871"/>
      <c r="G4" s="871" t="n">
        <v>1</v>
      </c>
      <c r="H4" s="871" t="n">
        <v>2</v>
      </c>
      <c r="I4" s="871" t="n">
        <v>3</v>
      </c>
      <c r="J4" s="963" t="s">
        <v>477</v>
      </c>
      <c r="K4" s="867"/>
      <c r="L4" s="872" t="s">
        <v>444</v>
      </c>
      <c r="M4" s="849"/>
      <c r="N4" s="849"/>
      <c r="O4" s="849"/>
      <c r="P4" s="849"/>
      <c r="Q4" s="849"/>
      <c r="R4" s="849"/>
      <c r="S4" s="849"/>
      <c r="T4" s="849"/>
      <c r="U4" s="849"/>
      <c r="V4" s="849"/>
      <c r="W4" s="849"/>
      <c r="X4" s="849"/>
      <c r="Y4" s="849"/>
      <c r="Z4" s="849"/>
      <c r="AA4" s="849"/>
      <c r="AB4" s="849"/>
      <c r="AC4" s="849"/>
      <c r="AD4" s="849"/>
      <c r="AE4" s="849"/>
      <c r="AF4" s="849"/>
    </row>
    <row r="5" customFormat="false" ht="30" hidden="false" customHeight="true" outlineLevel="0" collapsed="false">
      <c r="A5" s="849"/>
      <c r="B5" s="873" t="s">
        <v>16</v>
      </c>
      <c r="C5" s="883"/>
      <c r="D5" s="884"/>
      <c r="E5" s="885"/>
      <c r="F5" s="884"/>
      <c r="G5" s="884" t="s">
        <v>209</v>
      </c>
      <c r="H5" s="884" t="s">
        <v>62</v>
      </c>
      <c r="I5" s="920"/>
      <c r="J5" s="963" t="n">
        <f aca="false" t="array" ref="J5:J5">SUM(IF(ISNUMBER(B8:I8), B8:I8, 0))</f>
        <v>11.1</v>
      </c>
      <c r="K5" s="867"/>
      <c r="L5" s="849"/>
      <c r="M5" s="849"/>
      <c r="N5" s="849"/>
      <c r="O5" s="849"/>
      <c r="P5" s="849"/>
      <c r="Q5" s="849"/>
      <c r="R5" s="849"/>
      <c r="S5" s="849"/>
      <c r="T5" s="849"/>
      <c r="U5" s="849"/>
      <c r="V5" s="849"/>
      <c r="W5" s="849"/>
      <c r="X5" s="849"/>
      <c r="Y5" s="849"/>
      <c r="Z5" s="849"/>
      <c r="AA5" s="849"/>
      <c r="AB5" s="849"/>
      <c r="AC5" s="849"/>
      <c r="AD5" s="849"/>
      <c r="AE5" s="849"/>
      <c r="AF5" s="849"/>
    </row>
    <row r="6" customFormat="false" ht="30" hidden="false" customHeight="true" outlineLevel="0" collapsed="false">
      <c r="A6" s="849"/>
      <c r="B6" s="868" t="s">
        <v>18</v>
      </c>
      <c r="C6" s="929"/>
      <c r="D6" s="879"/>
      <c r="E6" s="880"/>
      <c r="F6" s="879"/>
      <c r="G6" s="879" t="n">
        <v>0.07</v>
      </c>
      <c r="H6" s="879" t="n">
        <v>0.04</v>
      </c>
      <c r="I6" s="881" t="n">
        <v>0.01</v>
      </c>
      <c r="J6" s="882"/>
      <c r="K6" s="867"/>
      <c r="L6" s="849"/>
      <c r="M6" s="849"/>
      <c r="N6" s="849"/>
      <c r="O6" s="849"/>
      <c r="P6" s="849"/>
      <c r="Q6" s="849"/>
      <c r="R6" s="849"/>
      <c r="S6" s="849"/>
      <c r="T6" s="849"/>
      <c r="U6" s="849"/>
      <c r="V6" s="849"/>
      <c r="W6" s="849"/>
      <c r="X6" s="849"/>
      <c r="Y6" s="849"/>
      <c r="Z6" s="849"/>
      <c r="AA6" s="849"/>
      <c r="AB6" s="849"/>
      <c r="AC6" s="849"/>
      <c r="AD6" s="849"/>
      <c r="AE6" s="849"/>
      <c r="AF6" s="849"/>
    </row>
    <row r="7" customFormat="false" ht="30" hidden="false" customHeight="true" outlineLevel="0" collapsed="false">
      <c r="A7" s="849"/>
      <c r="B7" s="873" t="s">
        <v>19</v>
      </c>
      <c r="C7" s="934"/>
      <c r="D7" s="922"/>
      <c r="E7" s="964"/>
      <c r="F7" s="922"/>
      <c r="G7" s="922" t="s">
        <v>352</v>
      </c>
      <c r="H7" s="922" t="s">
        <v>40</v>
      </c>
      <c r="I7" s="923" t="s">
        <v>40</v>
      </c>
      <c r="J7" s="965"/>
      <c r="K7" s="867"/>
      <c r="L7" s="849"/>
      <c r="M7" s="849"/>
      <c r="N7" s="849"/>
      <c r="O7" s="849"/>
      <c r="P7" s="849"/>
      <c r="Q7" s="849"/>
      <c r="R7" s="849"/>
      <c r="S7" s="849"/>
      <c r="T7" s="849"/>
      <c r="U7" s="849"/>
      <c r="V7" s="849"/>
      <c r="W7" s="849"/>
      <c r="X7" s="849"/>
      <c r="Y7" s="849"/>
      <c r="Z7" s="849"/>
      <c r="AA7" s="849"/>
      <c r="AB7" s="849"/>
      <c r="AC7" s="849"/>
      <c r="AD7" s="849"/>
      <c r="AE7" s="849"/>
      <c r="AF7" s="849"/>
    </row>
    <row r="8" customFormat="false" ht="30" hidden="false" customHeight="true" outlineLevel="0" collapsed="false">
      <c r="A8" s="849"/>
      <c r="B8" s="868" t="s">
        <v>21</v>
      </c>
      <c r="C8" s="889"/>
      <c r="D8" s="890"/>
      <c r="E8" s="891"/>
      <c r="F8" s="890"/>
      <c r="G8" s="890" t="n">
        <v>6.1</v>
      </c>
      <c r="H8" s="890" t="s">
        <v>210</v>
      </c>
      <c r="I8" s="930" t="n">
        <v>5</v>
      </c>
      <c r="J8" s="882"/>
      <c r="K8" s="867"/>
      <c r="L8" s="849"/>
      <c r="M8" s="849"/>
      <c r="N8" s="849"/>
      <c r="O8" s="849"/>
      <c r="P8" s="849"/>
      <c r="Q8" s="849"/>
      <c r="R8" s="849"/>
      <c r="S8" s="849"/>
      <c r="T8" s="849"/>
      <c r="U8" s="849"/>
      <c r="V8" s="849"/>
      <c r="W8" s="849"/>
      <c r="X8" s="849"/>
      <c r="Y8" s="849"/>
      <c r="Z8" s="849"/>
      <c r="AA8" s="849"/>
      <c r="AB8" s="849"/>
      <c r="AC8" s="849"/>
      <c r="AD8" s="849"/>
      <c r="AE8" s="849"/>
      <c r="AF8" s="849"/>
    </row>
    <row r="9" customFormat="false" ht="30" hidden="false" customHeight="true" outlineLevel="0" collapsed="false">
      <c r="A9" s="849"/>
      <c r="B9" s="868" t="s">
        <v>478</v>
      </c>
      <c r="C9" s="889"/>
      <c r="D9" s="890"/>
      <c r="E9" s="891"/>
      <c r="F9" s="890"/>
      <c r="G9" s="890"/>
      <c r="H9" s="890"/>
      <c r="I9" s="930"/>
      <c r="J9" s="882"/>
      <c r="K9" s="867"/>
      <c r="L9" s="849"/>
      <c r="M9" s="849"/>
      <c r="N9" s="849"/>
      <c r="O9" s="849"/>
      <c r="P9" s="849"/>
      <c r="Q9" s="849"/>
      <c r="R9" s="849"/>
      <c r="S9" s="849"/>
      <c r="T9" s="849"/>
      <c r="U9" s="849"/>
      <c r="V9" s="849"/>
      <c r="W9" s="849"/>
      <c r="X9" s="849"/>
      <c r="Y9" s="849"/>
      <c r="Z9" s="849"/>
      <c r="AA9" s="849"/>
      <c r="AB9" s="849"/>
      <c r="AC9" s="849"/>
      <c r="AD9" s="849"/>
      <c r="AE9" s="849"/>
      <c r="AF9" s="849"/>
    </row>
    <row r="10" customFormat="false" ht="30" hidden="false" customHeight="true" outlineLevel="0" collapsed="false">
      <c r="A10" s="849"/>
      <c r="B10" s="897" t="s">
        <v>479</v>
      </c>
      <c r="C10" s="956"/>
      <c r="D10" s="951"/>
      <c r="E10" s="966"/>
      <c r="F10" s="951"/>
      <c r="G10" s="951"/>
      <c r="H10" s="951"/>
      <c r="I10" s="957"/>
      <c r="J10" s="882"/>
      <c r="K10" s="867"/>
      <c r="L10" s="849"/>
      <c r="M10" s="849"/>
      <c r="N10" s="849"/>
      <c r="O10" s="849"/>
      <c r="P10" s="849"/>
      <c r="Q10" s="849"/>
      <c r="R10" s="849"/>
      <c r="S10" s="849"/>
      <c r="T10" s="849"/>
      <c r="U10" s="849"/>
      <c r="V10" s="849"/>
      <c r="W10" s="849"/>
      <c r="X10" s="849"/>
      <c r="Y10" s="849"/>
      <c r="Z10" s="849"/>
      <c r="AA10" s="849"/>
      <c r="AB10" s="849"/>
      <c r="AC10" s="849"/>
      <c r="AD10" s="849"/>
      <c r="AE10" s="849"/>
      <c r="AF10" s="849"/>
    </row>
    <row r="11" customFormat="false" ht="30" hidden="false" customHeight="true" outlineLevel="0" collapsed="false">
      <c r="A11" s="849"/>
      <c r="B11" s="849" t="s">
        <v>4</v>
      </c>
      <c r="C11" s="871" t="n">
        <v>4</v>
      </c>
      <c r="D11" s="871" t="n">
        <v>5</v>
      </c>
      <c r="E11" s="871" t="n">
        <v>6</v>
      </c>
      <c r="F11" s="871" t="n">
        <v>7</v>
      </c>
      <c r="G11" s="871" t="n">
        <v>8</v>
      </c>
      <c r="H11" s="871" t="n">
        <v>9</v>
      </c>
      <c r="I11" s="871" t="n">
        <v>10</v>
      </c>
      <c r="J11" s="967" t="s">
        <v>480</v>
      </c>
      <c r="K11" s="867"/>
      <c r="L11" s="849"/>
      <c r="M11" s="849"/>
      <c r="N11" s="849"/>
      <c r="O11" s="849"/>
      <c r="P11" s="849"/>
      <c r="Q11" s="849"/>
      <c r="R11" s="849"/>
      <c r="S11" s="849"/>
      <c r="T11" s="849"/>
      <c r="U11" s="849"/>
      <c r="V11" s="849"/>
      <c r="W11" s="849"/>
      <c r="X11" s="849"/>
      <c r="Y11" s="849"/>
      <c r="Z11" s="849"/>
      <c r="AA11" s="849"/>
      <c r="AB11" s="849"/>
      <c r="AC11" s="849"/>
      <c r="AD11" s="849"/>
      <c r="AE11" s="849"/>
      <c r="AF11" s="849"/>
    </row>
    <row r="12" customFormat="false" ht="30" hidden="false" customHeight="true" outlineLevel="0" collapsed="false">
      <c r="A12" s="849"/>
      <c r="B12" s="849"/>
      <c r="C12" s="933"/>
      <c r="D12" s="918" t="s">
        <v>62</v>
      </c>
      <c r="E12" s="918" t="s">
        <v>209</v>
      </c>
      <c r="F12" s="918"/>
      <c r="G12" s="918" t="s">
        <v>209</v>
      </c>
      <c r="H12" s="918" t="s">
        <v>79</v>
      </c>
      <c r="I12" s="877" t="s">
        <v>359</v>
      </c>
      <c r="J12" s="963" t="n">
        <f aca="false" t="array" ref="J12:J12">SUM(IF(ISNUMBER(B15:I15), B15:I15, 0))</f>
        <v>26.2</v>
      </c>
      <c r="K12" s="867"/>
      <c r="L12" s="849"/>
      <c r="M12" s="849"/>
      <c r="N12" s="849"/>
      <c r="O12" s="849"/>
      <c r="P12" s="849"/>
      <c r="Q12" s="849"/>
      <c r="R12" s="849"/>
      <c r="S12" s="849"/>
      <c r="T12" s="849"/>
      <c r="U12" s="849"/>
      <c r="V12" s="849"/>
      <c r="W12" s="849"/>
      <c r="X12" s="849"/>
      <c r="Y12" s="849"/>
      <c r="Z12" s="849"/>
      <c r="AA12" s="849"/>
      <c r="AB12" s="849"/>
      <c r="AC12" s="849"/>
      <c r="AD12" s="849"/>
      <c r="AE12" s="849"/>
      <c r="AF12" s="849"/>
    </row>
    <row r="13" customFormat="false" ht="30" hidden="false" customHeight="true" outlineLevel="0" collapsed="false">
      <c r="A13" s="849"/>
      <c r="B13" s="849"/>
      <c r="C13" s="929" t="n">
        <v>0.01</v>
      </c>
      <c r="D13" s="879" t="n">
        <v>0.02</v>
      </c>
      <c r="E13" s="879" t="n">
        <v>0.06</v>
      </c>
      <c r="F13" s="879" t="n">
        <v>0.11</v>
      </c>
      <c r="G13" s="879" t="n">
        <v>0.18</v>
      </c>
      <c r="H13" s="879" t="n">
        <v>0.26</v>
      </c>
      <c r="I13" s="881" t="n">
        <v>0.35</v>
      </c>
      <c r="J13" s="867"/>
      <c r="K13" s="867"/>
      <c r="L13" s="849"/>
      <c r="M13" s="849"/>
      <c r="N13" s="849"/>
      <c r="O13" s="849"/>
      <c r="P13" s="849"/>
      <c r="Q13" s="849"/>
      <c r="R13" s="849"/>
      <c r="S13" s="849"/>
      <c r="T13" s="849"/>
      <c r="U13" s="849"/>
      <c r="V13" s="849"/>
      <c r="W13" s="849"/>
      <c r="X13" s="849"/>
      <c r="Y13" s="849"/>
      <c r="Z13" s="849"/>
      <c r="AA13" s="849"/>
      <c r="AB13" s="849"/>
      <c r="AC13" s="849"/>
      <c r="AD13" s="849"/>
      <c r="AE13" s="849"/>
      <c r="AF13" s="849"/>
    </row>
    <row r="14" customFormat="false" ht="30" hidden="false" customHeight="true" outlineLevel="0" collapsed="false">
      <c r="A14" s="849"/>
      <c r="B14" s="849"/>
      <c r="C14" s="934" t="s">
        <v>40</v>
      </c>
      <c r="D14" s="922" t="s">
        <v>180</v>
      </c>
      <c r="E14" s="922" t="s">
        <v>62</v>
      </c>
      <c r="F14" s="922" t="s">
        <v>169</v>
      </c>
      <c r="G14" s="922" t="s">
        <v>352</v>
      </c>
      <c r="H14" s="922" t="s">
        <v>169</v>
      </c>
      <c r="I14" s="923" t="s">
        <v>169</v>
      </c>
      <c r="J14" s="867"/>
      <c r="K14" s="867"/>
      <c r="L14" s="849"/>
      <c r="M14" s="849"/>
      <c r="N14" s="849"/>
      <c r="O14" s="849"/>
      <c r="P14" s="849"/>
      <c r="Q14" s="849"/>
      <c r="R14" s="849"/>
      <c r="S14" s="849"/>
      <c r="T14" s="849"/>
      <c r="U14" s="849"/>
      <c r="V14" s="849"/>
      <c r="W14" s="849"/>
      <c r="X14" s="849"/>
      <c r="Y14" s="849"/>
      <c r="Z14" s="849"/>
      <c r="AA14" s="849"/>
      <c r="AB14" s="849"/>
      <c r="AC14" s="849"/>
      <c r="AD14" s="849"/>
      <c r="AE14" s="849"/>
      <c r="AF14" s="849"/>
    </row>
    <row r="15" customFormat="false" ht="30" hidden="false" customHeight="true" outlineLevel="0" collapsed="false">
      <c r="A15" s="849"/>
      <c r="B15" s="849"/>
      <c r="C15" s="889" t="n">
        <v>0.7</v>
      </c>
      <c r="D15" s="890" t="n">
        <v>7</v>
      </c>
      <c r="E15" s="890" t="n">
        <v>7</v>
      </c>
      <c r="F15" s="890" t="n">
        <v>5.5</v>
      </c>
      <c r="G15" s="890" t="s">
        <v>481</v>
      </c>
      <c r="H15" s="890" t="n">
        <v>6</v>
      </c>
      <c r="I15" s="930" t="s">
        <v>482</v>
      </c>
      <c r="J15" s="867"/>
      <c r="K15" s="867"/>
      <c r="L15" s="849"/>
      <c r="M15" s="849"/>
      <c r="N15" s="849"/>
      <c r="O15" s="849"/>
      <c r="P15" s="849"/>
      <c r="Q15" s="849"/>
      <c r="R15" s="849"/>
      <c r="S15" s="849"/>
      <c r="T15" s="849"/>
      <c r="U15" s="849"/>
      <c r="V15" s="849"/>
      <c r="W15" s="849"/>
      <c r="X15" s="849"/>
      <c r="Y15" s="849"/>
      <c r="Z15" s="849"/>
      <c r="AA15" s="849"/>
      <c r="AB15" s="849"/>
      <c r="AC15" s="849"/>
      <c r="AD15" s="849"/>
      <c r="AE15" s="849"/>
      <c r="AF15" s="849"/>
    </row>
    <row r="16" customFormat="false" ht="30" hidden="false" customHeight="true" outlineLevel="0" collapsed="false">
      <c r="A16" s="849"/>
      <c r="B16" s="849"/>
      <c r="C16" s="889"/>
      <c r="D16" s="922"/>
      <c r="E16" s="922"/>
      <c r="F16" s="922"/>
      <c r="G16" s="968"/>
      <c r="H16" s="922"/>
      <c r="I16" s="923"/>
      <c r="J16" s="867"/>
      <c r="K16" s="867"/>
      <c r="L16" s="849"/>
      <c r="M16" s="849"/>
      <c r="N16" s="849"/>
      <c r="O16" s="849"/>
      <c r="P16" s="849"/>
      <c r="Q16" s="849"/>
      <c r="R16" s="849"/>
      <c r="S16" s="849"/>
      <c r="T16" s="849"/>
      <c r="U16" s="849"/>
      <c r="V16" s="849"/>
      <c r="W16" s="849"/>
      <c r="X16" s="849"/>
      <c r="Y16" s="849"/>
      <c r="Z16" s="849"/>
      <c r="AA16" s="849"/>
      <c r="AB16" s="849"/>
      <c r="AC16" s="849"/>
      <c r="AD16" s="849"/>
      <c r="AE16" s="849"/>
      <c r="AF16" s="849"/>
    </row>
    <row r="17" customFormat="false" ht="30" hidden="false" customHeight="true" outlineLevel="0" collapsed="false">
      <c r="A17" s="849"/>
      <c r="B17" s="849"/>
      <c r="C17" s="956"/>
      <c r="D17" s="969"/>
      <c r="E17" s="951"/>
      <c r="F17" s="951"/>
      <c r="G17" s="970"/>
      <c r="H17" s="951"/>
      <c r="I17" s="957"/>
      <c r="J17" s="867"/>
      <c r="K17" s="867"/>
      <c r="L17" s="849"/>
      <c r="M17" s="849"/>
      <c r="N17" s="849"/>
      <c r="O17" s="849"/>
      <c r="P17" s="849"/>
      <c r="Q17" s="849"/>
      <c r="R17" s="849"/>
      <c r="S17" s="849"/>
      <c r="T17" s="849"/>
      <c r="U17" s="849"/>
      <c r="V17" s="849"/>
      <c r="W17" s="849"/>
      <c r="X17" s="849"/>
      <c r="Y17" s="849"/>
      <c r="Z17" s="849"/>
      <c r="AA17" s="849"/>
      <c r="AB17" s="849"/>
      <c r="AC17" s="849"/>
      <c r="AD17" s="849"/>
      <c r="AE17" s="849"/>
      <c r="AF17" s="849"/>
    </row>
    <row r="18" customFormat="false" ht="30" hidden="false" customHeight="true" outlineLevel="0" collapsed="false">
      <c r="A18" s="849"/>
      <c r="B18" s="849"/>
      <c r="C18" s="871" t="n">
        <v>11</v>
      </c>
      <c r="D18" s="871" t="n">
        <v>12</v>
      </c>
      <c r="E18" s="871" t="n">
        <v>13</v>
      </c>
      <c r="F18" s="871" t="n">
        <v>14</v>
      </c>
      <c r="G18" s="871" t="n">
        <v>15</v>
      </c>
      <c r="H18" s="871" t="n">
        <v>16</v>
      </c>
      <c r="I18" s="871" t="n">
        <v>17</v>
      </c>
      <c r="J18" s="967" t="s">
        <v>483</v>
      </c>
      <c r="K18" s="867"/>
      <c r="L18" s="849"/>
      <c r="M18" s="849"/>
      <c r="N18" s="849"/>
      <c r="O18" s="849"/>
      <c r="P18" s="849"/>
      <c r="Q18" s="849"/>
      <c r="R18" s="849"/>
      <c r="S18" s="849"/>
      <c r="T18" s="849"/>
      <c r="U18" s="849"/>
      <c r="V18" s="849"/>
      <c r="W18" s="849"/>
      <c r="X18" s="849"/>
      <c r="Y18" s="849"/>
      <c r="Z18" s="849"/>
      <c r="AA18" s="849"/>
      <c r="AB18" s="849"/>
      <c r="AC18" s="849"/>
      <c r="AD18" s="849"/>
      <c r="AE18" s="849"/>
      <c r="AF18" s="849"/>
    </row>
    <row r="19" customFormat="false" ht="30" hidden="false" customHeight="true" outlineLevel="0" collapsed="false">
      <c r="A19" s="849"/>
      <c r="B19" s="849"/>
      <c r="C19" s="933" t="s">
        <v>359</v>
      </c>
      <c r="D19" s="918" t="s">
        <v>62</v>
      </c>
      <c r="E19" s="918" t="s">
        <v>62</v>
      </c>
      <c r="F19" s="918" t="s">
        <v>79</v>
      </c>
      <c r="G19" s="918" t="s">
        <v>79</v>
      </c>
      <c r="H19" s="971"/>
      <c r="I19" s="972"/>
      <c r="J19" s="963" t="n">
        <f aca="false" t="array" ref="J19:J19">SUM(IF(ISNUMBER(B22:I22), B22:I22, 0))</f>
        <v>9</v>
      </c>
      <c r="K19" s="867"/>
      <c r="L19" s="849"/>
      <c r="M19" s="849"/>
      <c r="N19" s="849"/>
      <c r="O19" s="849"/>
      <c r="P19" s="849"/>
      <c r="Q19" s="849"/>
      <c r="R19" s="849"/>
      <c r="S19" s="849"/>
      <c r="T19" s="849"/>
      <c r="U19" s="849"/>
      <c r="V19" s="849"/>
      <c r="W19" s="849"/>
      <c r="X19" s="849"/>
      <c r="Y19" s="849"/>
      <c r="Z19" s="849"/>
      <c r="AA19" s="849"/>
      <c r="AB19" s="849"/>
      <c r="AC19" s="849"/>
      <c r="AD19" s="849"/>
      <c r="AE19" s="849"/>
      <c r="AF19" s="849"/>
    </row>
    <row r="20" customFormat="false" ht="30" hidden="false" customHeight="true" outlineLevel="0" collapsed="false">
      <c r="A20" s="849"/>
      <c r="B20" s="849"/>
      <c r="C20" s="929" t="n">
        <v>0.44</v>
      </c>
      <c r="D20" s="879" t="n">
        <v>0.54</v>
      </c>
      <c r="E20" s="879" t="n">
        <v>0.64</v>
      </c>
      <c r="F20" s="879" t="n">
        <v>0.74</v>
      </c>
      <c r="G20" s="879" t="n">
        <v>0.83</v>
      </c>
      <c r="H20" s="879" t="n">
        <v>0.91</v>
      </c>
      <c r="I20" s="881" t="n">
        <v>0.94</v>
      </c>
      <c r="J20" s="867"/>
      <c r="K20" s="867"/>
      <c r="L20" s="849"/>
      <c r="M20" s="849"/>
      <c r="N20" s="849"/>
      <c r="O20" s="849"/>
      <c r="P20" s="849"/>
      <c r="Q20" s="849"/>
      <c r="R20" s="849"/>
      <c r="S20" s="849"/>
      <c r="T20" s="849"/>
      <c r="U20" s="849"/>
      <c r="V20" s="849"/>
      <c r="W20" s="849"/>
      <c r="X20" s="849"/>
      <c r="Y20" s="849"/>
      <c r="Z20" s="849"/>
      <c r="AA20" s="849"/>
      <c r="AB20" s="849"/>
      <c r="AC20" s="849"/>
      <c r="AD20" s="849"/>
      <c r="AE20" s="849"/>
      <c r="AF20" s="849"/>
    </row>
    <row r="21" customFormat="false" ht="30" hidden="false" customHeight="true" outlineLevel="0" collapsed="false">
      <c r="A21" s="849"/>
      <c r="B21" s="849"/>
      <c r="C21" s="934" t="s">
        <v>62</v>
      </c>
      <c r="D21" s="922" t="s">
        <v>180</v>
      </c>
      <c r="E21" s="922" t="s">
        <v>180</v>
      </c>
      <c r="F21" s="922" t="s">
        <v>352</v>
      </c>
      <c r="G21" s="922" t="s">
        <v>40</v>
      </c>
      <c r="H21" s="922"/>
      <c r="I21" s="923"/>
      <c r="J21" s="867"/>
      <c r="K21" s="867"/>
      <c r="L21" s="849"/>
      <c r="M21" s="849"/>
      <c r="N21" s="849"/>
      <c r="O21" s="849"/>
      <c r="P21" s="849"/>
      <c r="Q21" s="849"/>
      <c r="R21" s="849"/>
      <c r="S21" s="849"/>
      <c r="T21" s="849"/>
      <c r="U21" s="849"/>
      <c r="V21" s="849"/>
      <c r="W21" s="849"/>
      <c r="X21" s="849"/>
      <c r="Y21" s="849"/>
      <c r="Z21" s="849"/>
      <c r="AA21" s="849"/>
      <c r="AB21" s="849"/>
      <c r="AC21" s="849"/>
      <c r="AD21" s="849"/>
      <c r="AE21" s="849"/>
      <c r="AF21" s="849"/>
    </row>
    <row r="22" customFormat="false" ht="30" hidden="false" customHeight="true" outlineLevel="0" collapsed="false">
      <c r="A22" s="849"/>
      <c r="B22" s="849"/>
      <c r="C22" s="889" t="n">
        <v>0</v>
      </c>
      <c r="D22" s="921" t="s">
        <v>484</v>
      </c>
      <c r="E22" s="890" t="n">
        <v>4.5</v>
      </c>
      <c r="F22" s="890" t="n">
        <v>2</v>
      </c>
      <c r="G22" s="890" t="n">
        <v>2.5</v>
      </c>
      <c r="H22" s="922"/>
      <c r="I22" s="923"/>
      <c r="J22" s="867"/>
      <c r="K22" s="867"/>
      <c r="L22" s="849"/>
      <c r="M22" s="849"/>
      <c r="N22" s="849"/>
      <c r="O22" s="849"/>
      <c r="P22" s="849"/>
      <c r="Q22" s="849"/>
      <c r="R22" s="849"/>
      <c r="S22" s="849"/>
      <c r="T22" s="849"/>
      <c r="U22" s="849"/>
      <c r="V22" s="849"/>
      <c r="W22" s="849"/>
      <c r="X22" s="849"/>
      <c r="Y22" s="849"/>
      <c r="Z22" s="849"/>
      <c r="AA22" s="849"/>
      <c r="AB22" s="849"/>
      <c r="AC22" s="849"/>
      <c r="AD22" s="849"/>
      <c r="AE22" s="849"/>
      <c r="AF22" s="849"/>
    </row>
    <row r="23" customFormat="false" ht="30" hidden="false" customHeight="true" outlineLevel="0" collapsed="false">
      <c r="A23" s="849"/>
      <c r="B23" s="849"/>
      <c r="C23" s="949"/>
      <c r="D23" s="922"/>
      <c r="E23" s="922"/>
      <c r="F23" s="922"/>
      <c r="G23" s="922"/>
      <c r="H23" s="922"/>
      <c r="I23" s="923"/>
      <c r="J23" s="867"/>
      <c r="K23" s="867"/>
      <c r="L23" s="849"/>
      <c r="M23" s="849"/>
      <c r="N23" s="849"/>
      <c r="O23" s="849"/>
      <c r="P23" s="849"/>
      <c r="Q23" s="849"/>
      <c r="R23" s="849"/>
      <c r="S23" s="849"/>
      <c r="T23" s="849"/>
      <c r="U23" s="849"/>
      <c r="V23" s="849"/>
      <c r="W23" s="849"/>
      <c r="X23" s="849"/>
      <c r="Y23" s="849"/>
      <c r="Z23" s="849"/>
      <c r="AA23" s="849"/>
      <c r="AB23" s="849"/>
      <c r="AC23" s="849"/>
      <c r="AD23" s="849"/>
      <c r="AE23" s="849"/>
      <c r="AF23" s="849"/>
    </row>
    <row r="24" customFormat="false" ht="30" hidden="false" customHeight="true" outlineLevel="0" collapsed="false">
      <c r="A24" s="849"/>
      <c r="B24" s="849"/>
      <c r="C24" s="949"/>
      <c r="D24" s="890"/>
      <c r="E24" s="890"/>
      <c r="F24" s="951"/>
      <c r="G24" s="890"/>
      <c r="H24" s="890"/>
      <c r="I24" s="930"/>
      <c r="J24" s="867"/>
      <c r="K24" s="867"/>
      <c r="L24" s="849"/>
      <c r="M24" s="849"/>
      <c r="N24" s="849"/>
      <c r="O24" s="849"/>
      <c r="P24" s="849"/>
      <c r="Q24" s="849"/>
      <c r="R24" s="849"/>
      <c r="S24" s="849"/>
      <c r="T24" s="849"/>
      <c r="U24" s="849"/>
      <c r="V24" s="849"/>
      <c r="W24" s="849"/>
      <c r="X24" s="849"/>
      <c r="Y24" s="849"/>
      <c r="Z24" s="849"/>
      <c r="AA24" s="849"/>
      <c r="AB24" s="849"/>
      <c r="AC24" s="849"/>
      <c r="AD24" s="849"/>
      <c r="AE24" s="849"/>
      <c r="AF24" s="849"/>
    </row>
    <row r="25" customFormat="false" ht="30" hidden="false" customHeight="true" outlineLevel="0" collapsed="false">
      <c r="A25" s="849"/>
      <c r="B25" s="849"/>
      <c r="C25" s="871" t="n">
        <v>18</v>
      </c>
      <c r="D25" s="871" t="n">
        <v>19</v>
      </c>
      <c r="E25" s="871" t="n">
        <v>20</v>
      </c>
      <c r="F25" s="871" t="n">
        <v>21</v>
      </c>
      <c r="G25" s="871" t="n">
        <v>22</v>
      </c>
      <c r="H25" s="871" t="n">
        <v>23</v>
      </c>
      <c r="I25" s="871" t="n">
        <v>24</v>
      </c>
      <c r="J25" s="973" t="s">
        <v>485</v>
      </c>
      <c r="K25" s="867"/>
      <c r="L25" s="849"/>
      <c r="M25" s="849"/>
      <c r="N25" s="849"/>
      <c r="O25" s="849"/>
      <c r="P25" s="849"/>
      <c r="Q25" s="849"/>
      <c r="R25" s="849"/>
      <c r="S25" s="849"/>
      <c r="T25" s="849"/>
      <c r="U25" s="849"/>
      <c r="V25" s="849"/>
      <c r="W25" s="849"/>
      <c r="X25" s="849"/>
      <c r="Y25" s="849"/>
      <c r="Z25" s="849"/>
      <c r="AA25" s="849"/>
      <c r="AB25" s="849"/>
      <c r="AC25" s="849"/>
      <c r="AD25" s="849"/>
      <c r="AE25" s="849"/>
      <c r="AF25" s="849"/>
    </row>
    <row r="26" customFormat="false" ht="30" hidden="false" customHeight="true" outlineLevel="0" collapsed="false">
      <c r="A26" s="849"/>
      <c r="B26" s="849"/>
      <c r="C26" s="974"/>
      <c r="D26" s="975"/>
      <c r="E26" s="975"/>
      <c r="F26" s="975"/>
      <c r="G26" s="975"/>
      <c r="H26" s="875" t="s">
        <v>79</v>
      </c>
      <c r="I26" s="877" t="s">
        <v>359</v>
      </c>
      <c r="J26" s="963" t="n">
        <f aca="false" t="array" ref="J26:J26">SUM(IF(ISNUMBER(B29:I29), B29:I29, 0))</f>
        <v>11.2</v>
      </c>
      <c r="K26" s="867"/>
      <c r="L26" s="849"/>
      <c r="M26" s="849"/>
      <c r="N26" s="849"/>
      <c r="O26" s="849"/>
      <c r="P26" s="849"/>
      <c r="Q26" s="849"/>
      <c r="R26" s="849"/>
      <c r="S26" s="849"/>
      <c r="T26" s="849"/>
      <c r="U26" s="849"/>
      <c r="V26" s="849"/>
      <c r="W26" s="849"/>
      <c r="X26" s="849"/>
      <c r="Y26" s="849"/>
      <c r="Z26" s="849"/>
      <c r="AA26" s="849"/>
      <c r="AB26" s="849"/>
      <c r="AC26" s="849"/>
      <c r="AD26" s="849"/>
      <c r="AE26" s="849"/>
      <c r="AF26" s="849"/>
    </row>
    <row r="27" customFormat="false" ht="30" hidden="false" customHeight="true" outlineLevel="0" collapsed="false">
      <c r="A27" s="849"/>
      <c r="B27" s="849"/>
      <c r="C27" s="929" t="n">
        <v>0.96</v>
      </c>
      <c r="D27" s="879" t="n">
        <v>0.99</v>
      </c>
      <c r="E27" s="879" t="n">
        <v>0.99</v>
      </c>
      <c r="F27" s="879" t="n">
        <v>0.96</v>
      </c>
      <c r="G27" s="879" t="n">
        <v>0.9</v>
      </c>
      <c r="H27" s="879" t="n">
        <v>0.81</v>
      </c>
      <c r="I27" s="881" t="n">
        <v>0.71</v>
      </c>
      <c r="J27" s="867"/>
      <c r="K27" s="867"/>
      <c r="L27" s="849"/>
      <c r="M27" s="849"/>
      <c r="N27" s="849"/>
      <c r="O27" s="849"/>
      <c r="P27" s="849"/>
      <c r="Q27" s="849"/>
      <c r="R27" s="849"/>
      <c r="S27" s="849"/>
      <c r="T27" s="849"/>
      <c r="U27" s="849"/>
      <c r="V27" s="849"/>
      <c r="W27" s="849"/>
      <c r="X27" s="849"/>
      <c r="Y27" s="849"/>
      <c r="Z27" s="849"/>
      <c r="AA27" s="849"/>
      <c r="AB27" s="849"/>
      <c r="AC27" s="849"/>
      <c r="AD27" s="849"/>
      <c r="AE27" s="849"/>
      <c r="AF27" s="849"/>
    </row>
    <row r="28" customFormat="false" ht="30" hidden="false" customHeight="true" outlineLevel="0" collapsed="false">
      <c r="A28" s="849"/>
      <c r="B28" s="849"/>
      <c r="C28" s="934"/>
      <c r="D28" s="922" t="s">
        <v>169</v>
      </c>
      <c r="E28" s="922" t="s">
        <v>352</v>
      </c>
      <c r="F28" s="922" t="s">
        <v>169</v>
      </c>
      <c r="G28" s="922" t="s">
        <v>40</v>
      </c>
      <c r="H28" s="922" t="s">
        <v>352</v>
      </c>
      <c r="I28" s="923" t="s">
        <v>54</v>
      </c>
      <c r="J28" s="867"/>
      <c r="K28" s="867"/>
      <c r="L28" s="849"/>
      <c r="M28" s="849"/>
      <c r="N28" s="849"/>
      <c r="O28" s="849"/>
      <c r="P28" s="849"/>
      <c r="Q28" s="849"/>
      <c r="R28" s="849"/>
      <c r="S28" s="849"/>
      <c r="T28" s="849"/>
      <c r="U28" s="849"/>
      <c r="V28" s="849"/>
      <c r="W28" s="849"/>
      <c r="X28" s="849"/>
      <c r="Y28" s="849"/>
      <c r="Z28" s="849"/>
      <c r="AA28" s="849"/>
      <c r="AB28" s="849"/>
      <c r="AC28" s="849"/>
      <c r="AD28" s="849"/>
      <c r="AE28" s="849"/>
      <c r="AF28" s="849"/>
    </row>
    <row r="29" customFormat="false" ht="30" hidden="false" customHeight="true" outlineLevel="0" collapsed="false">
      <c r="A29" s="849"/>
      <c r="B29" s="849"/>
      <c r="C29" s="889"/>
      <c r="D29" s="890" t="n">
        <v>1.6</v>
      </c>
      <c r="E29" s="890" t="n">
        <v>1.2</v>
      </c>
      <c r="F29" s="890" t="n">
        <v>2.7</v>
      </c>
      <c r="G29" s="890" t="n">
        <v>1.6</v>
      </c>
      <c r="H29" s="890" t="n">
        <v>1.5</v>
      </c>
      <c r="I29" s="930" t="n">
        <v>2.6</v>
      </c>
      <c r="J29" s="867"/>
      <c r="K29" s="867"/>
      <c r="L29" s="849"/>
      <c r="M29" s="849"/>
      <c r="N29" s="849"/>
      <c r="O29" s="849"/>
      <c r="P29" s="849"/>
      <c r="Q29" s="849"/>
      <c r="R29" s="849"/>
      <c r="S29" s="849"/>
      <c r="T29" s="849"/>
      <c r="U29" s="849"/>
      <c r="V29" s="849"/>
      <c r="W29" s="849"/>
      <c r="X29" s="849"/>
      <c r="Y29" s="849"/>
      <c r="Z29" s="849"/>
      <c r="AA29" s="849"/>
      <c r="AB29" s="849"/>
      <c r="AC29" s="849"/>
      <c r="AD29" s="849"/>
      <c r="AE29" s="849"/>
      <c r="AF29" s="849"/>
    </row>
    <row r="30" customFormat="false" ht="30" hidden="false" customHeight="true" outlineLevel="0" collapsed="false">
      <c r="A30" s="849"/>
      <c r="B30" s="849"/>
      <c r="C30" s="889"/>
      <c r="D30" s="890"/>
      <c r="E30" s="890"/>
      <c r="F30" s="890"/>
      <c r="G30" s="890"/>
      <c r="H30" s="890"/>
      <c r="I30" s="930"/>
      <c r="J30" s="867"/>
      <c r="K30" s="867"/>
      <c r="L30" s="849"/>
      <c r="M30" s="849"/>
      <c r="N30" s="849"/>
      <c r="O30" s="849"/>
      <c r="P30" s="849"/>
      <c r="Q30" s="849"/>
      <c r="R30" s="849"/>
      <c r="S30" s="849"/>
      <c r="T30" s="849"/>
      <c r="U30" s="849"/>
      <c r="V30" s="849"/>
      <c r="W30" s="849"/>
      <c r="X30" s="849"/>
      <c r="Y30" s="849"/>
      <c r="Z30" s="849"/>
      <c r="AA30" s="849"/>
      <c r="AB30" s="849"/>
      <c r="AC30" s="849"/>
      <c r="AD30" s="849"/>
      <c r="AE30" s="849"/>
      <c r="AF30" s="849"/>
    </row>
    <row r="31" customFormat="false" ht="30" hidden="false" customHeight="true" outlineLevel="0" collapsed="false">
      <c r="A31" s="849"/>
      <c r="B31" s="849"/>
      <c r="C31" s="912"/>
      <c r="D31" s="899"/>
      <c r="E31" s="899"/>
      <c r="F31" s="899"/>
      <c r="G31" s="899"/>
      <c r="H31" s="899" t="s">
        <v>486</v>
      </c>
      <c r="I31" s="955" t="s">
        <v>487</v>
      </c>
      <c r="J31" s="867"/>
      <c r="K31" s="867"/>
      <c r="L31" s="849"/>
      <c r="M31" s="849"/>
      <c r="N31" s="849"/>
      <c r="O31" s="849"/>
      <c r="P31" s="849"/>
      <c r="Q31" s="849"/>
      <c r="R31" s="849"/>
      <c r="S31" s="849"/>
      <c r="T31" s="849"/>
      <c r="U31" s="849"/>
      <c r="V31" s="849"/>
      <c r="W31" s="849"/>
      <c r="X31" s="849"/>
      <c r="Y31" s="849"/>
      <c r="Z31" s="849"/>
      <c r="AA31" s="849"/>
      <c r="AB31" s="849"/>
      <c r="AC31" s="849"/>
      <c r="AD31" s="849"/>
      <c r="AE31" s="849"/>
      <c r="AF31" s="849"/>
    </row>
    <row r="32" customFormat="false" ht="30" hidden="false" customHeight="true" outlineLevel="0" collapsed="false">
      <c r="A32" s="849"/>
      <c r="B32" s="849"/>
      <c r="C32" s="871" t="n">
        <v>25</v>
      </c>
      <c r="D32" s="871" t="n">
        <v>26</v>
      </c>
      <c r="E32" s="871" t="n">
        <v>27</v>
      </c>
      <c r="F32" s="871" t="n">
        <v>28</v>
      </c>
      <c r="G32" s="871" t="n">
        <v>29</v>
      </c>
      <c r="H32" s="871" t="n">
        <v>30</v>
      </c>
      <c r="I32" s="871" t="n">
        <v>31</v>
      </c>
      <c r="J32" s="976" t="s">
        <v>488</v>
      </c>
      <c r="K32" s="867"/>
      <c r="L32" s="849"/>
      <c r="M32" s="849"/>
      <c r="N32" s="849"/>
      <c r="O32" s="849"/>
      <c r="P32" s="849"/>
      <c r="Q32" s="849"/>
      <c r="R32" s="849"/>
      <c r="S32" s="849"/>
      <c r="T32" s="849"/>
      <c r="U32" s="849"/>
      <c r="V32" s="849"/>
      <c r="W32" s="849"/>
      <c r="X32" s="849"/>
      <c r="Y32" s="849"/>
      <c r="Z32" s="849"/>
      <c r="AA32" s="849"/>
      <c r="AB32" s="849"/>
      <c r="AC32" s="849"/>
      <c r="AD32" s="849"/>
      <c r="AE32" s="849"/>
      <c r="AF32" s="849"/>
    </row>
    <row r="33" customFormat="false" ht="30" hidden="false" customHeight="true" outlineLevel="0" collapsed="false">
      <c r="A33" s="849"/>
      <c r="B33" s="849"/>
      <c r="C33" s="933" t="s">
        <v>209</v>
      </c>
      <c r="D33" s="918" t="s">
        <v>79</v>
      </c>
      <c r="E33" s="918" t="s">
        <v>209</v>
      </c>
      <c r="F33" s="918" t="s">
        <v>352</v>
      </c>
      <c r="G33" s="918" t="s">
        <v>352</v>
      </c>
      <c r="H33" s="918" t="s">
        <v>40</v>
      </c>
      <c r="I33" s="877" t="s">
        <v>40</v>
      </c>
      <c r="J33" s="963" t="n">
        <f aca="false" t="array" ref="J33:J33">SUM(IF(ISNUMBER(B36:I36), B36:I36, 0))</f>
        <v>40</v>
      </c>
      <c r="K33" s="867"/>
      <c r="L33" s="849"/>
      <c r="M33" s="849"/>
      <c r="N33" s="849"/>
      <c r="O33" s="849"/>
      <c r="P33" s="849"/>
      <c r="Q33" s="849"/>
      <c r="R33" s="849"/>
      <c r="S33" s="849"/>
      <c r="T33" s="849"/>
      <c r="U33" s="849"/>
      <c r="V33" s="849"/>
      <c r="W33" s="849"/>
      <c r="X33" s="849"/>
      <c r="Y33" s="849"/>
      <c r="Z33" s="849"/>
      <c r="AA33" s="849"/>
      <c r="AB33" s="849"/>
      <c r="AC33" s="849"/>
      <c r="AD33" s="849"/>
      <c r="AE33" s="849"/>
      <c r="AF33" s="849"/>
    </row>
    <row r="34" customFormat="false" ht="30" hidden="false" customHeight="true" outlineLevel="0" collapsed="false">
      <c r="A34" s="849"/>
      <c r="B34" s="849"/>
      <c r="C34" s="929" t="n">
        <v>0.6</v>
      </c>
      <c r="D34" s="879" t="n">
        <v>0.48</v>
      </c>
      <c r="E34" s="879" t="n">
        <v>0.37</v>
      </c>
      <c r="F34" s="879" t="n">
        <v>0.27</v>
      </c>
      <c r="G34" s="879" t="n">
        <v>0.18</v>
      </c>
      <c r="H34" s="879" t="n">
        <v>0.1</v>
      </c>
      <c r="I34" s="881" t="n">
        <v>0.05</v>
      </c>
      <c r="J34" s="867"/>
      <c r="K34" s="867"/>
      <c r="L34" s="849"/>
      <c r="M34" s="849"/>
      <c r="N34" s="849"/>
      <c r="O34" s="849"/>
      <c r="P34" s="849"/>
      <c r="Q34" s="849"/>
      <c r="R34" s="849"/>
      <c r="S34" s="849"/>
      <c r="T34" s="849"/>
      <c r="U34" s="849"/>
      <c r="V34" s="849"/>
      <c r="W34" s="849"/>
      <c r="X34" s="849"/>
      <c r="Y34" s="849"/>
      <c r="Z34" s="849"/>
      <c r="AA34" s="849"/>
      <c r="AB34" s="849"/>
      <c r="AC34" s="849"/>
      <c r="AD34" s="849"/>
      <c r="AE34" s="849"/>
      <c r="AF34" s="849"/>
    </row>
    <row r="35" customFormat="false" ht="30" hidden="false" customHeight="true" outlineLevel="0" collapsed="false">
      <c r="A35" s="849"/>
      <c r="B35" s="849"/>
      <c r="C35" s="934" t="s">
        <v>54</v>
      </c>
      <c r="D35" s="922" t="s">
        <v>54</v>
      </c>
      <c r="E35" s="922" t="s">
        <v>62</v>
      </c>
      <c r="F35" s="922" t="s">
        <v>180</v>
      </c>
      <c r="G35" s="922" t="s">
        <v>180</v>
      </c>
      <c r="H35" s="922" t="s">
        <v>180</v>
      </c>
      <c r="I35" s="923" t="s">
        <v>180</v>
      </c>
      <c r="J35" s="867"/>
      <c r="K35" s="867"/>
      <c r="L35" s="849"/>
      <c r="M35" s="849"/>
      <c r="N35" s="849"/>
      <c r="O35" s="849"/>
      <c r="P35" s="849"/>
      <c r="Q35" s="849"/>
      <c r="R35" s="849"/>
      <c r="S35" s="849"/>
      <c r="T35" s="849"/>
      <c r="U35" s="849"/>
      <c r="V35" s="849"/>
      <c r="W35" s="849"/>
      <c r="X35" s="849"/>
      <c r="Y35" s="849"/>
      <c r="Z35" s="849"/>
      <c r="AA35" s="849"/>
      <c r="AB35" s="849"/>
      <c r="AC35" s="849"/>
      <c r="AD35" s="849"/>
      <c r="AE35" s="849"/>
      <c r="AF35" s="849"/>
    </row>
    <row r="36" customFormat="false" ht="30" hidden="false" customHeight="true" outlineLevel="0" collapsed="false">
      <c r="A36" s="849"/>
      <c r="B36" s="849"/>
      <c r="C36" s="889" t="n">
        <v>3</v>
      </c>
      <c r="D36" s="890" t="n">
        <v>2.8</v>
      </c>
      <c r="E36" s="890" t="n">
        <v>5.6</v>
      </c>
      <c r="F36" s="890" t="n">
        <v>7.2</v>
      </c>
      <c r="G36" s="890" t="n">
        <v>7.4</v>
      </c>
      <c r="H36" s="890" t="n">
        <v>8.1</v>
      </c>
      <c r="I36" s="930" t="n">
        <v>5.9</v>
      </c>
      <c r="J36" s="867"/>
      <c r="K36" s="867"/>
      <c r="L36" s="849"/>
      <c r="M36" s="849"/>
      <c r="N36" s="849"/>
      <c r="O36" s="849"/>
      <c r="P36" s="849"/>
      <c r="Q36" s="849"/>
      <c r="R36" s="849"/>
      <c r="S36" s="849"/>
      <c r="T36" s="849"/>
      <c r="U36" s="849"/>
      <c r="V36" s="849"/>
      <c r="W36" s="849"/>
      <c r="X36" s="849"/>
      <c r="Y36" s="849"/>
      <c r="Z36" s="849"/>
      <c r="AA36" s="849"/>
      <c r="AB36" s="849"/>
      <c r="AC36" s="849"/>
      <c r="AD36" s="849"/>
      <c r="AE36" s="849"/>
      <c r="AF36" s="849"/>
    </row>
    <row r="37" customFormat="false" ht="30" hidden="false" customHeight="true" outlineLevel="0" collapsed="false">
      <c r="A37" s="849"/>
      <c r="B37" s="849"/>
      <c r="C37" s="889"/>
      <c r="D37" s="890"/>
      <c r="E37" s="890"/>
      <c r="F37" s="890"/>
      <c r="G37" s="890"/>
      <c r="H37" s="890"/>
      <c r="I37" s="930"/>
      <c r="J37" s="867"/>
      <c r="K37" s="867"/>
      <c r="L37" s="849"/>
      <c r="M37" s="849"/>
      <c r="N37" s="849"/>
      <c r="O37" s="849"/>
      <c r="P37" s="849"/>
      <c r="Q37" s="849"/>
      <c r="R37" s="849"/>
      <c r="S37" s="849"/>
      <c r="T37" s="849"/>
      <c r="U37" s="849"/>
      <c r="V37" s="849"/>
      <c r="W37" s="849"/>
      <c r="X37" s="849"/>
      <c r="Y37" s="849"/>
      <c r="Z37" s="849"/>
      <c r="AA37" s="849"/>
      <c r="AB37" s="849"/>
      <c r="AC37" s="849"/>
      <c r="AD37" s="849"/>
      <c r="AE37" s="849"/>
      <c r="AF37" s="849"/>
    </row>
    <row r="38" customFormat="false" ht="30" hidden="false" customHeight="true" outlineLevel="0" collapsed="false">
      <c r="A38" s="849"/>
      <c r="B38" s="849"/>
      <c r="C38" s="912" t="s">
        <v>489</v>
      </c>
      <c r="D38" s="899" t="s">
        <v>490</v>
      </c>
      <c r="E38" s="902" t="s">
        <v>491</v>
      </c>
      <c r="F38" s="899" t="s">
        <v>492</v>
      </c>
      <c r="G38" s="899" t="s">
        <v>493</v>
      </c>
      <c r="H38" s="899" t="s">
        <v>494</v>
      </c>
      <c r="I38" s="927" t="s">
        <v>495</v>
      </c>
      <c r="J38" s="867"/>
      <c r="K38" s="867"/>
      <c r="L38" s="849"/>
      <c r="M38" s="849"/>
      <c r="N38" s="849"/>
      <c r="O38" s="849"/>
      <c r="P38" s="849"/>
      <c r="Q38" s="849"/>
      <c r="R38" s="849"/>
      <c r="S38" s="849"/>
      <c r="T38" s="849"/>
      <c r="U38" s="849"/>
      <c r="V38" s="849"/>
      <c r="W38" s="849"/>
      <c r="X38" s="849"/>
      <c r="Y38" s="849"/>
      <c r="Z38" s="849"/>
      <c r="AA38" s="849"/>
      <c r="AB38" s="849"/>
      <c r="AC38" s="849"/>
      <c r="AD38" s="849"/>
      <c r="AE38" s="849"/>
      <c r="AF38" s="849"/>
    </row>
    <row r="39" customFormat="false" ht="30" hidden="false" customHeight="true" outlineLevel="0" collapsed="false">
      <c r="A39" s="849"/>
      <c r="B39" s="849"/>
      <c r="C39" s="938"/>
      <c r="D39" s="939"/>
      <c r="E39" s="976" t="s">
        <v>496</v>
      </c>
      <c r="F39" s="867"/>
      <c r="G39" s="867"/>
      <c r="H39" s="867"/>
      <c r="I39" s="867"/>
      <c r="J39" s="867"/>
      <c r="K39" s="867"/>
      <c r="L39" s="849"/>
      <c r="M39" s="849"/>
      <c r="N39" s="849"/>
      <c r="O39" s="849"/>
      <c r="P39" s="849"/>
      <c r="Q39" s="849"/>
      <c r="R39" s="849"/>
      <c r="S39" s="849"/>
      <c r="T39" s="849"/>
      <c r="U39" s="849"/>
      <c r="V39" s="849"/>
      <c r="W39" s="849"/>
      <c r="X39" s="849"/>
      <c r="Y39" s="849"/>
      <c r="Z39" s="849"/>
      <c r="AA39" s="849"/>
      <c r="AB39" s="849"/>
      <c r="AC39" s="849"/>
      <c r="AD39" s="849"/>
      <c r="AE39" s="849"/>
      <c r="AF39" s="849"/>
    </row>
    <row r="40" customFormat="false" ht="30" hidden="false" customHeight="true" outlineLevel="0" collapsed="false">
      <c r="A40" s="849"/>
      <c r="B40" s="849"/>
      <c r="C40" s="933"/>
      <c r="D40" s="877"/>
      <c r="E40" s="967" t="n">
        <f aca="false">SUM(IF(ISNUMBER(#REF!),#REF!, 0))</f>
        <v>0</v>
      </c>
      <c r="F40" s="867"/>
      <c r="G40" s="867"/>
      <c r="H40" s="867"/>
      <c r="I40" s="867"/>
      <c r="J40" s="867"/>
      <c r="K40" s="867"/>
      <c r="L40" s="849"/>
      <c r="M40" s="849"/>
      <c r="N40" s="849"/>
      <c r="O40" s="849"/>
      <c r="P40" s="849"/>
      <c r="Q40" s="849"/>
      <c r="R40" s="849"/>
      <c r="S40" s="849"/>
      <c r="T40" s="849"/>
      <c r="U40" s="849"/>
      <c r="V40" s="849"/>
      <c r="W40" s="849"/>
      <c r="X40" s="849"/>
      <c r="Y40" s="849"/>
      <c r="Z40" s="849"/>
      <c r="AA40" s="849"/>
      <c r="AB40" s="849"/>
      <c r="AC40" s="849"/>
      <c r="AD40" s="849"/>
      <c r="AE40" s="849"/>
      <c r="AF40" s="849"/>
    </row>
    <row r="41" customFormat="false" ht="30" hidden="false" customHeight="true" outlineLevel="0" collapsed="false">
      <c r="A41" s="849"/>
      <c r="B41" s="849"/>
      <c r="C41" s="940"/>
      <c r="D41" s="941"/>
      <c r="E41" s="867"/>
      <c r="F41" s="867"/>
      <c r="G41" s="867"/>
      <c r="H41" s="867"/>
      <c r="I41" s="867"/>
      <c r="J41" s="867"/>
      <c r="K41" s="867"/>
      <c r="L41" s="849"/>
      <c r="M41" s="849"/>
      <c r="N41" s="849"/>
      <c r="O41" s="849"/>
      <c r="P41" s="849"/>
      <c r="Q41" s="849"/>
      <c r="R41" s="849"/>
      <c r="S41" s="849"/>
      <c r="T41" s="849"/>
      <c r="U41" s="849"/>
      <c r="V41" s="849"/>
      <c r="W41" s="849"/>
      <c r="X41" s="849"/>
      <c r="Y41" s="849"/>
      <c r="Z41" s="849"/>
      <c r="AA41" s="849"/>
      <c r="AB41" s="849"/>
      <c r="AC41" s="849"/>
      <c r="AD41" s="849"/>
      <c r="AE41" s="849"/>
      <c r="AF41" s="849"/>
    </row>
    <row r="42" customFormat="false" ht="30" hidden="false" customHeight="true" outlineLevel="0" collapsed="false">
      <c r="A42" s="849"/>
      <c r="B42" s="849"/>
      <c r="C42" s="934"/>
      <c r="D42" s="923"/>
      <c r="E42" s="867"/>
      <c r="F42" s="867"/>
      <c r="G42" s="867"/>
      <c r="H42" s="867"/>
      <c r="I42" s="867"/>
      <c r="J42" s="867"/>
      <c r="K42" s="867"/>
      <c r="L42" s="849"/>
      <c r="M42" s="849"/>
      <c r="N42" s="849"/>
      <c r="O42" s="849"/>
      <c r="P42" s="849"/>
      <c r="Q42" s="849"/>
      <c r="R42" s="849"/>
      <c r="S42" s="849"/>
      <c r="T42" s="849"/>
      <c r="U42" s="849"/>
      <c r="V42" s="849"/>
      <c r="W42" s="849"/>
      <c r="X42" s="849"/>
      <c r="Y42" s="849"/>
      <c r="Z42" s="849"/>
      <c r="AA42" s="849"/>
      <c r="AB42" s="849"/>
      <c r="AC42" s="849"/>
      <c r="AD42" s="849"/>
      <c r="AE42" s="849"/>
      <c r="AF42" s="849"/>
    </row>
    <row r="43" customFormat="false" ht="30" hidden="false" customHeight="true" outlineLevel="0" collapsed="false">
      <c r="A43" s="849"/>
      <c r="B43" s="849"/>
      <c r="C43" s="889"/>
      <c r="D43" s="930"/>
      <c r="E43" s="867"/>
      <c r="F43" s="867"/>
      <c r="G43" s="867"/>
      <c r="H43" s="867"/>
      <c r="I43" s="867"/>
      <c r="J43" s="867"/>
      <c r="K43" s="867"/>
      <c r="L43" s="849"/>
      <c r="M43" s="849"/>
      <c r="N43" s="849"/>
      <c r="O43" s="849"/>
      <c r="P43" s="849"/>
      <c r="Q43" s="849"/>
      <c r="R43" s="849"/>
      <c r="S43" s="849"/>
      <c r="T43" s="849"/>
      <c r="U43" s="849"/>
      <c r="V43" s="849"/>
      <c r="W43" s="849"/>
      <c r="X43" s="849"/>
      <c r="Y43" s="849"/>
      <c r="Z43" s="849"/>
      <c r="AA43" s="849"/>
      <c r="AB43" s="849"/>
      <c r="AC43" s="849"/>
      <c r="AD43" s="849"/>
      <c r="AE43" s="849"/>
      <c r="AF43" s="849"/>
    </row>
    <row r="44" customFormat="false" ht="30" hidden="false" customHeight="true" outlineLevel="0" collapsed="false">
      <c r="A44" s="849"/>
      <c r="B44" s="849"/>
      <c r="C44" s="889"/>
      <c r="D44" s="930"/>
      <c r="E44" s="867"/>
      <c r="F44" s="867"/>
      <c r="G44" s="867"/>
      <c r="H44" s="867"/>
      <c r="I44" s="867"/>
      <c r="J44" s="867"/>
      <c r="K44" s="867"/>
      <c r="L44" s="849"/>
      <c r="M44" s="849"/>
      <c r="N44" s="849"/>
      <c r="O44" s="849"/>
      <c r="P44" s="849"/>
      <c r="Q44" s="849"/>
      <c r="R44" s="849"/>
      <c r="S44" s="849"/>
      <c r="T44" s="849"/>
      <c r="U44" s="849"/>
      <c r="V44" s="849"/>
      <c r="W44" s="849"/>
      <c r="X44" s="849"/>
      <c r="Y44" s="849"/>
      <c r="Z44" s="849"/>
      <c r="AA44" s="849"/>
      <c r="AB44" s="849"/>
      <c r="AC44" s="849"/>
      <c r="AD44" s="849"/>
      <c r="AE44" s="849"/>
      <c r="AF44" s="849"/>
    </row>
    <row r="45" customFormat="false" ht="30" hidden="false" customHeight="true" outlineLevel="0" collapsed="false">
      <c r="A45" s="849"/>
      <c r="B45" s="849"/>
      <c r="C45" s="956"/>
      <c r="D45" s="957"/>
      <c r="E45" s="867"/>
      <c r="F45" s="867"/>
      <c r="G45" s="867"/>
      <c r="H45" s="867"/>
      <c r="I45" s="867"/>
      <c r="J45" s="867"/>
      <c r="K45" s="867"/>
      <c r="L45" s="849"/>
      <c r="M45" s="849"/>
      <c r="N45" s="849"/>
      <c r="O45" s="849"/>
      <c r="P45" s="849"/>
      <c r="Q45" s="849"/>
      <c r="R45" s="849"/>
      <c r="S45" s="849"/>
      <c r="T45" s="849"/>
      <c r="U45" s="849"/>
      <c r="V45" s="849"/>
      <c r="W45" s="849"/>
      <c r="X45" s="849"/>
      <c r="Y45" s="849"/>
      <c r="Z45" s="849"/>
      <c r="AA45" s="849"/>
      <c r="AB45" s="849"/>
      <c r="AC45" s="849"/>
      <c r="AD45" s="849"/>
      <c r="AE45" s="849"/>
      <c r="AF45" s="849"/>
    </row>
    <row r="46" customFormat="false" ht="30" hidden="false" customHeight="true" outlineLevel="0" collapsed="false">
      <c r="A46" s="849"/>
      <c r="B46" s="849"/>
      <c r="C46" s="867"/>
      <c r="D46" s="867"/>
      <c r="E46" s="867"/>
      <c r="F46" s="867"/>
      <c r="G46" s="867"/>
      <c r="H46" s="867"/>
      <c r="I46" s="867"/>
      <c r="J46" s="867"/>
      <c r="K46" s="867"/>
      <c r="L46" s="849"/>
      <c r="M46" s="849"/>
      <c r="N46" s="849"/>
      <c r="O46" s="849"/>
      <c r="P46" s="849"/>
      <c r="Q46" s="849"/>
      <c r="R46" s="849"/>
      <c r="S46" s="849"/>
      <c r="T46" s="849"/>
      <c r="U46" s="849"/>
      <c r="V46" s="849"/>
      <c r="W46" s="849"/>
      <c r="X46" s="849"/>
      <c r="Y46" s="849"/>
      <c r="Z46" s="849"/>
      <c r="AA46" s="849"/>
      <c r="AB46" s="849"/>
      <c r="AC46" s="849"/>
      <c r="AD46" s="849"/>
      <c r="AE46" s="849"/>
      <c r="AF46" s="849"/>
    </row>
    <row r="47" customFormat="false" ht="30.75" hidden="false" customHeight="true" outlineLevel="0" collapsed="false">
      <c r="A47" s="849"/>
      <c r="B47" s="849"/>
      <c r="C47" s="849"/>
      <c r="D47" s="849"/>
      <c r="E47" s="849"/>
      <c r="F47" s="849"/>
      <c r="G47" s="849"/>
      <c r="H47" s="849"/>
      <c r="I47" s="849"/>
      <c r="J47" s="849"/>
      <c r="K47" s="849"/>
      <c r="L47" s="849"/>
      <c r="M47" s="849"/>
      <c r="N47" s="849"/>
      <c r="O47" s="849"/>
      <c r="P47" s="849"/>
      <c r="Q47" s="849"/>
      <c r="R47" s="849"/>
      <c r="S47" s="849"/>
      <c r="T47" s="849"/>
      <c r="U47" s="849"/>
      <c r="V47" s="849"/>
      <c r="W47" s="849"/>
      <c r="X47" s="849"/>
      <c r="Y47" s="849"/>
      <c r="Z47" s="849"/>
      <c r="AA47" s="849"/>
      <c r="AB47" s="849"/>
      <c r="AC47" s="849"/>
      <c r="AD47" s="849"/>
      <c r="AE47" s="849"/>
      <c r="AF47" s="849"/>
    </row>
    <row r="48" customFormat="false" ht="30.75" hidden="false" customHeight="true" outlineLevel="0" collapsed="false">
      <c r="A48" s="849"/>
      <c r="B48" s="849"/>
      <c r="C48" s="849"/>
      <c r="D48" s="849"/>
      <c r="E48" s="849"/>
      <c r="F48" s="849"/>
      <c r="G48" s="849"/>
      <c r="H48" s="849"/>
      <c r="I48" s="849"/>
      <c r="J48" s="849"/>
      <c r="K48" s="849"/>
      <c r="L48" s="849"/>
      <c r="M48" s="849"/>
      <c r="N48" s="849"/>
      <c r="O48" s="849"/>
      <c r="P48" s="849"/>
      <c r="Q48" s="849"/>
      <c r="R48" s="849"/>
      <c r="S48" s="849"/>
      <c r="T48" s="849"/>
      <c r="U48" s="849"/>
      <c r="V48" s="849"/>
      <c r="W48" s="849"/>
      <c r="X48" s="849"/>
      <c r="Y48" s="849"/>
      <c r="Z48" s="849"/>
      <c r="AA48" s="849"/>
      <c r="AB48" s="849"/>
      <c r="AC48" s="849"/>
      <c r="AD48" s="849"/>
      <c r="AE48" s="849"/>
      <c r="AF48" s="849"/>
    </row>
    <row r="49" customFormat="false" ht="30.75" hidden="false" customHeight="true" outlineLevel="0" collapsed="false">
      <c r="A49" s="849"/>
      <c r="B49" s="849"/>
      <c r="C49" s="849"/>
      <c r="D49" s="849"/>
      <c r="E49" s="849"/>
      <c r="F49" s="849"/>
      <c r="G49" s="849"/>
      <c r="H49" s="849"/>
      <c r="I49" s="849"/>
      <c r="J49" s="849"/>
      <c r="K49" s="849"/>
      <c r="L49" s="849"/>
      <c r="M49" s="849"/>
      <c r="N49" s="849"/>
      <c r="O49" s="849"/>
      <c r="P49" s="849"/>
      <c r="Q49" s="849"/>
      <c r="R49" s="849"/>
      <c r="S49" s="849"/>
      <c r="T49" s="849"/>
      <c r="U49" s="849"/>
      <c r="V49" s="849"/>
      <c r="W49" s="849"/>
      <c r="X49" s="849"/>
      <c r="Y49" s="849"/>
      <c r="Z49" s="849"/>
      <c r="AA49" s="849"/>
      <c r="AB49" s="849"/>
      <c r="AC49" s="849"/>
      <c r="AD49" s="849"/>
      <c r="AE49" s="849"/>
      <c r="AF49" s="849"/>
    </row>
    <row r="50" customFormat="false" ht="30.75" hidden="false" customHeight="true" outlineLevel="0" collapsed="false">
      <c r="A50" s="849"/>
      <c r="B50" s="849"/>
      <c r="C50" s="849"/>
      <c r="D50" s="849"/>
      <c r="E50" s="849"/>
      <c r="F50" s="849"/>
      <c r="G50" s="849"/>
      <c r="H50" s="849"/>
      <c r="I50" s="849"/>
      <c r="J50" s="849"/>
      <c r="K50" s="849"/>
      <c r="L50" s="849"/>
      <c r="M50" s="849"/>
      <c r="N50" s="849"/>
      <c r="O50" s="849"/>
      <c r="P50" s="849"/>
      <c r="Q50" s="849"/>
      <c r="R50" s="849"/>
      <c r="S50" s="849"/>
      <c r="T50" s="849"/>
      <c r="U50" s="849"/>
      <c r="V50" s="849"/>
      <c r="W50" s="849"/>
      <c r="X50" s="849"/>
      <c r="Y50" s="849"/>
      <c r="Z50" s="849"/>
      <c r="AA50" s="849"/>
      <c r="AB50" s="849"/>
      <c r="AC50" s="849"/>
      <c r="AD50" s="849"/>
      <c r="AE50" s="849"/>
      <c r="AF50" s="849"/>
    </row>
    <row r="51" customFormat="false" ht="30.75" hidden="false" customHeight="true" outlineLevel="0" collapsed="false">
      <c r="A51" s="849"/>
      <c r="B51" s="849"/>
      <c r="C51" s="849"/>
      <c r="D51" s="849"/>
      <c r="E51" s="849"/>
      <c r="F51" s="849"/>
      <c r="G51" s="849"/>
      <c r="H51" s="849"/>
      <c r="I51" s="849"/>
      <c r="J51" s="849"/>
      <c r="K51" s="849"/>
      <c r="L51" s="849"/>
      <c r="M51" s="849"/>
      <c r="N51" s="849"/>
      <c r="O51" s="849"/>
      <c r="P51" s="849"/>
      <c r="Q51" s="849"/>
      <c r="R51" s="849"/>
      <c r="S51" s="849"/>
      <c r="T51" s="849"/>
      <c r="U51" s="849"/>
      <c r="V51" s="849"/>
      <c r="W51" s="849"/>
      <c r="X51" s="849"/>
      <c r="Y51" s="849"/>
      <c r="Z51" s="849"/>
      <c r="AA51" s="849"/>
      <c r="AB51" s="849"/>
      <c r="AC51" s="849"/>
      <c r="AD51" s="849"/>
      <c r="AE51" s="849"/>
      <c r="AF51" s="849"/>
    </row>
    <row r="52" customFormat="false" ht="30.75" hidden="false" customHeight="true" outlineLevel="0" collapsed="false">
      <c r="A52" s="849"/>
      <c r="B52" s="849"/>
      <c r="C52" s="849"/>
      <c r="D52" s="849"/>
      <c r="E52" s="849"/>
      <c r="F52" s="849"/>
      <c r="G52" s="849"/>
      <c r="H52" s="849"/>
      <c r="I52" s="849"/>
      <c r="J52" s="849"/>
      <c r="K52" s="849"/>
      <c r="L52" s="849"/>
      <c r="M52" s="849"/>
      <c r="N52" s="849"/>
      <c r="O52" s="849"/>
      <c r="P52" s="849"/>
      <c r="Q52" s="849"/>
      <c r="R52" s="849"/>
      <c r="S52" s="849"/>
      <c r="T52" s="849"/>
      <c r="U52" s="849"/>
      <c r="V52" s="849"/>
      <c r="W52" s="849"/>
      <c r="X52" s="849"/>
      <c r="Y52" s="849"/>
      <c r="Z52" s="849"/>
      <c r="AA52" s="849"/>
      <c r="AB52" s="849"/>
      <c r="AC52" s="849"/>
      <c r="AD52" s="849"/>
      <c r="AE52" s="849"/>
      <c r="AF52" s="849"/>
    </row>
    <row r="53" customFormat="false" ht="30.75" hidden="false" customHeight="true" outlineLevel="0" collapsed="false">
      <c r="A53" s="849"/>
      <c r="B53" s="849"/>
      <c r="C53" s="849"/>
      <c r="D53" s="849"/>
      <c r="E53" s="849"/>
      <c r="F53" s="849"/>
      <c r="G53" s="849"/>
      <c r="H53" s="849"/>
      <c r="I53" s="849"/>
      <c r="J53" s="849"/>
      <c r="K53" s="849"/>
      <c r="L53" s="849"/>
      <c r="M53" s="849"/>
      <c r="N53" s="849"/>
      <c r="O53" s="849"/>
      <c r="P53" s="849"/>
      <c r="Q53" s="849"/>
      <c r="R53" s="849"/>
      <c r="S53" s="849"/>
      <c r="T53" s="849"/>
      <c r="U53" s="849"/>
      <c r="V53" s="849"/>
      <c r="W53" s="849"/>
      <c r="X53" s="849"/>
      <c r="Y53" s="849"/>
      <c r="Z53" s="849"/>
      <c r="AA53" s="849"/>
      <c r="AB53" s="849"/>
      <c r="AC53" s="849"/>
      <c r="AD53" s="849"/>
      <c r="AE53" s="849"/>
      <c r="AF53" s="849"/>
    </row>
    <row r="54" customFormat="false" ht="30.75" hidden="false" customHeight="true" outlineLevel="0" collapsed="false">
      <c r="A54" s="849"/>
      <c r="B54" s="849"/>
      <c r="C54" s="849"/>
      <c r="D54" s="849"/>
      <c r="E54" s="849"/>
      <c r="F54" s="849"/>
      <c r="G54" s="849"/>
      <c r="H54" s="849"/>
      <c r="I54" s="849"/>
      <c r="J54" s="849"/>
      <c r="K54" s="849"/>
      <c r="L54" s="849"/>
      <c r="M54" s="849"/>
      <c r="N54" s="849"/>
      <c r="O54" s="849"/>
      <c r="P54" s="849"/>
      <c r="Q54" s="849"/>
      <c r="R54" s="849"/>
      <c r="S54" s="849"/>
      <c r="T54" s="849"/>
      <c r="U54" s="849"/>
      <c r="V54" s="849"/>
      <c r="W54" s="849"/>
      <c r="X54" s="849"/>
      <c r="Y54" s="849"/>
      <c r="Z54" s="849"/>
      <c r="AA54" s="849"/>
      <c r="AB54" s="849"/>
      <c r="AC54" s="849"/>
      <c r="AD54" s="849"/>
      <c r="AE54" s="849"/>
      <c r="AF54" s="849"/>
    </row>
    <row r="55" customFormat="false" ht="30.75" hidden="false" customHeight="true" outlineLevel="0" collapsed="false">
      <c r="A55" s="849"/>
      <c r="B55" s="849"/>
      <c r="C55" s="849"/>
      <c r="D55" s="849"/>
      <c r="E55" s="849"/>
      <c r="F55" s="849"/>
      <c r="G55" s="849"/>
      <c r="H55" s="849"/>
      <c r="I55" s="849"/>
      <c r="J55" s="849"/>
      <c r="K55" s="849"/>
      <c r="L55" s="849"/>
      <c r="M55" s="849"/>
      <c r="N55" s="849"/>
      <c r="O55" s="849"/>
      <c r="P55" s="849"/>
      <c r="Q55" s="849"/>
      <c r="R55" s="849"/>
      <c r="S55" s="849"/>
      <c r="T55" s="849"/>
      <c r="U55" s="849"/>
      <c r="V55" s="849"/>
      <c r="W55" s="849"/>
      <c r="X55" s="849"/>
      <c r="Y55" s="849"/>
      <c r="Z55" s="849"/>
      <c r="AA55" s="849"/>
      <c r="AB55" s="849"/>
      <c r="AC55" s="849"/>
      <c r="AD55" s="849"/>
      <c r="AE55" s="849"/>
      <c r="AF55" s="849"/>
    </row>
    <row r="56" customFormat="false" ht="30.75" hidden="false" customHeight="true" outlineLevel="0" collapsed="false">
      <c r="A56" s="849"/>
      <c r="B56" s="849"/>
      <c r="C56" s="849"/>
      <c r="D56" s="849"/>
      <c r="E56" s="849"/>
      <c r="F56" s="849"/>
      <c r="G56" s="849"/>
      <c r="H56" s="849"/>
      <c r="I56" s="849"/>
      <c r="J56" s="849"/>
      <c r="K56" s="849"/>
      <c r="L56" s="849"/>
      <c r="M56" s="849"/>
      <c r="N56" s="849"/>
      <c r="O56" s="849"/>
      <c r="P56" s="849"/>
      <c r="Q56" s="849"/>
      <c r="R56" s="849"/>
      <c r="S56" s="849"/>
      <c r="T56" s="849"/>
      <c r="U56" s="849"/>
      <c r="V56" s="849"/>
      <c r="W56" s="849"/>
      <c r="X56" s="849"/>
      <c r="Y56" s="849"/>
      <c r="Z56" s="849"/>
      <c r="AA56" s="849"/>
      <c r="AB56" s="849"/>
      <c r="AC56" s="849"/>
      <c r="AD56" s="849"/>
      <c r="AE56" s="849"/>
      <c r="AF56" s="849"/>
    </row>
    <row r="57" customFormat="false" ht="30.75" hidden="false" customHeight="true" outlineLevel="0" collapsed="false">
      <c r="A57" s="849"/>
      <c r="B57" s="849"/>
      <c r="C57" s="849"/>
      <c r="D57" s="849"/>
      <c r="E57" s="849"/>
      <c r="F57" s="849"/>
      <c r="G57" s="849"/>
      <c r="H57" s="849"/>
      <c r="I57" s="849"/>
      <c r="J57" s="849"/>
      <c r="K57" s="849"/>
      <c r="L57" s="849"/>
      <c r="M57" s="849"/>
      <c r="N57" s="849"/>
      <c r="O57" s="849"/>
      <c r="P57" s="849"/>
      <c r="Q57" s="849"/>
      <c r="R57" s="849"/>
      <c r="S57" s="849"/>
      <c r="T57" s="849"/>
      <c r="U57" s="849"/>
      <c r="V57" s="849"/>
      <c r="W57" s="849"/>
      <c r="X57" s="849"/>
      <c r="Y57" s="849"/>
      <c r="Z57" s="849"/>
      <c r="AA57" s="849"/>
      <c r="AB57" s="849"/>
      <c r="AC57" s="849"/>
      <c r="AD57" s="849"/>
      <c r="AE57" s="849"/>
      <c r="AF57" s="849"/>
    </row>
    <row r="58" customFormat="false" ht="30.75" hidden="false" customHeight="true" outlineLevel="0" collapsed="false">
      <c r="A58" s="849"/>
      <c r="B58" s="849"/>
      <c r="C58" s="849"/>
      <c r="D58" s="849"/>
      <c r="E58" s="849"/>
      <c r="F58" s="849"/>
      <c r="G58" s="849"/>
      <c r="H58" s="849"/>
      <c r="I58" s="849"/>
      <c r="J58" s="849"/>
      <c r="K58" s="849"/>
      <c r="L58" s="849"/>
      <c r="M58" s="849"/>
      <c r="N58" s="849"/>
      <c r="O58" s="849"/>
      <c r="P58" s="849"/>
      <c r="Q58" s="849"/>
      <c r="R58" s="849"/>
      <c r="S58" s="849"/>
      <c r="T58" s="849"/>
      <c r="U58" s="849"/>
      <c r="V58" s="849"/>
      <c r="W58" s="849"/>
      <c r="X58" s="849"/>
      <c r="Y58" s="849"/>
      <c r="Z58" s="849"/>
      <c r="AA58" s="849"/>
      <c r="AB58" s="849"/>
      <c r="AC58" s="849"/>
      <c r="AD58" s="849"/>
      <c r="AE58" s="849"/>
      <c r="AF58" s="849"/>
    </row>
    <row r="59" customFormat="false" ht="30.75" hidden="false" customHeight="true" outlineLevel="0" collapsed="false">
      <c r="A59" s="849"/>
      <c r="B59" s="849"/>
      <c r="C59" s="849"/>
      <c r="D59" s="849"/>
      <c r="E59" s="849"/>
      <c r="F59" s="849"/>
      <c r="G59" s="849"/>
      <c r="H59" s="849"/>
      <c r="I59" s="849"/>
      <c r="J59" s="849"/>
      <c r="K59" s="849"/>
      <c r="L59" s="849"/>
      <c r="M59" s="849"/>
      <c r="N59" s="849"/>
      <c r="O59" s="849"/>
      <c r="P59" s="849"/>
      <c r="Q59" s="849"/>
      <c r="R59" s="849"/>
      <c r="S59" s="849"/>
      <c r="T59" s="849"/>
      <c r="U59" s="849"/>
      <c r="V59" s="849"/>
      <c r="W59" s="849"/>
      <c r="X59" s="849"/>
      <c r="Y59" s="849"/>
      <c r="Z59" s="849"/>
      <c r="AA59" s="849"/>
      <c r="AB59" s="849"/>
      <c r="AC59" s="849"/>
      <c r="AD59" s="849"/>
      <c r="AE59" s="849"/>
      <c r="AF59" s="849"/>
    </row>
    <row r="60" customFormat="false" ht="30.75" hidden="false" customHeight="true" outlineLevel="0" collapsed="false">
      <c r="A60" s="849"/>
      <c r="B60" s="849"/>
      <c r="C60" s="849"/>
      <c r="D60" s="849"/>
      <c r="E60" s="849"/>
      <c r="F60" s="849"/>
      <c r="G60" s="849"/>
      <c r="H60" s="849"/>
      <c r="I60" s="849"/>
      <c r="J60" s="849"/>
      <c r="K60" s="849"/>
      <c r="L60" s="849"/>
      <c r="M60" s="849"/>
      <c r="N60" s="849"/>
      <c r="O60" s="849"/>
      <c r="P60" s="849"/>
      <c r="Q60" s="849"/>
      <c r="R60" s="849"/>
      <c r="S60" s="849"/>
      <c r="T60" s="849"/>
      <c r="U60" s="849"/>
      <c r="V60" s="849"/>
      <c r="W60" s="849"/>
      <c r="X60" s="849"/>
      <c r="Y60" s="849"/>
      <c r="Z60" s="849"/>
      <c r="AA60" s="849"/>
      <c r="AB60" s="849"/>
      <c r="AC60" s="849"/>
      <c r="AD60" s="849"/>
      <c r="AE60" s="849"/>
      <c r="AF60" s="849"/>
    </row>
    <row r="61" customFormat="false" ht="30.75" hidden="false" customHeight="true" outlineLevel="0" collapsed="false">
      <c r="A61" s="849"/>
      <c r="B61" s="849"/>
      <c r="C61" s="849"/>
      <c r="D61" s="849"/>
      <c r="E61" s="849"/>
      <c r="F61" s="849"/>
      <c r="G61" s="849"/>
      <c r="H61" s="849"/>
      <c r="I61" s="849"/>
      <c r="J61" s="849"/>
      <c r="K61" s="849"/>
      <c r="L61" s="849"/>
      <c r="M61" s="849"/>
      <c r="N61" s="849"/>
      <c r="O61" s="849"/>
      <c r="P61" s="849"/>
      <c r="Q61" s="849"/>
      <c r="R61" s="849"/>
      <c r="S61" s="849"/>
      <c r="T61" s="849"/>
      <c r="U61" s="849"/>
      <c r="V61" s="849"/>
      <c r="W61" s="849"/>
      <c r="X61" s="849"/>
      <c r="Y61" s="849"/>
      <c r="Z61" s="849"/>
      <c r="AA61" s="849"/>
      <c r="AB61" s="849"/>
      <c r="AC61" s="849"/>
      <c r="AD61" s="849"/>
      <c r="AE61" s="849"/>
      <c r="AF61" s="849"/>
    </row>
    <row r="62" customFormat="false" ht="30.75" hidden="false" customHeight="true" outlineLevel="0" collapsed="false">
      <c r="A62" s="849"/>
      <c r="B62" s="849"/>
      <c r="C62" s="849"/>
      <c r="D62" s="849"/>
      <c r="E62" s="849"/>
      <c r="F62" s="849"/>
      <c r="G62" s="849"/>
      <c r="H62" s="849"/>
      <c r="I62" s="849"/>
      <c r="J62" s="849"/>
      <c r="K62" s="849"/>
      <c r="L62" s="849"/>
      <c r="M62" s="849"/>
      <c r="N62" s="849"/>
      <c r="O62" s="849"/>
      <c r="P62" s="849"/>
      <c r="Q62" s="849"/>
      <c r="R62" s="849"/>
      <c r="S62" s="849"/>
      <c r="T62" s="849"/>
      <c r="U62" s="849"/>
      <c r="V62" s="849"/>
      <c r="W62" s="849"/>
      <c r="X62" s="849"/>
      <c r="Y62" s="849"/>
      <c r="Z62" s="849"/>
      <c r="AA62" s="849"/>
      <c r="AB62" s="849"/>
      <c r="AC62" s="849"/>
      <c r="AD62" s="849"/>
      <c r="AE62" s="849"/>
      <c r="AF62" s="849"/>
    </row>
    <row r="63" customFormat="false" ht="30.75" hidden="false" customHeight="true" outlineLevel="0" collapsed="false">
      <c r="A63" s="849"/>
      <c r="B63" s="849"/>
      <c r="C63" s="849"/>
      <c r="D63" s="849"/>
      <c r="E63" s="849"/>
      <c r="F63" s="849"/>
      <c r="G63" s="849"/>
      <c r="H63" s="849"/>
      <c r="I63" s="849"/>
      <c r="J63" s="849"/>
      <c r="K63" s="849"/>
      <c r="L63" s="849"/>
      <c r="M63" s="849"/>
      <c r="N63" s="849"/>
      <c r="O63" s="849"/>
      <c r="P63" s="849"/>
      <c r="Q63" s="849"/>
      <c r="R63" s="849"/>
      <c r="S63" s="849"/>
      <c r="T63" s="849"/>
      <c r="U63" s="849"/>
      <c r="V63" s="849"/>
      <c r="W63" s="849"/>
      <c r="X63" s="849"/>
      <c r="Y63" s="849"/>
      <c r="Z63" s="849"/>
      <c r="AA63" s="849"/>
      <c r="AB63" s="849"/>
      <c r="AC63" s="849"/>
      <c r="AD63" s="849"/>
      <c r="AE63" s="849"/>
      <c r="AF63" s="849"/>
    </row>
    <row r="64" customFormat="false" ht="30.75" hidden="false" customHeight="true" outlineLevel="0" collapsed="false">
      <c r="A64" s="849"/>
      <c r="B64" s="849"/>
      <c r="C64" s="849"/>
      <c r="D64" s="849"/>
      <c r="E64" s="849"/>
      <c r="F64" s="849"/>
      <c r="G64" s="849"/>
      <c r="H64" s="849"/>
      <c r="I64" s="849"/>
      <c r="J64" s="849"/>
      <c r="K64" s="849"/>
      <c r="L64" s="849"/>
      <c r="M64" s="849"/>
      <c r="N64" s="849"/>
      <c r="O64" s="849"/>
      <c r="P64" s="849"/>
      <c r="Q64" s="849"/>
      <c r="R64" s="849"/>
      <c r="S64" s="849"/>
      <c r="T64" s="849"/>
      <c r="U64" s="849"/>
      <c r="V64" s="849"/>
      <c r="W64" s="849"/>
      <c r="X64" s="849"/>
      <c r="Y64" s="849"/>
      <c r="Z64" s="849"/>
      <c r="AA64" s="849"/>
      <c r="AB64" s="849"/>
      <c r="AC64" s="849"/>
      <c r="AD64" s="849"/>
      <c r="AE64" s="849"/>
      <c r="AF64" s="849"/>
    </row>
    <row r="65" customFormat="false" ht="30.75" hidden="false" customHeight="true" outlineLevel="0" collapsed="false">
      <c r="A65" s="849"/>
      <c r="B65" s="849"/>
      <c r="C65" s="849"/>
      <c r="D65" s="849"/>
      <c r="E65" s="849"/>
      <c r="F65" s="849"/>
      <c r="G65" s="849"/>
      <c r="H65" s="849"/>
      <c r="I65" s="849"/>
      <c r="J65" s="849"/>
      <c r="K65" s="849"/>
      <c r="L65" s="849"/>
      <c r="M65" s="849"/>
      <c r="N65" s="849"/>
      <c r="O65" s="849"/>
      <c r="P65" s="849"/>
      <c r="Q65" s="849"/>
      <c r="R65" s="849"/>
      <c r="S65" s="849"/>
      <c r="T65" s="849"/>
      <c r="U65" s="849"/>
      <c r="V65" s="849"/>
      <c r="W65" s="849"/>
      <c r="X65" s="849"/>
      <c r="Y65" s="849"/>
      <c r="Z65" s="849"/>
      <c r="AA65" s="849"/>
      <c r="AB65" s="849"/>
      <c r="AC65" s="849"/>
      <c r="AD65" s="849"/>
      <c r="AE65" s="849"/>
      <c r="AF65" s="849"/>
    </row>
    <row r="66" customFormat="false" ht="30.75" hidden="false" customHeight="true" outlineLevel="0" collapsed="false">
      <c r="A66" s="849"/>
      <c r="B66" s="849"/>
      <c r="C66" s="849"/>
      <c r="D66" s="849"/>
      <c r="E66" s="849"/>
      <c r="F66" s="849"/>
      <c r="G66" s="849"/>
      <c r="H66" s="849"/>
      <c r="I66" s="849"/>
      <c r="J66" s="849"/>
      <c r="K66" s="849"/>
      <c r="L66" s="849"/>
      <c r="M66" s="849"/>
      <c r="N66" s="849"/>
      <c r="O66" s="849"/>
      <c r="P66" s="849"/>
      <c r="Q66" s="849"/>
      <c r="R66" s="849"/>
      <c r="S66" s="849"/>
      <c r="T66" s="849"/>
      <c r="U66" s="849"/>
      <c r="V66" s="849"/>
      <c r="W66" s="849"/>
      <c r="X66" s="849"/>
      <c r="Y66" s="849"/>
      <c r="Z66" s="849"/>
      <c r="AA66" s="849"/>
      <c r="AB66" s="849"/>
      <c r="AC66" s="849"/>
      <c r="AD66" s="849"/>
      <c r="AE66" s="849"/>
      <c r="AF66" s="849"/>
    </row>
    <row r="67" customFormat="false" ht="30.75" hidden="false" customHeight="true" outlineLevel="0" collapsed="false">
      <c r="A67" s="849"/>
      <c r="B67" s="849"/>
      <c r="C67" s="849"/>
      <c r="D67" s="849"/>
      <c r="E67" s="849"/>
      <c r="F67" s="849"/>
      <c r="G67" s="849"/>
      <c r="H67" s="849"/>
      <c r="I67" s="849"/>
      <c r="J67" s="849"/>
      <c r="K67" s="849"/>
      <c r="L67" s="849"/>
      <c r="M67" s="849"/>
      <c r="N67" s="849"/>
      <c r="O67" s="849"/>
      <c r="P67" s="849"/>
      <c r="Q67" s="849"/>
      <c r="R67" s="849"/>
      <c r="S67" s="849"/>
      <c r="T67" s="849"/>
      <c r="U67" s="849"/>
      <c r="V67" s="849"/>
      <c r="W67" s="849"/>
      <c r="X67" s="849"/>
      <c r="Y67" s="849"/>
      <c r="Z67" s="849"/>
      <c r="AA67" s="849"/>
      <c r="AB67" s="849"/>
      <c r="AC67" s="849"/>
      <c r="AD67" s="849"/>
      <c r="AE67" s="849"/>
      <c r="AF67" s="849"/>
    </row>
    <row r="68" customFormat="false" ht="30.75" hidden="false" customHeight="true" outlineLevel="0" collapsed="false">
      <c r="A68" s="849"/>
      <c r="B68" s="849"/>
      <c r="C68" s="849"/>
      <c r="D68" s="849"/>
      <c r="E68" s="849"/>
      <c r="F68" s="849"/>
      <c r="G68" s="849"/>
      <c r="H68" s="849"/>
      <c r="I68" s="849"/>
      <c r="J68" s="849"/>
      <c r="K68" s="849"/>
      <c r="L68" s="849"/>
      <c r="M68" s="849"/>
      <c r="N68" s="849"/>
      <c r="O68" s="849"/>
      <c r="P68" s="849"/>
      <c r="Q68" s="849"/>
      <c r="R68" s="849"/>
      <c r="S68" s="849"/>
      <c r="T68" s="849"/>
      <c r="U68" s="849"/>
      <c r="V68" s="849"/>
      <c r="W68" s="849"/>
      <c r="X68" s="849"/>
      <c r="Y68" s="849"/>
      <c r="Z68" s="849"/>
      <c r="AA68" s="849"/>
      <c r="AB68" s="849"/>
      <c r="AC68" s="849"/>
      <c r="AD68" s="849"/>
      <c r="AE68" s="849"/>
      <c r="AF68" s="849"/>
    </row>
    <row r="69" customFormat="false" ht="30.75" hidden="false" customHeight="true" outlineLevel="0" collapsed="false">
      <c r="A69" s="849"/>
      <c r="B69" s="849"/>
      <c r="C69" s="849"/>
      <c r="D69" s="849"/>
      <c r="E69" s="849"/>
      <c r="F69" s="849"/>
      <c r="G69" s="849"/>
      <c r="H69" s="849"/>
      <c r="I69" s="849"/>
      <c r="J69" s="849"/>
      <c r="K69" s="849"/>
      <c r="L69" s="849"/>
      <c r="M69" s="849"/>
      <c r="N69" s="849"/>
      <c r="O69" s="849"/>
      <c r="P69" s="849"/>
      <c r="Q69" s="849"/>
      <c r="R69" s="849"/>
      <c r="S69" s="849"/>
      <c r="T69" s="849"/>
      <c r="U69" s="849"/>
      <c r="V69" s="849"/>
      <c r="W69" s="849"/>
      <c r="X69" s="849"/>
      <c r="Y69" s="849"/>
      <c r="Z69" s="849"/>
      <c r="AA69" s="849"/>
      <c r="AB69" s="849"/>
      <c r="AC69" s="849"/>
      <c r="AD69" s="849"/>
      <c r="AE69" s="849"/>
      <c r="AF69" s="849"/>
    </row>
    <row r="70" customFormat="false" ht="30.75" hidden="false" customHeight="true" outlineLevel="0" collapsed="false">
      <c r="A70" s="849"/>
      <c r="B70" s="849"/>
      <c r="C70" s="849"/>
      <c r="D70" s="849"/>
      <c r="E70" s="849"/>
      <c r="F70" s="849"/>
      <c r="G70" s="849"/>
      <c r="H70" s="849"/>
      <c r="I70" s="849"/>
      <c r="J70" s="849"/>
      <c r="K70" s="849"/>
      <c r="L70" s="849"/>
      <c r="M70" s="849"/>
      <c r="N70" s="849"/>
      <c r="O70" s="849"/>
      <c r="P70" s="849"/>
      <c r="Q70" s="849"/>
      <c r="R70" s="849"/>
      <c r="S70" s="849"/>
      <c r="T70" s="849"/>
      <c r="U70" s="849"/>
      <c r="V70" s="849"/>
      <c r="W70" s="849"/>
      <c r="X70" s="849"/>
      <c r="Y70" s="849"/>
      <c r="Z70" s="849"/>
      <c r="AA70" s="849"/>
      <c r="AB70" s="849"/>
      <c r="AC70" s="849"/>
      <c r="AD70" s="849"/>
      <c r="AE70" s="849"/>
      <c r="AF70" s="849"/>
    </row>
    <row r="71" customFormat="false" ht="30.75" hidden="false" customHeight="true" outlineLevel="0" collapsed="false">
      <c r="A71" s="849"/>
      <c r="B71" s="849"/>
      <c r="C71" s="849"/>
      <c r="D71" s="849"/>
      <c r="E71" s="849"/>
      <c r="F71" s="849"/>
      <c r="G71" s="849"/>
      <c r="H71" s="849"/>
      <c r="I71" s="849"/>
      <c r="J71" s="849"/>
      <c r="K71" s="849"/>
      <c r="L71" s="849"/>
      <c r="M71" s="849"/>
      <c r="N71" s="849"/>
      <c r="O71" s="849"/>
      <c r="P71" s="849"/>
      <c r="Q71" s="849"/>
      <c r="R71" s="849"/>
      <c r="S71" s="849"/>
      <c r="T71" s="849"/>
      <c r="U71" s="849"/>
      <c r="V71" s="849"/>
      <c r="W71" s="849"/>
      <c r="X71" s="849"/>
      <c r="Y71" s="849"/>
      <c r="Z71" s="849"/>
      <c r="AA71" s="849"/>
      <c r="AB71" s="849"/>
      <c r="AC71" s="849"/>
      <c r="AD71" s="849"/>
      <c r="AE71" s="849"/>
      <c r="AF71" s="849"/>
    </row>
    <row r="72" customFormat="false" ht="30.75" hidden="false" customHeight="true" outlineLevel="0" collapsed="false">
      <c r="A72" s="849"/>
      <c r="B72" s="849"/>
      <c r="C72" s="849"/>
      <c r="D72" s="849"/>
      <c r="E72" s="849"/>
      <c r="F72" s="849"/>
      <c r="G72" s="849"/>
      <c r="H72" s="849"/>
      <c r="I72" s="849"/>
      <c r="J72" s="849"/>
      <c r="K72" s="849"/>
      <c r="L72" s="849"/>
      <c r="M72" s="849"/>
      <c r="N72" s="849"/>
      <c r="O72" s="849"/>
      <c r="P72" s="849"/>
      <c r="Q72" s="849"/>
      <c r="R72" s="849"/>
      <c r="S72" s="849"/>
      <c r="T72" s="849"/>
      <c r="U72" s="849"/>
      <c r="V72" s="849"/>
      <c r="W72" s="849"/>
      <c r="X72" s="849"/>
      <c r="Y72" s="849"/>
      <c r="Z72" s="849"/>
      <c r="AA72" s="849"/>
      <c r="AB72" s="849"/>
      <c r="AC72" s="849"/>
      <c r="AD72" s="849"/>
      <c r="AE72" s="849"/>
      <c r="AF72" s="849"/>
    </row>
    <row r="73" customFormat="false" ht="30.75" hidden="false" customHeight="true" outlineLevel="0" collapsed="false">
      <c r="A73" s="849"/>
      <c r="B73" s="849"/>
      <c r="C73" s="849"/>
      <c r="D73" s="849"/>
      <c r="E73" s="849"/>
      <c r="F73" s="849"/>
      <c r="G73" s="849"/>
      <c r="H73" s="849"/>
      <c r="I73" s="849"/>
      <c r="J73" s="849"/>
      <c r="K73" s="849"/>
      <c r="L73" s="849"/>
      <c r="M73" s="849"/>
      <c r="N73" s="849"/>
      <c r="O73" s="849"/>
      <c r="P73" s="849"/>
      <c r="Q73" s="849"/>
      <c r="R73" s="849"/>
      <c r="S73" s="849"/>
      <c r="T73" s="849"/>
      <c r="U73" s="849"/>
      <c r="V73" s="849"/>
      <c r="W73" s="849"/>
      <c r="X73" s="849"/>
      <c r="Y73" s="849"/>
      <c r="Z73" s="849"/>
      <c r="AA73" s="849"/>
      <c r="AB73" s="849"/>
      <c r="AC73" s="849"/>
      <c r="AD73" s="849"/>
      <c r="AE73" s="849"/>
      <c r="AF73" s="849"/>
    </row>
    <row r="74" customFormat="false" ht="30.75" hidden="false" customHeight="true" outlineLevel="0" collapsed="false">
      <c r="A74" s="849"/>
      <c r="B74" s="849"/>
      <c r="C74" s="849"/>
      <c r="D74" s="849"/>
      <c r="E74" s="849"/>
      <c r="F74" s="849"/>
      <c r="G74" s="849"/>
      <c r="H74" s="849"/>
      <c r="I74" s="849"/>
      <c r="J74" s="849"/>
      <c r="K74" s="849"/>
      <c r="L74" s="849"/>
      <c r="M74" s="849"/>
      <c r="N74" s="849"/>
      <c r="O74" s="849"/>
      <c r="P74" s="849"/>
      <c r="Q74" s="849"/>
      <c r="R74" s="849"/>
      <c r="S74" s="849"/>
      <c r="T74" s="849"/>
      <c r="U74" s="849"/>
      <c r="V74" s="849"/>
      <c r="W74" s="849"/>
      <c r="X74" s="849"/>
      <c r="Y74" s="849"/>
      <c r="Z74" s="849"/>
      <c r="AA74" s="849"/>
      <c r="AB74" s="849"/>
      <c r="AC74" s="849"/>
      <c r="AD74" s="849"/>
      <c r="AE74" s="849"/>
      <c r="AF74" s="849"/>
    </row>
    <row r="75" customFormat="false" ht="30.75" hidden="false" customHeight="true" outlineLevel="0" collapsed="false">
      <c r="A75" s="849"/>
      <c r="B75" s="849"/>
      <c r="C75" s="849"/>
      <c r="D75" s="849"/>
      <c r="E75" s="849"/>
      <c r="F75" s="849"/>
      <c r="G75" s="849"/>
      <c r="H75" s="849"/>
      <c r="I75" s="849"/>
      <c r="J75" s="849"/>
      <c r="K75" s="849"/>
      <c r="L75" s="849"/>
      <c r="M75" s="849"/>
      <c r="N75" s="849"/>
      <c r="O75" s="849"/>
      <c r="P75" s="849"/>
      <c r="Q75" s="849"/>
      <c r="R75" s="849"/>
      <c r="S75" s="849"/>
      <c r="T75" s="849"/>
      <c r="U75" s="849"/>
      <c r="V75" s="849"/>
      <c r="W75" s="849"/>
      <c r="X75" s="849"/>
      <c r="Y75" s="849"/>
      <c r="Z75" s="849"/>
      <c r="AA75" s="849"/>
      <c r="AB75" s="849"/>
      <c r="AC75" s="849"/>
      <c r="AD75" s="849"/>
      <c r="AE75" s="849"/>
      <c r="AF75" s="849"/>
    </row>
    <row r="76" customFormat="false" ht="30.75" hidden="false" customHeight="true" outlineLevel="0" collapsed="false">
      <c r="A76" s="849"/>
      <c r="B76" s="849"/>
      <c r="C76" s="849"/>
      <c r="D76" s="849"/>
      <c r="E76" s="849"/>
      <c r="F76" s="849"/>
      <c r="G76" s="849"/>
      <c r="H76" s="849"/>
      <c r="I76" s="849"/>
      <c r="J76" s="849"/>
      <c r="K76" s="849"/>
      <c r="L76" s="849"/>
      <c r="M76" s="849"/>
      <c r="N76" s="849"/>
      <c r="O76" s="849"/>
      <c r="P76" s="849"/>
      <c r="Q76" s="849"/>
      <c r="R76" s="849"/>
      <c r="S76" s="849"/>
      <c r="T76" s="849"/>
      <c r="U76" s="849"/>
      <c r="V76" s="849"/>
      <c r="W76" s="849"/>
      <c r="X76" s="849"/>
      <c r="Y76" s="849"/>
      <c r="Z76" s="849"/>
      <c r="AA76" s="849"/>
      <c r="AB76" s="849"/>
      <c r="AC76" s="849"/>
      <c r="AD76" s="849"/>
      <c r="AE76" s="849"/>
      <c r="AF76" s="849"/>
    </row>
    <row r="77" customFormat="false" ht="30.75" hidden="false" customHeight="true" outlineLevel="0" collapsed="false">
      <c r="A77" s="849"/>
      <c r="B77" s="849"/>
      <c r="C77" s="849"/>
      <c r="D77" s="849"/>
      <c r="E77" s="849"/>
      <c r="F77" s="849"/>
      <c r="G77" s="849"/>
      <c r="H77" s="849"/>
      <c r="I77" s="849"/>
      <c r="J77" s="849"/>
      <c r="K77" s="849"/>
      <c r="L77" s="849"/>
      <c r="M77" s="849"/>
      <c r="N77" s="849"/>
      <c r="O77" s="849"/>
      <c r="P77" s="849"/>
      <c r="Q77" s="849"/>
      <c r="R77" s="849"/>
      <c r="S77" s="849"/>
      <c r="T77" s="849"/>
      <c r="U77" s="849"/>
      <c r="V77" s="849"/>
      <c r="W77" s="849"/>
      <c r="X77" s="849"/>
      <c r="Y77" s="849"/>
      <c r="Z77" s="849"/>
      <c r="AA77" s="849"/>
      <c r="AB77" s="849"/>
      <c r="AC77" s="849"/>
      <c r="AD77" s="849"/>
      <c r="AE77" s="849"/>
      <c r="AF77" s="849"/>
    </row>
    <row r="78" customFormat="false" ht="30.75" hidden="false" customHeight="true" outlineLevel="0" collapsed="false">
      <c r="A78" s="849"/>
      <c r="B78" s="849"/>
      <c r="C78" s="849"/>
      <c r="D78" s="849"/>
      <c r="E78" s="849"/>
      <c r="F78" s="849"/>
      <c r="G78" s="849"/>
      <c r="H78" s="849"/>
      <c r="I78" s="849"/>
      <c r="J78" s="849"/>
      <c r="K78" s="849"/>
      <c r="L78" s="849"/>
      <c r="M78" s="849"/>
      <c r="N78" s="849"/>
      <c r="O78" s="849"/>
      <c r="P78" s="849"/>
      <c r="Q78" s="849"/>
      <c r="R78" s="849"/>
      <c r="S78" s="849"/>
      <c r="T78" s="849"/>
      <c r="U78" s="849"/>
      <c r="V78" s="849"/>
      <c r="W78" s="849"/>
      <c r="X78" s="849"/>
      <c r="Y78" s="849"/>
      <c r="Z78" s="849"/>
      <c r="AA78" s="849"/>
      <c r="AB78" s="849"/>
      <c r="AC78" s="849"/>
      <c r="AD78" s="849"/>
      <c r="AE78" s="849"/>
      <c r="AF78" s="849"/>
    </row>
    <row r="79" customFormat="false" ht="30.75" hidden="false" customHeight="true" outlineLevel="0" collapsed="false">
      <c r="A79" s="849"/>
      <c r="B79" s="849"/>
      <c r="C79" s="849"/>
      <c r="D79" s="849"/>
      <c r="E79" s="849"/>
      <c r="F79" s="849"/>
      <c r="G79" s="849"/>
      <c r="H79" s="849"/>
      <c r="I79" s="849"/>
      <c r="J79" s="849"/>
      <c r="K79" s="849"/>
      <c r="L79" s="849"/>
      <c r="M79" s="849"/>
      <c r="N79" s="849"/>
      <c r="O79" s="849"/>
      <c r="P79" s="849"/>
      <c r="Q79" s="849"/>
      <c r="R79" s="849"/>
      <c r="S79" s="849"/>
      <c r="T79" s="849"/>
      <c r="U79" s="849"/>
      <c r="V79" s="849"/>
      <c r="W79" s="849"/>
      <c r="X79" s="849"/>
      <c r="Y79" s="849"/>
      <c r="Z79" s="849"/>
      <c r="AA79" s="849"/>
      <c r="AB79" s="849"/>
      <c r="AC79" s="849"/>
      <c r="AD79" s="849"/>
      <c r="AE79" s="849"/>
      <c r="AF79" s="849"/>
    </row>
    <row r="80" customFormat="false" ht="30.75" hidden="false" customHeight="true" outlineLevel="0" collapsed="false">
      <c r="A80" s="849"/>
      <c r="B80" s="849"/>
      <c r="C80" s="849"/>
      <c r="D80" s="849"/>
      <c r="E80" s="849"/>
      <c r="F80" s="849"/>
      <c r="G80" s="849"/>
      <c r="H80" s="849"/>
      <c r="I80" s="849"/>
      <c r="J80" s="849"/>
      <c r="K80" s="849"/>
      <c r="L80" s="849"/>
      <c r="M80" s="849"/>
      <c r="N80" s="849"/>
      <c r="O80" s="849"/>
      <c r="P80" s="849"/>
      <c r="Q80" s="849"/>
      <c r="R80" s="849"/>
      <c r="S80" s="849"/>
      <c r="T80" s="849"/>
      <c r="U80" s="849"/>
      <c r="V80" s="849"/>
      <c r="W80" s="849"/>
      <c r="X80" s="849"/>
      <c r="Y80" s="849"/>
      <c r="Z80" s="849"/>
      <c r="AA80" s="849"/>
      <c r="AB80" s="849"/>
      <c r="AC80" s="849"/>
      <c r="AD80" s="849"/>
      <c r="AE80" s="849"/>
      <c r="AF80" s="849"/>
    </row>
    <row r="81" customFormat="false" ht="30.75" hidden="false" customHeight="true" outlineLevel="0" collapsed="false">
      <c r="A81" s="849"/>
      <c r="B81" s="849"/>
      <c r="C81" s="849"/>
      <c r="D81" s="849"/>
      <c r="E81" s="849"/>
      <c r="F81" s="849"/>
      <c r="G81" s="849"/>
      <c r="H81" s="849"/>
      <c r="I81" s="849"/>
      <c r="J81" s="849"/>
      <c r="K81" s="849"/>
      <c r="L81" s="849"/>
      <c r="M81" s="849"/>
      <c r="N81" s="849"/>
      <c r="O81" s="849"/>
      <c r="P81" s="849"/>
      <c r="Q81" s="849"/>
      <c r="R81" s="849"/>
      <c r="S81" s="849"/>
      <c r="T81" s="849"/>
      <c r="U81" s="849"/>
      <c r="V81" s="849"/>
      <c r="W81" s="849"/>
      <c r="X81" s="849"/>
      <c r="Y81" s="849"/>
      <c r="Z81" s="849"/>
      <c r="AA81" s="849"/>
      <c r="AB81" s="849"/>
      <c r="AC81" s="849"/>
      <c r="AD81" s="849"/>
      <c r="AE81" s="849"/>
      <c r="AF81" s="849"/>
    </row>
    <row r="82" customFormat="false" ht="30.75" hidden="false" customHeight="true" outlineLevel="0" collapsed="false">
      <c r="A82" s="849"/>
      <c r="B82" s="849"/>
      <c r="C82" s="849"/>
      <c r="D82" s="849"/>
      <c r="E82" s="849"/>
      <c r="F82" s="849"/>
      <c r="G82" s="849"/>
      <c r="H82" s="849"/>
      <c r="I82" s="849"/>
      <c r="J82" s="849"/>
      <c r="K82" s="849"/>
      <c r="L82" s="849"/>
      <c r="M82" s="849"/>
      <c r="N82" s="849"/>
      <c r="O82" s="849"/>
      <c r="P82" s="849"/>
      <c r="Q82" s="849"/>
      <c r="R82" s="849"/>
      <c r="S82" s="849"/>
      <c r="T82" s="849"/>
      <c r="U82" s="849"/>
      <c r="V82" s="849"/>
      <c r="W82" s="849"/>
      <c r="X82" s="849"/>
      <c r="Y82" s="849"/>
      <c r="Z82" s="849"/>
      <c r="AA82" s="849"/>
      <c r="AB82" s="849"/>
      <c r="AC82" s="849"/>
      <c r="AD82" s="849"/>
      <c r="AE82" s="849"/>
      <c r="AF82" s="84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4"/>
  <sheetViews>
    <sheetView showFormulas="false" showGridLines="true" showRowColHeaders="true" showZeros="true" rightToLeft="false" tabSelected="false" showOutlineSymbols="true" defaultGridColor="true" view="normal" topLeftCell="A24" colorId="64" zoomScale="140" zoomScaleNormal="140" zoomScalePageLayoutView="100" workbookViewId="0">
      <selection pane="topLeft" activeCell="B36" activeCellId="0" sqref="B36"/>
    </sheetView>
  </sheetViews>
  <sheetFormatPr defaultColWidth="19.859375" defaultRowHeight="30.75" zeroHeight="false" outlineLevelRow="0" outlineLevelCol="0"/>
  <cols>
    <col collapsed="false" customWidth="false" hidden="false" outlineLevel="0" max="1" min="1" style="958" width="19.86"/>
    <col collapsed="false" customWidth="true" hidden="false" outlineLevel="0" max="4" min="2" style="958" width="16.43"/>
    <col collapsed="false" customWidth="true" hidden="false" outlineLevel="0" max="5" min="5" style="958" width="18"/>
    <col collapsed="false" customWidth="true" hidden="false" outlineLevel="0" max="6" min="6" style="958" width="22"/>
    <col collapsed="false" customWidth="true" hidden="false" outlineLevel="0" max="7" min="7" style="958" width="28.29"/>
    <col collapsed="false" customWidth="true" hidden="false" outlineLevel="0" max="8" min="8" style="958" width="16.72"/>
    <col collapsed="false" customWidth="true" hidden="false" outlineLevel="0" max="9" min="9" style="958" width="20.28"/>
    <col collapsed="false" customWidth="false" hidden="false" outlineLevel="0" max="16384" min="10" style="958" width="19.86"/>
  </cols>
  <sheetData>
    <row r="1" customFormat="false" ht="30.75" hidden="false" customHeight="true" outlineLevel="0" collapsed="false">
      <c r="A1" s="849"/>
      <c r="B1" s="977" t="s">
        <v>78</v>
      </c>
      <c r="C1" s="849"/>
      <c r="D1" s="849"/>
      <c r="E1" s="849"/>
      <c r="F1" s="849"/>
      <c r="G1" s="849"/>
      <c r="H1" s="849"/>
      <c r="I1" s="849"/>
      <c r="J1" s="849"/>
      <c r="K1" s="849"/>
      <c r="L1" s="849"/>
      <c r="M1" s="849"/>
      <c r="N1" s="849"/>
      <c r="O1" s="849"/>
      <c r="P1" s="849"/>
      <c r="Q1" s="849"/>
      <c r="R1" s="849"/>
      <c r="S1" s="849"/>
      <c r="T1" s="849"/>
      <c r="U1" s="849"/>
      <c r="V1" s="849"/>
      <c r="W1" s="849"/>
      <c r="X1" s="849"/>
      <c r="Y1" s="849"/>
      <c r="Z1" s="849"/>
      <c r="AA1" s="849"/>
      <c r="AB1" s="849"/>
      <c r="AC1" s="849"/>
      <c r="AD1" s="849"/>
      <c r="AE1" s="849"/>
      <c r="AF1" s="849"/>
      <c r="AG1" s="849"/>
    </row>
    <row r="2" customFormat="false" ht="30.75" hidden="false" customHeight="true" outlineLevel="0" collapsed="false">
      <c r="A2" s="849"/>
      <c r="B2" s="978" t="s">
        <v>6</v>
      </c>
      <c r="C2" s="979" t="s">
        <v>7</v>
      </c>
      <c r="D2" s="979" t="s">
        <v>8</v>
      </c>
      <c r="E2" s="979" t="s">
        <v>9</v>
      </c>
      <c r="F2" s="979" t="s">
        <v>8</v>
      </c>
      <c r="G2" s="979" t="s">
        <v>11</v>
      </c>
      <c r="H2" s="980" t="s">
        <v>6</v>
      </c>
      <c r="I2" s="849"/>
      <c r="J2" s="849"/>
      <c r="K2" s="849"/>
      <c r="L2" s="849"/>
      <c r="M2" s="849"/>
      <c r="N2" s="849"/>
      <c r="O2" s="849"/>
      <c r="P2" s="849"/>
      <c r="Q2" s="849"/>
      <c r="R2" s="849"/>
      <c r="S2" s="849"/>
      <c r="T2" s="849"/>
      <c r="U2" s="849"/>
      <c r="V2" s="849"/>
      <c r="W2" s="849"/>
      <c r="X2" s="849"/>
      <c r="Y2" s="849"/>
      <c r="Z2" s="849"/>
      <c r="AA2" s="849"/>
      <c r="AB2" s="849"/>
      <c r="AC2" s="849"/>
      <c r="AD2" s="849"/>
      <c r="AE2" s="849"/>
      <c r="AF2" s="849"/>
      <c r="AG2" s="849"/>
    </row>
    <row r="3" customFormat="false" ht="30.75" hidden="false" customHeight="true" outlineLevel="0" collapsed="false">
      <c r="A3" s="849"/>
      <c r="B3" s="981"/>
      <c r="C3" s="981" t="n">
        <v>1</v>
      </c>
      <c r="D3" s="981" t="n">
        <v>2</v>
      </c>
      <c r="E3" s="981" t="n">
        <v>3</v>
      </c>
      <c r="F3" s="981" t="n">
        <v>4</v>
      </c>
      <c r="G3" s="981" t="n">
        <v>5</v>
      </c>
      <c r="H3" s="981" t="n">
        <v>6</v>
      </c>
      <c r="I3" s="982" t="s">
        <v>14</v>
      </c>
      <c r="J3" s="849"/>
      <c r="K3" s="849"/>
      <c r="L3" s="849"/>
      <c r="M3" s="849"/>
      <c r="N3" s="849"/>
      <c r="O3" s="849"/>
      <c r="P3" s="849"/>
      <c r="Q3" s="849"/>
      <c r="R3" s="849"/>
      <c r="S3" s="849"/>
      <c r="T3" s="849"/>
      <c r="U3" s="849"/>
      <c r="V3" s="849"/>
      <c r="W3" s="849"/>
      <c r="X3" s="849"/>
      <c r="Y3" s="849"/>
      <c r="Z3" s="849"/>
      <c r="AA3" s="849"/>
      <c r="AB3" s="849"/>
      <c r="AC3" s="849"/>
      <c r="AD3" s="849"/>
      <c r="AE3" s="849"/>
      <c r="AF3" s="849"/>
      <c r="AG3" s="849"/>
    </row>
    <row r="4" customFormat="false" ht="30.75" hidden="false" customHeight="true" outlineLevel="0" collapsed="false">
      <c r="A4" s="849"/>
      <c r="B4" s="983"/>
      <c r="C4" s="983" t="s">
        <v>352</v>
      </c>
      <c r="D4" s="983" t="s">
        <v>209</v>
      </c>
      <c r="E4" s="983" t="s">
        <v>40</v>
      </c>
      <c r="F4" s="983" t="s">
        <v>209</v>
      </c>
      <c r="G4" s="983" t="s">
        <v>79</v>
      </c>
      <c r="H4" s="984" t="s">
        <v>40</v>
      </c>
      <c r="I4" s="985" t="s">
        <v>16</v>
      </c>
      <c r="J4" s="849"/>
      <c r="K4" s="849"/>
      <c r="L4" s="849"/>
      <c r="M4" s="849"/>
      <c r="N4" s="849"/>
      <c r="O4" s="849"/>
      <c r="P4" s="849"/>
      <c r="Q4" s="849"/>
      <c r="R4" s="849"/>
      <c r="S4" s="849"/>
      <c r="T4" s="849"/>
      <c r="U4" s="849"/>
      <c r="V4" s="849"/>
      <c r="W4" s="849"/>
      <c r="X4" s="849"/>
      <c r="Y4" s="849"/>
      <c r="Z4" s="849"/>
      <c r="AA4" s="849"/>
      <c r="AB4" s="849"/>
      <c r="AC4" s="849"/>
      <c r="AD4" s="849"/>
      <c r="AE4" s="849"/>
      <c r="AF4" s="849"/>
      <c r="AG4" s="849"/>
    </row>
    <row r="5" customFormat="false" ht="30.75" hidden="false" customHeight="true" outlineLevel="0" collapsed="false">
      <c r="A5" s="849"/>
      <c r="B5" s="986"/>
      <c r="C5" s="986" t="n">
        <v>0.21</v>
      </c>
      <c r="D5" s="986" t="n">
        <v>0.12</v>
      </c>
      <c r="E5" s="986" t="n">
        <v>0.06</v>
      </c>
      <c r="F5" s="986" t="n">
        <v>0.018</v>
      </c>
      <c r="G5" s="986" t="n">
        <v>0</v>
      </c>
      <c r="H5" s="986" t="n">
        <v>0.01</v>
      </c>
      <c r="I5" s="987" t="s">
        <v>497</v>
      </c>
      <c r="J5" s="849"/>
      <c r="K5" s="849"/>
      <c r="L5" s="849"/>
      <c r="M5" s="849"/>
      <c r="N5" s="849"/>
      <c r="O5" s="849"/>
      <c r="P5" s="849"/>
      <c r="Q5" s="849"/>
      <c r="R5" s="849"/>
      <c r="S5" s="849"/>
      <c r="T5" s="849"/>
      <c r="U5" s="849"/>
      <c r="V5" s="849"/>
      <c r="W5" s="849"/>
      <c r="X5" s="849"/>
      <c r="Y5" s="849"/>
      <c r="Z5" s="849"/>
      <c r="AA5" s="849"/>
      <c r="AB5" s="849"/>
      <c r="AC5" s="849"/>
      <c r="AD5" s="849"/>
      <c r="AE5" s="849"/>
      <c r="AF5" s="849"/>
      <c r="AG5" s="849"/>
    </row>
    <row r="6" customFormat="false" ht="30.75" hidden="false" customHeight="true" outlineLevel="0" collapsed="false">
      <c r="A6" s="849"/>
      <c r="B6" s="988"/>
      <c r="C6" s="988" t="s">
        <v>180</v>
      </c>
      <c r="D6" s="989" t="s">
        <v>169</v>
      </c>
      <c r="E6" s="988" t="s">
        <v>352</v>
      </c>
      <c r="F6" s="989" t="s">
        <v>54</v>
      </c>
      <c r="G6" s="990" t="s">
        <v>352</v>
      </c>
      <c r="H6" s="991" t="s">
        <v>169</v>
      </c>
      <c r="I6" s="992" t="s">
        <v>19</v>
      </c>
      <c r="J6" s="849"/>
      <c r="K6" s="849"/>
      <c r="L6" s="849"/>
      <c r="M6" s="849"/>
      <c r="N6" s="849"/>
      <c r="O6" s="849"/>
      <c r="P6" s="849"/>
      <c r="Q6" s="849"/>
      <c r="R6" s="849"/>
      <c r="S6" s="849"/>
      <c r="T6" s="849"/>
      <c r="U6" s="849"/>
      <c r="V6" s="849"/>
      <c r="W6" s="849"/>
      <c r="X6" s="849"/>
      <c r="Y6" s="849"/>
      <c r="Z6" s="849"/>
      <c r="AA6" s="849"/>
      <c r="AB6" s="849"/>
      <c r="AC6" s="849"/>
      <c r="AD6" s="849"/>
      <c r="AE6" s="849"/>
      <c r="AF6" s="849"/>
      <c r="AG6" s="849"/>
    </row>
    <row r="7" customFormat="false" ht="30.75" hidden="false" customHeight="true" outlineLevel="0" collapsed="false">
      <c r="A7" s="849"/>
      <c r="B7" s="989"/>
      <c r="C7" s="989" t="s">
        <v>498</v>
      </c>
      <c r="D7" s="989" t="s">
        <v>499</v>
      </c>
      <c r="E7" s="989" t="s">
        <v>498</v>
      </c>
      <c r="F7" s="989" t="s">
        <v>498</v>
      </c>
      <c r="G7" s="989" t="s">
        <v>500</v>
      </c>
      <c r="H7" s="990" t="s">
        <v>501</v>
      </c>
      <c r="I7" s="993" t="s">
        <v>502</v>
      </c>
      <c r="J7" s="849"/>
      <c r="K7" s="849"/>
      <c r="L7" s="849"/>
      <c r="M7" s="849"/>
      <c r="N7" s="849"/>
      <c r="O7" s="849"/>
      <c r="P7" s="849"/>
      <c r="Q7" s="849"/>
      <c r="R7" s="849"/>
      <c r="S7" s="849"/>
      <c r="T7" s="849"/>
      <c r="U7" s="849"/>
      <c r="V7" s="849"/>
      <c r="W7" s="849"/>
      <c r="X7" s="849"/>
      <c r="Y7" s="849"/>
      <c r="Z7" s="849"/>
      <c r="AA7" s="849"/>
      <c r="AB7" s="849"/>
      <c r="AC7" s="849"/>
      <c r="AD7" s="849"/>
      <c r="AE7" s="849"/>
      <c r="AF7" s="849"/>
      <c r="AG7" s="849"/>
    </row>
    <row r="8" customFormat="false" ht="30.75" hidden="false" customHeight="true" outlineLevel="0" collapsed="false">
      <c r="A8" s="849"/>
      <c r="B8" s="994"/>
      <c r="C8" s="989"/>
      <c r="D8" s="989" t="n">
        <v>0</v>
      </c>
      <c r="E8" s="989" t="n">
        <v>0</v>
      </c>
      <c r="F8" s="989" t="n">
        <v>0</v>
      </c>
      <c r="G8" s="989"/>
      <c r="H8" s="990" t="n">
        <v>0</v>
      </c>
      <c r="I8" s="993" t="s">
        <v>503</v>
      </c>
      <c r="J8" s="849"/>
      <c r="K8" s="849"/>
      <c r="L8" s="849"/>
      <c r="M8" s="849"/>
      <c r="N8" s="849"/>
      <c r="O8" s="849"/>
      <c r="P8" s="849"/>
      <c r="Q8" s="849"/>
      <c r="R8" s="849"/>
      <c r="S8" s="849"/>
      <c r="T8" s="849"/>
      <c r="U8" s="849"/>
      <c r="V8" s="849"/>
      <c r="W8" s="849"/>
      <c r="X8" s="849"/>
      <c r="Y8" s="849"/>
      <c r="Z8" s="849"/>
      <c r="AA8" s="849"/>
      <c r="AB8" s="849"/>
      <c r="AC8" s="849"/>
      <c r="AD8" s="849"/>
      <c r="AE8" s="849"/>
      <c r="AF8" s="849"/>
      <c r="AG8" s="849"/>
    </row>
    <row r="9" customFormat="false" ht="30.75" hidden="false" customHeight="true" outlineLevel="0" collapsed="false">
      <c r="A9" s="849"/>
      <c r="B9" s="995"/>
      <c r="C9" s="995" t="s">
        <v>504</v>
      </c>
      <c r="D9" s="995" t="n">
        <v>0</v>
      </c>
      <c r="E9" s="995" t="n">
        <v>0</v>
      </c>
      <c r="F9" s="995" t="n">
        <v>0</v>
      </c>
      <c r="G9" s="995"/>
      <c r="H9" s="996" t="n">
        <v>0</v>
      </c>
      <c r="I9" s="997" t="s">
        <v>505</v>
      </c>
      <c r="J9" s="849"/>
      <c r="K9" s="849"/>
      <c r="L9" s="849"/>
      <c r="M9" s="849"/>
      <c r="N9" s="849"/>
      <c r="O9" s="849"/>
      <c r="P9" s="849"/>
      <c r="Q9" s="849"/>
      <c r="R9" s="849"/>
      <c r="S9" s="849"/>
      <c r="T9" s="849"/>
      <c r="U9" s="849"/>
      <c r="V9" s="849"/>
      <c r="W9" s="849"/>
      <c r="X9" s="849"/>
      <c r="Y9" s="849"/>
      <c r="Z9" s="849"/>
      <c r="AA9" s="849"/>
      <c r="AB9" s="849"/>
      <c r="AC9" s="849"/>
      <c r="AD9" s="849"/>
      <c r="AE9" s="849"/>
      <c r="AF9" s="849"/>
      <c r="AG9" s="849"/>
    </row>
    <row r="10" customFormat="false" ht="30.75" hidden="false" customHeight="true" outlineLevel="0" collapsed="false">
      <c r="A10" s="849" t="s">
        <v>4</v>
      </c>
      <c r="B10" s="981" t="n">
        <v>7</v>
      </c>
      <c r="C10" s="981" t="n">
        <v>8</v>
      </c>
      <c r="D10" s="981" t="n">
        <v>9</v>
      </c>
      <c r="E10" s="981" t="n">
        <v>10</v>
      </c>
      <c r="F10" s="981" t="n">
        <v>11</v>
      </c>
      <c r="G10" s="981" t="n">
        <v>12</v>
      </c>
      <c r="H10" s="998" t="n">
        <v>13</v>
      </c>
      <c r="I10" s="849"/>
      <c r="J10" s="849"/>
      <c r="K10" s="849"/>
      <c r="L10" s="849"/>
      <c r="M10" s="849"/>
      <c r="N10" s="849"/>
      <c r="O10" s="849"/>
      <c r="P10" s="849"/>
      <c r="Q10" s="849"/>
      <c r="R10" s="849"/>
      <c r="S10" s="849"/>
      <c r="T10" s="849"/>
      <c r="U10" s="849"/>
      <c r="V10" s="849"/>
      <c r="W10" s="849"/>
      <c r="X10" s="849"/>
      <c r="Y10" s="849"/>
      <c r="Z10" s="849"/>
      <c r="AA10" s="849"/>
      <c r="AB10" s="849"/>
      <c r="AC10" s="849"/>
      <c r="AD10" s="849"/>
      <c r="AE10" s="849"/>
      <c r="AF10" s="849"/>
      <c r="AG10" s="849"/>
    </row>
    <row r="11" customFormat="false" ht="30.75" hidden="false" customHeight="true" outlineLevel="0" collapsed="false">
      <c r="A11" s="849"/>
      <c r="B11" s="983" t="s">
        <v>359</v>
      </c>
      <c r="C11" s="983" t="s">
        <v>506</v>
      </c>
      <c r="D11" s="983" t="s">
        <v>209</v>
      </c>
      <c r="E11" s="983" t="s">
        <v>40</v>
      </c>
      <c r="F11" s="983" t="s">
        <v>209</v>
      </c>
      <c r="G11" s="983" t="s">
        <v>79</v>
      </c>
      <c r="H11" s="999" t="s">
        <v>359</v>
      </c>
      <c r="I11" s="849"/>
      <c r="J11" s="849"/>
      <c r="K11" s="849"/>
      <c r="L11" s="849"/>
      <c r="M11" s="849"/>
      <c r="N11" s="849"/>
      <c r="O11" s="849"/>
      <c r="P11" s="849"/>
      <c r="Q11" s="849"/>
      <c r="R11" s="849"/>
      <c r="S11" s="849"/>
      <c r="T11" s="849"/>
      <c r="U11" s="849"/>
      <c r="V11" s="849"/>
      <c r="W11" s="849"/>
      <c r="X11" s="849"/>
      <c r="Y11" s="849"/>
      <c r="Z11" s="849"/>
      <c r="AA11" s="849"/>
      <c r="AB11" s="849"/>
      <c r="AC11" s="849"/>
      <c r="AD11" s="849"/>
      <c r="AE11" s="849"/>
      <c r="AF11" s="849"/>
      <c r="AG11" s="849"/>
    </row>
    <row r="12" customFormat="false" ht="30.75" hidden="false" customHeight="true" outlineLevel="0" collapsed="false">
      <c r="A12" s="849"/>
      <c r="B12" s="986" t="n">
        <v>0.04</v>
      </c>
      <c r="C12" s="986" t="n">
        <v>0.09</v>
      </c>
      <c r="D12" s="986" t="n">
        <v>0.16</v>
      </c>
      <c r="E12" s="986" t="n">
        <v>0.24</v>
      </c>
      <c r="F12" s="986" t="n">
        <v>0.32</v>
      </c>
      <c r="G12" s="986" t="n">
        <v>0.41</v>
      </c>
      <c r="H12" s="1000" t="n">
        <v>0.51</v>
      </c>
      <c r="I12" s="849"/>
      <c r="J12" s="849"/>
      <c r="K12" s="849"/>
      <c r="L12" s="849"/>
      <c r="M12" s="849"/>
      <c r="N12" s="849"/>
      <c r="O12" s="849"/>
      <c r="P12" s="849"/>
      <c r="Q12" s="849"/>
      <c r="R12" s="849"/>
      <c r="S12" s="849"/>
      <c r="T12" s="849"/>
      <c r="U12" s="849"/>
      <c r="V12" s="849"/>
      <c r="W12" s="849"/>
      <c r="X12" s="849"/>
      <c r="Y12" s="849"/>
      <c r="Z12" s="849"/>
      <c r="AA12" s="849"/>
      <c r="AB12" s="849"/>
      <c r="AC12" s="849"/>
      <c r="AD12" s="849"/>
      <c r="AE12" s="849"/>
      <c r="AF12" s="849"/>
      <c r="AG12" s="849"/>
    </row>
    <row r="13" customFormat="false" ht="30.75" hidden="false" customHeight="true" outlineLevel="0" collapsed="false">
      <c r="A13" s="849"/>
      <c r="B13" s="989" t="s">
        <v>54</v>
      </c>
      <c r="C13" s="989" t="s">
        <v>352</v>
      </c>
      <c r="D13" s="989" t="s">
        <v>169</v>
      </c>
      <c r="E13" s="988" t="s">
        <v>352</v>
      </c>
      <c r="F13" s="989" t="s">
        <v>54</v>
      </c>
      <c r="G13" s="988" t="s">
        <v>352</v>
      </c>
      <c r="H13" s="1001" t="s">
        <v>169</v>
      </c>
      <c r="I13" s="849"/>
      <c r="J13" s="849"/>
      <c r="K13" s="849"/>
      <c r="L13" s="849"/>
      <c r="M13" s="849"/>
      <c r="N13" s="849"/>
      <c r="O13" s="849"/>
      <c r="P13" s="849"/>
      <c r="Q13" s="849"/>
      <c r="R13" s="849"/>
      <c r="S13" s="849"/>
      <c r="T13" s="849"/>
      <c r="U13" s="849"/>
      <c r="V13" s="849"/>
      <c r="W13" s="849"/>
      <c r="X13" s="849"/>
      <c r="Y13" s="849"/>
      <c r="Z13" s="849"/>
      <c r="AA13" s="849"/>
      <c r="AB13" s="849"/>
      <c r="AC13" s="849"/>
      <c r="AD13" s="849"/>
      <c r="AE13" s="849"/>
      <c r="AF13" s="849"/>
      <c r="AG13" s="849"/>
    </row>
    <row r="14" customFormat="false" ht="30.75" hidden="false" customHeight="true" outlineLevel="0" collapsed="false">
      <c r="A14" s="849"/>
      <c r="B14" s="989" t="s">
        <v>507</v>
      </c>
      <c r="C14" s="989" t="s">
        <v>508</v>
      </c>
      <c r="D14" s="989" t="s">
        <v>509</v>
      </c>
      <c r="E14" s="989" t="s">
        <v>510</v>
      </c>
      <c r="F14" s="989" t="s">
        <v>511</v>
      </c>
      <c r="G14" s="989" t="s">
        <v>512</v>
      </c>
      <c r="H14" s="990"/>
      <c r="I14" s="849"/>
      <c r="J14" s="849"/>
      <c r="K14" s="849"/>
      <c r="L14" s="849"/>
      <c r="M14" s="849"/>
      <c r="N14" s="849"/>
      <c r="O14" s="849"/>
      <c r="P14" s="849"/>
      <c r="Q14" s="849"/>
      <c r="R14" s="849"/>
      <c r="S14" s="849"/>
      <c r="T14" s="849"/>
      <c r="U14" s="849"/>
      <c r="V14" s="849"/>
      <c r="W14" s="849"/>
      <c r="X14" s="849"/>
      <c r="Y14" s="849"/>
      <c r="Z14" s="849"/>
      <c r="AA14" s="849"/>
      <c r="AB14" s="849"/>
      <c r="AC14" s="849"/>
      <c r="AD14" s="849"/>
      <c r="AE14" s="849"/>
      <c r="AF14" s="849"/>
      <c r="AG14" s="849"/>
    </row>
    <row r="15" customFormat="false" ht="30.75" hidden="false" customHeight="true" outlineLevel="0" collapsed="false">
      <c r="A15" s="849"/>
      <c r="B15" s="994"/>
      <c r="C15" s="989" t="n">
        <v>0</v>
      </c>
      <c r="D15" s="989"/>
      <c r="E15" s="989"/>
      <c r="F15" s="1002"/>
      <c r="G15" s="989"/>
      <c r="H15" s="990"/>
      <c r="I15" s="849"/>
      <c r="J15" s="849"/>
      <c r="K15" s="849"/>
      <c r="L15" s="849"/>
      <c r="M15" s="849"/>
      <c r="N15" s="849"/>
      <c r="O15" s="849"/>
      <c r="P15" s="849"/>
      <c r="Q15" s="849"/>
      <c r="R15" s="849"/>
      <c r="S15" s="849"/>
      <c r="T15" s="849"/>
      <c r="U15" s="849"/>
      <c r="V15" s="849"/>
      <c r="W15" s="849"/>
      <c r="X15" s="849"/>
      <c r="Y15" s="849"/>
      <c r="Z15" s="849"/>
      <c r="AA15" s="849"/>
      <c r="AB15" s="849"/>
      <c r="AC15" s="849"/>
      <c r="AD15" s="849"/>
      <c r="AE15" s="849"/>
      <c r="AF15" s="849"/>
      <c r="AG15" s="849"/>
    </row>
    <row r="16" customFormat="false" ht="30.75" hidden="false" customHeight="true" outlineLevel="0" collapsed="false">
      <c r="A16" s="849"/>
      <c r="B16" s="995"/>
      <c r="C16" s="1003" t="s">
        <v>513</v>
      </c>
      <c r="D16" s="995"/>
      <c r="E16" s="995"/>
      <c r="F16" s="1004"/>
      <c r="G16" s="995"/>
      <c r="H16" s="996"/>
      <c r="I16" s="849"/>
      <c r="J16" s="849"/>
      <c r="K16" s="849"/>
      <c r="L16" s="849"/>
      <c r="M16" s="849"/>
      <c r="N16" s="849"/>
      <c r="O16" s="849"/>
      <c r="P16" s="849"/>
      <c r="Q16" s="849"/>
      <c r="R16" s="849"/>
      <c r="S16" s="849"/>
      <c r="T16" s="849"/>
      <c r="U16" s="849"/>
      <c r="V16" s="849"/>
      <c r="W16" s="849"/>
      <c r="X16" s="849"/>
      <c r="Y16" s="849"/>
      <c r="Z16" s="849"/>
      <c r="AA16" s="849"/>
      <c r="AB16" s="849"/>
      <c r="AC16" s="849"/>
      <c r="AD16" s="849"/>
      <c r="AE16" s="849"/>
      <c r="AF16" s="849"/>
      <c r="AG16" s="849"/>
    </row>
    <row r="17" customFormat="false" ht="30.75" hidden="false" customHeight="true" outlineLevel="0" collapsed="false">
      <c r="A17" s="849"/>
      <c r="B17" s="981" t="n">
        <v>14</v>
      </c>
      <c r="C17" s="981" t="n">
        <v>15</v>
      </c>
      <c r="D17" s="981" t="n">
        <v>16</v>
      </c>
      <c r="E17" s="981" t="n">
        <v>17</v>
      </c>
      <c r="F17" s="981" t="n">
        <v>18</v>
      </c>
      <c r="G17" s="981" t="n">
        <v>19</v>
      </c>
      <c r="H17" s="998" t="n">
        <v>20</v>
      </c>
      <c r="I17" s="849"/>
      <c r="J17" s="849"/>
      <c r="K17" s="849"/>
      <c r="L17" s="849"/>
      <c r="M17" s="849"/>
      <c r="N17" s="849"/>
      <c r="O17" s="849"/>
      <c r="P17" s="849"/>
      <c r="Q17" s="849"/>
      <c r="R17" s="849"/>
      <c r="S17" s="849"/>
      <c r="T17" s="849"/>
      <c r="U17" s="849"/>
      <c r="V17" s="849"/>
      <c r="W17" s="849"/>
      <c r="X17" s="849"/>
    </row>
    <row r="18" customFormat="false" ht="30.75" hidden="false" customHeight="true" outlineLevel="0" collapsed="false">
      <c r="A18" s="849"/>
      <c r="B18" s="983" t="s">
        <v>506</v>
      </c>
      <c r="C18" s="983" t="s">
        <v>352</v>
      </c>
      <c r="D18" s="983" t="s">
        <v>209</v>
      </c>
      <c r="E18" s="983" t="s">
        <v>40</v>
      </c>
      <c r="F18" s="1005"/>
      <c r="G18" s="1005"/>
      <c r="H18" s="1006"/>
      <c r="I18" s="849"/>
      <c r="J18" s="849"/>
      <c r="K18" s="849"/>
      <c r="L18" s="849"/>
      <c r="M18" s="849"/>
      <c r="N18" s="849"/>
      <c r="O18" s="849"/>
      <c r="P18" s="849"/>
      <c r="Q18" s="849"/>
      <c r="R18" s="849"/>
      <c r="S18" s="849"/>
      <c r="T18" s="849"/>
      <c r="U18" s="849"/>
      <c r="V18" s="849"/>
      <c r="W18" s="849"/>
      <c r="X18" s="849"/>
    </row>
    <row r="19" customFormat="false" ht="30.75" hidden="false" customHeight="true" outlineLevel="0" collapsed="false">
      <c r="A19" s="849"/>
      <c r="B19" s="986" t="n">
        <v>0.61</v>
      </c>
      <c r="C19" s="986" t="n">
        <v>0.71</v>
      </c>
      <c r="D19" s="986" t="n">
        <v>0.8</v>
      </c>
      <c r="E19" s="986" t="n">
        <v>0.87</v>
      </c>
      <c r="F19" s="986" t="n">
        <v>0.94</v>
      </c>
      <c r="G19" s="986" t="n">
        <v>0.95</v>
      </c>
      <c r="H19" s="1000" t="n">
        <v>0.98</v>
      </c>
      <c r="I19" s="849"/>
      <c r="J19" s="849"/>
      <c r="K19" s="849"/>
      <c r="L19" s="849"/>
      <c r="M19" s="849"/>
      <c r="N19" s="849"/>
      <c r="O19" s="849"/>
      <c r="P19" s="849"/>
      <c r="Q19" s="849"/>
      <c r="R19" s="849"/>
      <c r="S19" s="849"/>
      <c r="T19" s="849"/>
      <c r="U19" s="849"/>
      <c r="V19" s="849"/>
      <c r="W19" s="849"/>
      <c r="X19" s="849"/>
    </row>
    <row r="20" customFormat="false" ht="30.75" hidden="false" customHeight="true" outlineLevel="0" collapsed="false">
      <c r="A20" s="849"/>
      <c r="B20" s="989" t="s">
        <v>54</v>
      </c>
      <c r="C20" s="988" t="s">
        <v>180</v>
      </c>
      <c r="D20" s="989" t="s">
        <v>169</v>
      </c>
      <c r="E20" s="988" t="s">
        <v>352</v>
      </c>
      <c r="F20" s="988"/>
      <c r="G20" s="988"/>
      <c r="H20" s="1001"/>
      <c r="I20" s="849"/>
      <c r="J20" s="849"/>
      <c r="K20" s="849"/>
      <c r="L20" s="849"/>
      <c r="M20" s="849"/>
      <c r="N20" s="849"/>
      <c r="O20" s="849"/>
      <c r="P20" s="849"/>
      <c r="Q20" s="849"/>
      <c r="R20" s="849"/>
      <c r="S20" s="849"/>
      <c r="T20" s="849"/>
      <c r="U20" s="849"/>
      <c r="V20" s="849"/>
      <c r="W20" s="849"/>
      <c r="X20" s="849"/>
    </row>
    <row r="21" customFormat="false" ht="30.75" hidden="false" customHeight="true" outlineLevel="0" collapsed="false">
      <c r="A21" s="849"/>
      <c r="B21" s="1007" t="s">
        <v>508</v>
      </c>
      <c r="C21" s="1007"/>
      <c r="D21" s="989"/>
      <c r="E21" s="989"/>
      <c r="F21" s="989"/>
      <c r="G21" s="989"/>
      <c r="H21" s="990"/>
      <c r="I21" s="849"/>
      <c r="J21" s="849"/>
      <c r="K21" s="849"/>
      <c r="L21" s="849"/>
      <c r="M21" s="849"/>
      <c r="N21" s="849"/>
      <c r="O21" s="849"/>
      <c r="P21" s="849"/>
      <c r="Q21" s="849"/>
      <c r="R21" s="849"/>
      <c r="S21" s="849"/>
      <c r="T21" s="849"/>
      <c r="U21" s="849"/>
      <c r="V21" s="849"/>
      <c r="W21" s="849"/>
      <c r="X21" s="849"/>
    </row>
    <row r="22" customFormat="false" ht="30.75" hidden="false" customHeight="true" outlineLevel="0" collapsed="false">
      <c r="A22" s="849"/>
      <c r="B22" s="1008"/>
      <c r="C22" s="989"/>
      <c r="D22" s="989"/>
      <c r="E22" s="989"/>
      <c r="F22" s="989"/>
      <c r="G22" s="989"/>
      <c r="H22" s="990"/>
      <c r="I22" s="849"/>
      <c r="J22" s="849"/>
      <c r="K22" s="849"/>
      <c r="L22" s="849"/>
      <c r="M22" s="849"/>
      <c r="N22" s="849"/>
      <c r="O22" s="849"/>
      <c r="P22" s="849"/>
      <c r="Q22" s="849"/>
      <c r="R22" s="849"/>
      <c r="S22" s="849"/>
      <c r="T22" s="849"/>
      <c r="U22" s="849"/>
      <c r="V22" s="849"/>
      <c r="W22" s="849"/>
      <c r="X22" s="849"/>
    </row>
    <row r="23" customFormat="false" ht="30.75" hidden="false" customHeight="true" outlineLevel="0" collapsed="false">
      <c r="A23" s="849"/>
      <c r="B23" s="1004"/>
      <c r="C23" s="995"/>
      <c r="D23" s="995"/>
      <c r="E23" s="995"/>
      <c r="F23" s="995"/>
      <c r="G23" s="995"/>
      <c r="H23" s="996"/>
      <c r="I23" s="849"/>
      <c r="J23" s="849"/>
      <c r="K23" s="849"/>
      <c r="L23" s="849"/>
      <c r="M23" s="849"/>
      <c r="N23" s="849"/>
      <c r="O23" s="849"/>
      <c r="P23" s="849"/>
      <c r="Q23" s="849"/>
      <c r="R23" s="849"/>
      <c r="S23" s="849"/>
      <c r="T23" s="849"/>
      <c r="U23" s="849"/>
      <c r="V23" s="849"/>
      <c r="W23" s="849"/>
      <c r="X23" s="849"/>
    </row>
    <row r="24" customFormat="false" ht="30.75" hidden="false" customHeight="true" outlineLevel="0" collapsed="false">
      <c r="A24" s="849"/>
      <c r="B24" s="981" t="n">
        <v>21</v>
      </c>
      <c r="C24" s="981" t="n">
        <v>22</v>
      </c>
      <c r="D24" s="981" t="n">
        <v>23</v>
      </c>
      <c r="E24" s="981" t="n">
        <v>24</v>
      </c>
      <c r="F24" s="981" t="n">
        <v>25</v>
      </c>
      <c r="G24" s="981" t="n">
        <v>26</v>
      </c>
      <c r="H24" s="998" t="n">
        <v>27</v>
      </c>
      <c r="I24" s="849"/>
      <c r="J24" s="849"/>
      <c r="K24" s="849"/>
      <c r="L24" s="849"/>
      <c r="M24" s="849"/>
      <c r="N24" s="849"/>
      <c r="O24" s="849"/>
      <c r="P24" s="849"/>
      <c r="Q24" s="849"/>
      <c r="R24" s="849"/>
      <c r="S24" s="849"/>
      <c r="T24" s="849"/>
      <c r="U24" s="849"/>
      <c r="V24" s="849"/>
      <c r="W24" s="849"/>
      <c r="X24" s="849"/>
    </row>
    <row r="25" customFormat="false" ht="30.75" hidden="false" customHeight="true" outlineLevel="0" collapsed="false">
      <c r="A25" s="849"/>
      <c r="B25" s="1009"/>
      <c r="C25" s="1009"/>
      <c r="D25" s="1009"/>
      <c r="E25" s="1010" t="s">
        <v>40</v>
      </c>
      <c r="F25" s="1010" t="s">
        <v>209</v>
      </c>
      <c r="G25" s="1010" t="s">
        <v>79</v>
      </c>
      <c r="H25" s="999" t="s">
        <v>359</v>
      </c>
      <c r="I25" s="849"/>
      <c r="J25" s="849"/>
      <c r="K25" s="849"/>
      <c r="L25" s="849"/>
      <c r="M25" s="849"/>
      <c r="N25" s="849"/>
      <c r="O25" s="849"/>
      <c r="P25" s="849"/>
      <c r="Q25" s="849"/>
      <c r="R25" s="849"/>
      <c r="S25" s="849"/>
      <c r="T25" s="849"/>
      <c r="U25" s="849"/>
      <c r="V25" s="849"/>
      <c r="W25" s="849"/>
      <c r="X25" s="849"/>
    </row>
    <row r="26" customFormat="false" ht="30.75" hidden="false" customHeight="true" outlineLevel="0" collapsed="false">
      <c r="A26" s="849"/>
      <c r="B26" s="986" t="n">
        <v>0.99</v>
      </c>
      <c r="C26" s="986" t="n">
        <v>0.98</v>
      </c>
      <c r="D26" s="986" t="n">
        <v>0.94</v>
      </c>
      <c r="E26" s="986" t="n">
        <v>0.87</v>
      </c>
      <c r="F26" s="986" t="n">
        <v>0.79</v>
      </c>
      <c r="G26" s="986" t="n">
        <v>0.64</v>
      </c>
      <c r="H26" s="1000" t="n">
        <v>0.56</v>
      </c>
      <c r="I26" s="849"/>
      <c r="J26" s="849"/>
      <c r="K26" s="849"/>
      <c r="L26" s="849"/>
      <c r="M26" s="849"/>
      <c r="N26" s="849"/>
      <c r="O26" s="849"/>
      <c r="P26" s="849"/>
      <c r="Q26" s="849"/>
      <c r="R26" s="849"/>
      <c r="S26" s="849"/>
      <c r="T26" s="849"/>
      <c r="U26" s="849"/>
      <c r="V26" s="849"/>
      <c r="W26" s="849"/>
      <c r="X26" s="849"/>
    </row>
    <row r="27" customFormat="false" ht="30.75" hidden="false" customHeight="true" outlineLevel="0" collapsed="false">
      <c r="A27" s="849"/>
      <c r="B27" s="989"/>
      <c r="C27" s="988"/>
      <c r="D27" s="989"/>
      <c r="E27" s="988" t="s">
        <v>352</v>
      </c>
      <c r="F27" s="988" t="s">
        <v>62</v>
      </c>
      <c r="G27" s="988" t="s">
        <v>352</v>
      </c>
      <c r="H27" s="1001" t="s">
        <v>62</v>
      </c>
      <c r="I27" s="849"/>
      <c r="J27" s="849"/>
      <c r="K27" s="849"/>
      <c r="L27" s="849"/>
      <c r="M27" s="849"/>
      <c r="N27" s="849"/>
      <c r="O27" s="849"/>
      <c r="P27" s="849"/>
      <c r="Q27" s="849"/>
      <c r="R27" s="849"/>
      <c r="S27" s="849"/>
      <c r="T27" s="849"/>
      <c r="U27" s="849"/>
      <c r="V27" s="849"/>
      <c r="W27" s="849"/>
      <c r="X27" s="849"/>
    </row>
    <row r="28" customFormat="false" ht="30.75" hidden="false" customHeight="true" outlineLevel="0" collapsed="false">
      <c r="A28" s="849"/>
      <c r="B28" s="989"/>
      <c r="C28" s="989"/>
      <c r="D28" s="989"/>
      <c r="E28" s="989" t="s">
        <v>514</v>
      </c>
      <c r="F28" s="989" t="s">
        <v>514</v>
      </c>
      <c r="G28" s="989" t="s">
        <v>514</v>
      </c>
      <c r="H28" s="989" t="s">
        <v>514</v>
      </c>
      <c r="I28" s="849"/>
      <c r="J28" s="849"/>
      <c r="K28" s="849"/>
      <c r="L28" s="849"/>
      <c r="M28" s="849"/>
      <c r="N28" s="849"/>
      <c r="O28" s="849"/>
      <c r="P28" s="849"/>
      <c r="Q28" s="849"/>
      <c r="R28" s="849"/>
      <c r="S28" s="849"/>
      <c r="T28" s="849"/>
      <c r="U28" s="849"/>
      <c r="V28" s="849"/>
      <c r="W28" s="849"/>
      <c r="X28" s="849"/>
    </row>
    <row r="29" customFormat="false" ht="30.75" hidden="false" customHeight="true" outlineLevel="0" collapsed="false">
      <c r="A29" s="849"/>
      <c r="B29" s="994"/>
      <c r="C29" s="989"/>
      <c r="D29" s="989"/>
      <c r="E29" s="989"/>
      <c r="F29" s="989"/>
      <c r="G29" s="989"/>
      <c r="H29" s="990"/>
      <c r="I29" s="849"/>
      <c r="J29" s="849"/>
      <c r="K29" s="849"/>
      <c r="L29" s="849"/>
      <c r="M29" s="849"/>
      <c r="N29" s="849"/>
      <c r="O29" s="849"/>
      <c r="P29" s="849"/>
      <c r="Q29" s="849"/>
      <c r="R29" s="849"/>
      <c r="S29" s="849"/>
      <c r="T29" s="849"/>
      <c r="U29" s="849"/>
      <c r="V29" s="849"/>
      <c r="W29" s="849"/>
      <c r="X29" s="849"/>
    </row>
    <row r="30" customFormat="false" ht="30.75" hidden="false" customHeight="true" outlineLevel="0" collapsed="false">
      <c r="A30" s="849"/>
      <c r="B30" s="995"/>
      <c r="C30" s="995"/>
      <c r="D30" s="995"/>
      <c r="E30" s="995"/>
      <c r="F30" s="995"/>
      <c r="G30" s="995"/>
      <c r="H30" s="996"/>
      <c r="I30" s="849"/>
      <c r="J30" s="849"/>
      <c r="K30" s="849"/>
      <c r="L30" s="849"/>
      <c r="M30" s="849"/>
      <c r="N30" s="849"/>
      <c r="O30" s="849"/>
      <c r="P30" s="849"/>
      <c r="Q30" s="849"/>
      <c r="R30" s="849"/>
      <c r="S30" s="849"/>
      <c r="T30" s="849"/>
      <c r="U30" s="849"/>
      <c r="V30" s="849"/>
      <c r="W30" s="849"/>
      <c r="X30" s="849"/>
    </row>
    <row r="31" customFormat="false" ht="30.75" hidden="false" customHeight="true" outlineLevel="0" collapsed="false">
      <c r="A31" s="849"/>
      <c r="B31" s="981" t="n">
        <v>28</v>
      </c>
      <c r="C31" s="981" t="n">
        <v>29</v>
      </c>
      <c r="D31" s="981" t="n">
        <v>30</v>
      </c>
      <c r="E31" s="981" t="n">
        <v>31</v>
      </c>
      <c r="F31" s="981"/>
      <c r="G31" s="981"/>
      <c r="H31" s="998"/>
      <c r="I31" s="849"/>
      <c r="J31" s="849"/>
      <c r="K31" s="849"/>
      <c r="L31" s="849"/>
      <c r="M31" s="849"/>
      <c r="N31" s="849"/>
      <c r="O31" s="849"/>
      <c r="P31" s="849"/>
      <c r="Q31" s="849"/>
      <c r="R31" s="849"/>
      <c r="S31" s="849"/>
      <c r="T31" s="849"/>
      <c r="U31" s="849"/>
      <c r="V31" s="849"/>
      <c r="W31" s="849"/>
      <c r="X31" s="849"/>
    </row>
    <row r="32" customFormat="false" ht="30.75" hidden="false" customHeight="true" outlineLevel="0" collapsed="false">
      <c r="A32" s="849"/>
      <c r="B32" s="983" t="s">
        <v>62</v>
      </c>
      <c r="C32" s="983" t="s">
        <v>352</v>
      </c>
      <c r="D32" s="983" t="s">
        <v>209</v>
      </c>
      <c r="E32" s="983" t="s">
        <v>506</v>
      </c>
      <c r="F32" s="983"/>
      <c r="G32" s="983"/>
      <c r="H32" s="999"/>
      <c r="I32" s="849"/>
      <c r="J32" s="849"/>
      <c r="K32" s="849"/>
      <c r="L32" s="849"/>
      <c r="M32" s="849"/>
      <c r="N32" s="849"/>
      <c r="O32" s="849"/>
      <c r="P32" s="849"/>
      <c r="Q32" s="849"/>
      <c r="R32" s="849"/>
      <c r="S32" s="849"/>
      <c r="T32" s="849"/>
      <c r="U32" s="849"/>
      <c r="V32" s="849"/>
      <c r="W32" s="849"/>
      <c r="X32" s="849"/>
    </row>
    <row r="33" customFormat="false" ht="30.75" hidden="false" customHeight="true" outlineLevel="0" collapsed="false">
      <c r="A33" s="849"/>
      <c r="B33" s="986" t="n">
        <v>0.45</v>
      </c>
      <c r="C33" s="986" t="n">
        <v>0.33</v>
      </c>
      <c r="D33" s="986" t="n">
        <v>0.23</v>
      </c>
      <c r="E33" s="986" t="n">
        <v>0.14</v>
      </c>
      <c r="F33" s="986"/>
      <c r="G33" s="986"/>
      <c r="H33" s="1000"/>
      <c r="I33" s="849"/>
      <c r="J33" s="849"/>
      <c r="K33" s="849"/>
      <c r="L33" s="849"/>
      <c r="M33" s="849"/>
      <c r="N33" s="849"/>
      <c r="O33" s="849"/>
      <c r="P33" s="849"/>
      <c r="Q33" s="849"/>
      <c r="R33" s="849"/>
      <c r="S33" s="849"/>
      <c r="T33" s="849"/>
      <c r="U33" s="849"/>
      <c r="V33" s="849"/>
      <c r="W33" s="849"/>
      <c r="X33" s="849"/>
    </row>
    <row r="34" customFormat="false" ht="30.75" hidden="false" customHeight="true" outlineLevel="0" collapsed="false">
      <c r="A34" s="849"/>
      <c r="B34" s="988"/>
      <c r="C34" s="988" t="s">
        <v>180</v>
      </c>
      <c r="D34" s="988" t="s">
        <v>62</v>
      </c>
      <c r="E34" s="988" t="s">
        <v>352</v>
      </c>
      <c r="F34" s="988"/>
      <c r="G34" s="988"/>
      <c r="H34" s="1001"/>
      <c r="I34" s="849"/>
      <c r="J34" s="849"/>
      <c r="K34" s="849"/>
      <c r="L34" s="849"/>
      <c r="M34" s="849"/>
      <c r="N34" s="849"/>
      <c r="O34" s="849"/>
      <c r="P34" s="849"/>
      <c r="Q34" s="849"/>
      <c r="R34" s="849"/>
      <c r="S34" s="849"/>
      <c r="T34" s="849"/>
      <c r="U34" s="849"/>
      <c r="V34" s="849"/>
      <c r="W34" s="849"/>
      <c r="X34" s="849"/>
    </row>
    <row r="35" customFormat="false" ht="30.75" hidden="false" customHeight="true" outlineLevel="0" collapsed="false">
      <c r="A35" s="849"/>
      <c r="B35" s="994" t="s">
        <v>515</v>
      </c>
      <c r="C35" s="994"/>
      <c r="D35" s="994"/>
      <c r="E35" s="994" t="s">
        <v>516</v>
      </c>
      <c r="F35" s="994"/>
      <c r="G35" s="994"/>
      <c r="H35" s="1011"/>
      <c r="I35" s="849"/>
      <c r="J35" s="849"/>
      <c r="K35" s="849"/>
      <c r="L35" s="849"/>
      <c r="M35" s="849"/>
      <c r="N35" s="849"/>
      <c r="O35" s="849"/>
      <c r="P35" s="849"/>
      <c r="Q35" s="849"/>
      <c r="R35" s="849"/>
      <c r="S35" s="849"/>
      <c r="T35" s="849"/>
      <c r="U35" s="849"/>
      <c r="V35" s="849"/>
      <c r="W35" s="849"/>
      <c r="X35" s="849"/>
    </row>
    <row r="36" customFormat="false" ht="30.75" hidden="false" customHeight="true" outlineLevel="0" collapsed="false">
      <c r="A36" s="849"/>
      <c r="B36" s="994" t="s">
        <v>517</v>
      </c>
      <c r="C36" s="994"/>
      <c r="D36" s="1012"/>
      <c r="E36" s="1012" t="n">
        <v>0</v>
      </c>
      <c r="F36" s="1012"/>
      <c r="G36" s="1012"/>
      <c r="H36" s="1013"/>
      <c r="I36" s="849"/>
      <c r="J36" s="849"/>
      <c r="K36" s="849"/>
      <c r="L36" s="849"/>
      <c r="M36" s="849"/>
      <c r="N36" s="849"/>
      <c r="O36" s="849"/>
      <c r="P36" s="849"/>
      <c r="Q36" s="849"/>
      <c r="R36" s="849"/>
      <c r="S36" s="849"/>
      <c r="T36" s="849"/>
      <c r="U36" s="849"/>
      <c r="V36" s="849"/>
      <c r="W36" s="849"/>
      <c r="X36" s="849"/>
    </row>
    <row r="37" customFormat="false" ht="30.75" hidden="false" customHeight="true" outlineLevel="0" collapsed="false">
      <c r="A37" s="849"/>
      <c r="B37" s="994"/>
      <c r="C37" s="994"/>
      <c r="D37" s="1014"/>
      <c r="E37" s="1014" t="s">
        <v>518</v>
      </c>
      <c r="F37" s="1014"/>
      <c r="G37" s="1014"/>
      <c r="H37" s="1015"/>
      <c r="I37" s="849"/>
      <c r="J37" s="849"/>
      <c r="K37" s="849"/>
      <c r="L37" s="849"/>
      <c r="M37" s="849"/>
      <c r="N37" s="849"/>
      <c r="O37" s="849"/>
      <c r="P37" s="849"/>
      <c r="Q37" s="849"/>
      <c r="R37" s="849"/>
      <c r="S37" s="849"/>
      <c r="T37" s="849"/>
      <c r="U37" s="849"/>
      <c r="V37" s="849"/>
      <c r="W37" s="849"/>
      <c r="X37" s="849"/>
    </row>
    <row r="38" customFormat="false" ht="30.75" hidden="false" customHeight="true" outlineLevel="0" collapsed="false">
      <c r="A38" s="849"/>
      <c r="B38" s="981"/>
      <c r="C38" s="998"/>
      <c r="D38" s="849"/>
      <c r="E38" s="849"/>
      <c r="F38" s="849"/>
      <c r="G38" s="849"/>
      <c r="H38" s="849"/>
      <c r="I38" s="849"/>
      <c r="J38" s="849"/>
      <c r="K38" s="849"/>
      <c r="L38" s="849"/>
      <c r="M38" s="849"/>
      <c r="N38" s="849"/>
      <c r="O38" s="849"/>
      <c r="P38" s="849"/>
      <c r="Q38" s="849"/>
      <c r="R38" s="849"/>
      <c r="S38" s="849"/>
    </row>
    <row r="39" customFormat="false" ht="30.75" hidden="false" customHeight="true" outlineLevel="0" collapsed="false">
      <c r="A39" s="849"/>
      <c r="B39" s="983"/>
      <c r="C39" s="999"/>
      <c r="D39" s="849"/>
      <c r="E39" s="849"/>
      <c r="F39" s="849"/>
      <c r="G39" s="849"/>
      <c r="H39" s="849"/>
      <c r="I39" s="849"/>
      <c r="J39" s="849"/>
      <c r="K39" s="849"/>
      <c r="L39" s="849"/>
      <c r="M39" s="849"/>
      <c r="N39" s="849"/>
      <c r="O39" s="849"/>
      <c r="P39" s="849"/>
      <c r="Q39" s="849"/>
      <c r="R39" s="849"/>
      <c r="S39" s="849"/>
      <c r="T39" s="849"/>
      <c r="U39" s="849"/>
      <c r="V39" s="849"/>
    </row>
    <row r="40" customFormat="false" ht="30.75" hidden="false" customHeight="true" outlineLevel="0" collapsed="false">
      <c r="A40" s="849"/>
      <c r="B40" s="986"/>
      <c r="C40" s="1000"/>
      <c r="D40" s="849"/>
      <c r="E40" s="849"/>
      <c r="F40" s="849"/>
      <c r="G40" s="849"/>
      <c r="H40" s="849"/>
      <c r="I40" s="849"/>
      <c r="J40" s="849"/>
      <c r="K40" s="849"/>
      <c r="L40" s="849"/>
      <c r="M40" s="849"/>
      <c r="N40" s="849"/>
      <c r="O40" s="849"/>
      <c r="P40" s="849"/>
      <c r="Q40" s="849"/>
      <c r="R40" s="849"/>
      <c r="S40" s="849"/>
      <c r="T40" s="849"/>
      <c r="U40" s="849"/>
      <c r="V40" s="849"/>
    </row>
    <row r="41" customFormat="false" ht="30.75" hidden="false" customHeight="true" outlineLevel="0" collapsed="false">
      <c r="A41" s="849"/>
      <c r="B41" s="988"/>
      <c r="C41" s="1001"/>
      <c r="D41" s="849"/>
      <c r="E41" s="849"/>
      <c r="F41" s="849"/>
      <c r="G41" s="849"/>
      <c r="H41" s="849"/>
      <c r="I41" s="849"/>
      <c r="J41" s="849"/>
      <c r="K41" s="849"/>
      <c r="L41" s="849"/>
      <c r="M41" s="849"/>
      <c r="N41" s="849"/>
      <c r="O41" s="849"/>
      <c r="P41" s="849"/>
      <c r="Q41" s="849"/>
      <c r="R41" s="849"/>
      <c r="S41" s="849"/>
      <c r="T41" s="849"/>
      <c r="U41" s="849"/>
      <c r="V41" s="849"/>
    </row>
    <row r="42" customFormat="false" ht="30.75" hidden="false" customHeight="true" outlineLevel="0" collapsed="false">
      <c r="A42" s="849"/>
      <c r="B42" s="994"/>
      <c r="C42" s="1011"/>
      <c r="D42" s="849"/>
      <c r="E42" s="849"/>
      <c r="F42" s="849"/>
      <c r="G42" s="849"/>
      <c r="H42" s="849"/>
      <c r="I42" s="849"/>
      <c r="J42" s="849"/>
      <c r="K42" s="849"/>
      <c r="L42" s="849"/>
      <c r="M42" s="849"/>
      <c r="N42" s="849"/>
      <c r="O42" s="849"/>
      <c r="P42" s="849"/>
      <c r="Q42" s="849"/>
      <c r="R42" s="849"/>
      <c r="S42" s="849"/>
      <c r="T42" s="849"/>
      <c r="U42" s="849"/>
      <c r="V42" s="849"/>
    </row>
    <row r="43" customFormat="false" ht="30.75" hidden="false" customHeight="true" outlineLevel="0" collapsed="false">
      <c r="A43" s="849"/>
      <c r="B43" s="1012"/>
      <c r="C43" s="1013"/>
      <c r="D43" s="849"/>
      <c r="E43" s="849"/>
      <c r="F43" s="849"/>
      <c r="G43" s="849"/>
      <c r="H43" s="849"/>
      <c r="I43" s="849"/>
      <c r="J43" s="849"/>
      <c r="K43" s="849"/>
      <c r="L43" s="849"/>
      <c r="M43" s="849"/>
      <c r="N43" s="849"/>
      <c r="O43" s="849"/>
      <c r="P43" s="849"/>
      <c r="Q43" s="849"/>
      <c r="R43" s="849"/>
      <c r="S43" s="849"/>
      <c r="T43" s="849"/>
      <c r="U43" s="849"/>
      <c r="V43" s="849"/>
    </row>
    <row r="44" customFormat="false" ht="30.75" hidden="false" customHeight="true" outlineLevel="0" collapsed="false">
      <c r="A44" s="849"/>
      <c r="B44" s="1014"/>
      <c r="C44" s="1015"/>
      <c r="D44" s="849"/>
      <c r="E44" s="849"/>
      <c r="F44" s="849"/>
      <c r="G44" s="849"/>
      <c r="H44" s="849"/>
      <c r="I44" s="849"/>
      <c r="J44" s="849"/>
      <c r="K44" s="849"/>
      <c r="L44" s="849"/>
      <c r="M44" s="849"/>
      <c r="N44" s="849"/>
      <c r="O44" s="849"/>
      <c r="P44" s="849"/>
      <c r="Q44" s="849"/>
      <c r="R44" s="849"/>
      <c r="S44" s="849"/>
      <c r="T44" s="849"/>
      <c r="U44" s="849"/>
      <c r="V44" s="849"/>
    </row>
    <row r="45" customFormat="false" ht="30.75" hidden="false" customHeight="true" outlineLevel="0" collapsed="false">
      <c r="A45" s="849"/>
      <c r="B45" s="849"/>
      <c r="C45" s="849"/>
      <c r="D45" s="849"/>
      <c r="E45" s="849"/>
      <c r="F45" s="849"/>
      <c r="G45" s="849"/>
      <c r="H45" s="849"/>
      <c r="I45" s="849"/>
      <c r="J45" s="849"/>
      <c r="K45" s="849"/>
      <c r="L45" s="849"/>
      <c r="M45" s="849"/>
      <c r="N45" s="849"/>
      <c r="O45" s="849"/>
      <c r="P45" s="849"/>
      <c r="Q45" s="849"/>
      <c r="R45" s="849"/>
      <c r="S45" s="849"/>
      <c r="T45" s="849"/>
      <c r="U45" s="849"/>
      <c r="V45" s="849"/>
      <c r="W45" s="849"/>
      <c r="X45" s="849"/>
      <c r="Y45" s="849"/>
      <c r="Z45" s="849"/>
      <c r="AA45" s="849"/>
    </row>
    <row r="46" customFormat="false" ht="30.75" hidden="false" customHeight="true" outlineLevel="0" collapsed="false">
      <c r="A46" s="849"/>
      <c r="B46" s="849"/>
      <c r="C46" s="849"/>
      <c r="D46" s="849"/>
      <c r="E46" s="849"/>
      <c r="F46" s="849"/>
      <c r="G46" s="849"/>
      <c r="H46" s="849"/>
      <c r="I46" s="849"/>
      <c r="J46" s="849"/>
      <c r="K46" s="849"/>
      <c r="L46" s="849"/>
      <c r="M46" s="849"/>
      <c r="N46" s="849"/>
      <c r="O46" s="849"/>
      <c r="P46" s="849"/>
      <c r="Q46" s="849"/>
      <c r="R46" s="849"/>
      <c r="S46" s="849"/>
      <c r="T46" s="849"/>
      <c r="U46" s="849"/>
      <c r="V46" s="849"/>
    </row>
    <row r="47" customFormat="false" ht="30.75" hidden="false" customHeight="true" outlineLevel="0" collapsed="false">
      <c r="A47" s="849"/>
      <c r="B47" s="849"/>
      <c r="C47" s="849"/>
      <c r="D47" s="849"/>
      <c r="E47" s="849"/>
      <c r="F47" s="849"/>
      <c r="G47" s="849"/>
      <c r="H47" s="849"/>
      <c r="I47" s="849"/>
      <c r="J47" s="849"/>
      <c r="K47" s="849"/>
      <c r="L47" s="849"/>
      <c r="M47" s="849"/>
      <c r="N47" s="849"/>
      <c r="O47" s="849"/>
      <c r="P47" s="849"/>
      <c r="Q47" s="849"/>
      <c r="R47" s="849"/>
      <c r="S47" s="849"/>
      <c r="T47" s="849"/>
      <c r="U47" s="849"/>
      <c r="V47" s="849"/>
    </row>
    <row r="48" customFormat="false" ht="30.75" hidden="false" customHeight="true" outlineLevel="0" collapsed="false">
      <c r="A48" s="849"/>
      <c r="B48" s="849"/>
      <c r="C48" s="849"/>
      <c r="D48" s="849"/>
      <c r="E48" s="849"/>
      <c r="F48" s="849"/>
      <c r="G48" s="849"/>
      <c r="H48" s="849"/>
      <c r="I48" s="849"/>
      <c r="J48" s="849"/>
      <c r="K48" s="849"/>
      <c r="L48" s="849"/>
      <c r="M48" s="849"/>
      <c r="N48" s="849"/>
      <c r="O48" s="849"/>
      <c r="P48" s="849"/>
      <c r="Q48" s="849"/>
      <c r="R48" s="849"/>
      <c r="S48" s="849"/>
      <c r="T48" s="849"/>
      <c r="U48" s="849"/>
      <c r="V48" s="849"/>
    </row>
    <row r="49" customFormat="false" ht="30.75" hidden="false" customHeight="true" outlineLevel="0" collapsed="false">
      <c r="A49" s="849"/>
      <c r="B49" s="849"/>
      <c r="C49" s="849"/>
      <c r="D49" s="849"/>
      <c r="E49" s="849"/>
      <c r="F49" s="849"/>
      <c r="G49" s="849"/>
      <c r="H49" s="849"/>
      <c r="I49" s="849"/>
      <c r="J49" s="849"/>
      <c r="K49" s="849"/>
      <c r="L49" s="849"/>
      <c r="M49" s="849"/>
      <c r="N49" s="849"/>
      <c r="O49" s="849"/>
      <c r="P49" s="849"/>
      <c r="Q49" s="849"/>
      <c r="R49" s="849"/>
      <c r="S49" s="849"/>
      <c r="T49" s="849"/>
      <c r="U49" s="849"/>
      <c r="V49" s="849"/>
    </row>
    <row r="50" customFormat="false" ht="30.75" hidden="false" customHeight="true" outlineLevel="0" collapsed="false">
      <c r="A50" s="849"/>
      <c r="B50" s="849"/>
      <c r="C50" s="849"/>
      <c r="D50" s="849"/>
      <c r="E50" s="849"/>
      <c r="F50" s="849"/>
      <c r="G50" s="849"/>
      <c r="H50" s="849"/>
      <c r="I50" s="849"/>
      <c r="J50" s="849"/>
      <c r="K50" s="849"/>
      <c r="L50" s="849"/>
      <c r="M50" s="849"/>
      <c r="N50" s="849"/>
      <c r="O50" s="849"/>
      <c r="P50" s="849"/>
      <c r="Q50" s="849"/>
      <c r="R50" s="849"/>
      <c r="S50" s="849"/>
      <c r="T50" s="849"/>
      <c r="U50" s="849"/>
      <c r="V50" s="849"/>
    </row>
    <row r="51" customFormat="false" ht="30.75" hidden="false" customHeight="true" outlineLevel="0" collapsed="false">
      <c r="A51" s="849"/>
      <c r="B51" s="849"/>
      <c r="C51" s="849"/>
      <c r="D51" s="849"/>
      <c r="E51" s="849"/>
      <c r="F51" s="849"/>
      <c r="G51" s="849"/>
      <c r="H51" s="849"/>
      <c r="I51" s="849"/>
      <c r="J51" s="849"/>
      <c r="K51" s="849"/>
      <c r="L51" s="849"/>
      <c r="M51" s="849"/>
      <c r="N51" s="849"/>
      <c r="O51" s="849"/>
      <c r="P51" s="849"/>
      <c r="Q51" s="849"/>
      <c r="R51" s="849"/>
      <c r="S51" s="849"/>
      <c r="T51" s="849"/>
      <c r="U51" s="849"/>
      <c r="V51" s="849"/>
    </row>
    <row r="52" customFormat="false" ht="30.75" hidden="false" customHeight="true" outlineLevel="0" collapsed="false">
      <c r="A52" s="849"/>
      <c r="B52" s="849"/>
      <c r="C52" s="849"/>
      <c r="D52" s="849"/>
      <c r="E52" s="849"/>
      <c r="F52" s="849"/>
      <c r="G52" s="849"/>
      <c r="H52" s="849"/>
      <c r="I52" s="849"/>
      <c r="J52" s="849"/>
      <c r="K52" s="849"/>
      <c r="L52" s="849"/>
      <c r="M52" s="849"/>
      <c r="N52" s="849"/>
      <c r="O52" s="849"/>
      <c r="P52" s="849"/>
      <c r="Q52" s="849"/>
      <c r="R52" s="849"/>
      <c r="S52" s="849"/>
      <c r="T52" s="849"/>
      <c r="U52" s="849"/>
      <c r="V52" s="849"/>
    </row>
    <row r="53" customFormat="false" ht="30.75" hidden="false" customHeight="true" outlineLevel="0" collapsed="false">
      <c r="A53" s="849"/>
      <c r="B53" s="849"/>
      <c r="C53" s="849"/>
      <c r="D53" s="849"/>
      <c r="E53" s="849"/>
      <c r="F53" s="849"/>
      <c r="G53" s="849"/>
      <c r="H53" s="849"/>
      <c r="I53" s="849"/>
      <c r="J53" s="849"/>
      <c r="K53" s="849"/>
      <c r="L53" s="849"/>
      <c r="M53" s="849"/>
      <c r="N53" s="849"/>
      <c r="O53" s="849"/>
      <c r="P53" s="849"/>
      <c r="Q53" s="849"/>
      <c r="R53" s="849"/>
      <c r="S53" s="849"/>
      <c r="T53" s="849"/>
      <c r="U53" s="849"/>
      <c r="V53" s="849"/>
    </row>
    <row r="54" customFormat="false" ht="30.75" hidden="false" customHeight="true" outlineLevel="0" collapsed="false">
      <c r="A54" s="849"/>
      <c r="B54" s="849"/>
      <c r="C54" s="849"/>
      <c r="D54" s="849"/>
      <c r="E54" s="849"/>
      <c r="F54" s="849"/>
      <c r="G54" s="849"/>
      <c r="H54" s="849"/>
      <c r="I54" s="849"/>
      <c r="J54" s="849"/>
      <c r="K54" s="849"/>
      <c r="L54" s="849"/>
      <c r="M54" s="849"/>
      <c r="N54" s="849"/>
      <c r="O54" s="849"/>
      <c r="P54" s="849"/>
      <c r="Q54" s="849"/>
      <c r="R54" s="849"/>
      <c r="S54" s="849"/>
      <c r="T54" s="849"/>
      <c r="U54" s="849"/>
      <c r="V54" s="849"/>
    </row>
    <row r="55" customFormat="false" ht="30.75" hidden="false" customHeight="true" outlineLevel="0" collapsed="false">
      <c r="A55" s="849"/>
      <c r="B55" s="849"/>
      <c r="C55" s="849"/>
      <c r="D55" s="849"/>
      <c r="E55" s="849"/>
      <c r="F55" s="849"/>
      <c r="G55" s="849"/>
      <c r="H55" s="849"/>
      <c r="I55" s="849"/>
      <c r="J55" s="849"/>
      <c r="K55" s="849"/>
      <c r="L55" s="849"/>
      <c r="M55" s="849"/>
      <c r="N55" s="849"/>
      <c r="O55" s="849"/>
      <c r="P55" s="849"/>
      <c r="Q55" s="849"/>
      <c r="R55" s="849"/>
      <c r="S55" s="849"/>
      <c r="T55" s="849"/>
      <c r="U55" s="849"/>
      <c r="V55" s="849"/>
    </row>
    <row r="56" customFormat="false" ht="30.75" hidden="false" customHeight="true" outlineLevel="0" collapsed="false">
      <c r="A56" s="849"/>
      <c r="B56" s="849"/>
      <c r="C56" s="849"/>
      <c r="D56" s="849"/>
      <c r="E56" s="849"/>
      <c r="F56" s="849"/>
      <c r="G56" s="849"/>
      <c r="H56" s="849"/>
      <c r="I56" s="849"/>
      <c r="J56" s="849"/>
      <c r="K56" s="849"/>
      <c r="L56" s="849"/>
      <c r="M56" s="849"/>
      <c r="N56" s="849"/>
      <c r="O56" s="849"/>
      <c r="P56" s="849"/>
      <c r="Q56" s="849"/>
      <c r="R56" s="849"/>
      <c r="S56" s="849"/>
      <c r="T56" s="849"/>
      <c r="U56" s="849"/>
      <c r="V56" s="849"/>
    </row>
    <row r="57" customFormat="false" ht="30.75" hidden="false" customHeight="true" outlineLevel="0" collapsed="false">
      <c r="A57" s="849"/>
      <c r="B57" s="849"/>
      <c r="C57" s="849"/>
      <c r="D57" s="849"/>
      <c r="E57" s="849"/>
      <c r="F57" s="849"/>
      <c r="G57" s="849"/>
      <c r="H57" s="849"/>
      <c r="I57" s="849"/>
      <c r="J57" s="849"/>
      <c r="K57" s="849"/>
      <c r="L57" s="849"/>
      <c r="M57" s="849"/>
      <c r="N57" s="849"/>
      <c r="O57" s="849"/>
      <c r="P57" s="849"/>
      <c r="Q57" s="849"/>
      <c r="R57" s="849"/>
      <c r="S57" s="849"/>
      <c r="T57" s="849"/>
      <c r="U57" s="849"/>
      <c r="V57" s="849"/>
    </row>
    <row r="58" customFormat="false" ht="30.75" hidden="false" customHeight="true" outlineLevel="0" collapsed="false">
      <c r="A58" s="849"/>
      <c r="B58" s="849"/>
      <c r="C58" s="849"/>
      <c r="D58" s="849"/>
      <c r="E58" s="849"/>
      <c r="F58" s="849"/>
      <c r="G58" s="849"/>
      <c r="H58" s="849"/>
      <c r="I58" s="849"/>
      <c r="J58" s="849"/>
      <c r="K58" s="849"/>
      <c r="L58" s="849"/>
      <c r="M58" s="849"/>
      <c r="N58" s="849"/>
      <c r="O58" s="849"/>
      <c r="P58" s="849"/>
      <c r="Q58" s="849"/>
      <c r="R58" s="849"/>
      <c r="S58" s="849"/>
      <c r="T58" s="849"/>
      <c r="U58" s="849"/>
    </row>
    <row r="59" customFormat="false" ht="30.75" hidden="false" customHeight="true" outlineLevel="0" collapsed="false">
      <c r="A59" s="849"/>
      <c r="B59" s="849"/>
      <c r="C59" s="849"/>
      <c r="D59" s="849"/>
      <c r="E59" s="849"/>
      <c r="F59" s="849"/>
      <c r="G59" s="849"/>
      <c r="H59" s="849"/>
      <c r="I59" s="849"/>
      <c r="J59" s="849"/>
      <c r="K59" s="849"/>
      <c r="L59" s="849"/>
      <c r="M59" s="849"/>
      <c r="N59" s="849"/>
      <c r="O59" s="849"/>
      <c r="P59" s="849"/>
      <c r="Q59" s="849"/>
      <c r="R59" s="849"/>
      <c r="S59" s="849"/>
      <c r="T59" s="849"/>
      <c r="U59" s="849"/>
    </row>
    <row r="60" customFormat="false" ht="30.75" hidden="false" customHeight="true" outlineLevel="0" collapsed="false">
      <c r="A60" s="849"/>
      <c r="B60" s="849"/>
      <c r="C60" s="849"/>
      <c r="D60" s="849"/>
      <c r="E60" s="849"/>
      <c r="F60" s="849"/>
      <c r="G60" s="849"/>
      <c r="H60" s="849"/>
      <c r="I60" s="849"/>
      <c r="J60" s="849"/>
      <c r="K60" s="849"/>
      <c r="L60" s="849"/>
      <c r="M60" s="849"/>
      <c r="N60" s="849"/>
      <c r="O60" s="849"/>
      <c r="P60" s="849"/>
      <c r="Q60" s="849"/>
      <c r="R60" s="849"/>
      <c r="S60" s="849"/>
      <c r="T60" s="849"/>
      <c r="U60" s="849"/>
    </row>
    <row r="61" customFormat="false" ht="30.75" hidden="false" customHeight="true" outlineLevel="0" collapsed="false">
      <c r="A61" s="849"/>
      <c r="B61" s="849"/>
      <c r="C61" s="849"/>
      <c r="D61" s="849"/>
      <c r="E61" s="849"/>
      <c r="F61" s="849"/>
      <c r="G61" s="849"/>
      <c r="H61" s="849"/>
      <c r="I61" s="849"/>
      <c r="J61" s="849"/>
      <c r="K61" s="849"/>
      <c r="L61" s="849"/>
      <c r="M61" s="849"/>
      <c r="N61" s="849"/>
      <c r="O61" s="849"/>
      <c r="P61" s="849"/>
      <c r="Q61" s="849"/>
      <c r="R61" s="849"/>
      <c r="S61" s="849"/>
      <c r="T61" s="849"/>
      <c r="U61" s="849"/>
    </row>
    <row r="62" customFormat="false" ht="30.75" hidden="false" customHeight="true" outlineLevel="0" collapsed="false">
      <c r="A62" s="849"/>
      <c r="B62" s="849"/>
      <c r="C62" s="849"/>
      <c r="D62" s="849"/>
      <c r="E62" s="849"/>
      <c r="F62" s="849"/>
      <c r="G62" s="849"/>
      <c r="H62" s="849"/>
      <c r="I62" s="849"/>
      <c r="J62" s="849"/>
      <c r="K62" s="849"/>
      <c r="L62" s="849"/>
      <c r="M62" s="849"/>
      <c r="N62" s="849"/>
      <c r="O62" s="849"/>
      <c r="P62" s="849"/>
      <c r="Q62" s="849"/>
      <c r="R62" s="849"/>
      <c r="S62" s="849"/>
      <c r="T62" s="849"/>
      <c r="U62" s="849"/>
    </row>
    <row r="63" customFormat="false" ht="30.75" hidden="false" customHeight="true" outlineLevel="0" collapsed="false">
      <c r="A63" s="849"/>
      <c r="B63" s="849"/>
      <c r="C63" s="849"/>
      <c r="D63" s="849"/>
      <c r="E63" s="849"/>
      <c r="F63" s="849"/>
      <c r="G63" s="849"/>
      <c r="H63" s="849"/>
      <c r="I63" s="849"/>
      <c r="J63" s="849"/>
      <c r="K63" s="849"/>
      <c r="L63" s="849"/>
      <c r="M63" s="849"/>
      <c r="N63" s="849"/>
      <c r="O63" s="849"/>
      <c r="P63" s="849"/>
      <c r="Q63" s="849"/>
      <c r="R63" s="849"/>
      <c r="S63" s="849"/>
      <c r="T63" s="849"/>
      <c r="U63" s="849"/>
    </row>
    <row r="64" customFormat="false" ht="30.75" hidden="false" customHeight="true" outlineLevel="0" collapsed="false">
      <c r="A64" s="849"/>
      <c r="B64" s="849"/>
      <c r="C64" s="849"/>
      <c r="D64" s="849"/>
      <c r="E64" s="849"/>
      <c r="F64" s="849"/>
      <c r="G64" s="849"/>
      <c r="H64" s="849"/>
      <c r="I64" s="849"/>
      <c r="J64" s="849"/>
      <c r="K64" s="849"/>
      <c r="L64" s="849"/>
      <c r="M64" s="849"/>
      <c r="N64" s="849"/>
      <c r="O64" s="849"/>
      <c r="P64" s="849"/>
      <c r="Q64" s="849"/>
      <c r="R64" s="849"/>
      <c r="S64" s="849"/>
      <c r="T64" s="849"/>
      <c r="U64" s="849"/>
    </row>
    <row r="65" customFormat="false" ht="30.75" hidden="false" customHeight="true" outlineLevel="0" collapsed="false">
      <c r="A65" s="849"/>
      <c r="B65" s="849"/>
      <c r="C65" s="849"/>
      <c r="D65" s="849"/>
      <c r="E65" s="849"/>
      <c r="F65" s="849"/>
      <c r="G65" s="849"/>
      <c r="H65" s="849"/>
      <c r="I65" s="849"/>
      <c r="J65" s="849"/>
      <c r="K65" s="849"/>
      <c r="L65" s="849"/>
      <c r="M65" s="849"/>
      <c r="N65" s="849"/>
      <c r="O65" s="849"/>
      <c r="P65" s="849"/>
      <c r="Q65" s="849"/>
      <c r="R65" s="849"/>
      <c r="S65" s="849"/>
      <c r="T65" s="849"/>
      <c r="U65" s="849"/>
    </row>
    <row r="66" customFormat="false" ht="30.75" hidden="false" customHeight="true" outlineLevel="0" collapsed="false">
      <c r="A66" s="849"/>
      <c r="B66" s="849"/>
      <c r="C66" s="849"/>
      <c r="D66" s="849"/>
      <c r="E66" s="849"/>
      <c r="F66" s="849"/>
      <c r="G66" s="849"/>
      <c r="H66" s="849"/>
      <c r="I66" s="849"/>
      <c r="J66" s="849"/>
      <c r="K66" s="849"/>
      <c r="L66" s="849"/>
      <c r="M66" s="849"/>
      <c r="N66" s="849"/>
      <c r="O66" s="849"/>
      <c r="P66" s="849"/>
      <c r="Q66" s="849"/>
      <c r="R66" s="849"/>
      <c r="S66" s="849"/>
      <c r="T66" s="849"/>
      <c r="U66" s="849"/>
    </row>
    <row r="67" customFormat="false" ht="30.75" hidden="false" customHeight="true" outlineLevel="0" collapsed="false">
      <c r="A67" s="849"/>
      <c r="B67" s="849"/>
      <c r="C67" s="849"/>
      <c r="D67" s="849"/>
      <c r="E67" s="849"/>
      <c r="F67" s="849"/>
      <c r="G67" s="849"/>
      <c r="H67" s="849"/>
      <c r="I67" s="849"/>
      <c r="J67" s="849"/>
      <c r="K67" s="849"/>
      <c r="L67" s="849"/>
      <c r="M67" s="849"/>
      <c r="N67" s="849"/>
      <c r="O67" s="849"/>
      <c r="P67" s="849"/>
      <c r="Q67" s="849"/>
      <c r="R67" s="849"/>
      <c r="S67" s="849"/>
      <c r="T67" s="849"/>
      <c r="U67" s="849"/>
    </row>
    <row r="68" customFormat="false" ht="30.75" hidden="false" customHeight="true" outlineLevel="0" collapsed="false">
      <c r="A68" s="849"/>
      <c r="B68" s="849"/>
      <c r="C68" s="849"/>
      <c r="D68" s="849"/>
      <c r="E68" s="849"/>
      <c r="F68" s="849"/>
      <c r="G68" s="849"/>
      <c r="H68" s="849"/>
      <c r="I68" s="849"/>
      <c r="J68" s="849"/>
      <c r="K68" s="849"/>
      <c r="L68" s="849"/>
      <c r="M68" s="849"/>
      <c r="N68" s="849"/>
      <c r="O68" s="849"/>
      <c r="P68" s="849"/>
      <c r="Q68" s="849"/>
      <c r="R68" s="849"/>
      <c r="S68" s="849"/>
      <c r="T68" s="849"/>
      <c r="U68" s="849"/>
    </row>
    <row r="69" customFormat="false" ht="30.75" hidden="false" customHeight="true" outlineLevel="0" collapsed="false">
      <c r="B69" s="849"/>
      <c r="C69" s="849"/>
      <c r="D69" s="849"/>
      <c r="E69" s="849"/>
      <c r="F69" s="849"/>
      <c r="G69" s="849"/>
      <c r="H69" s="849"/>
    </row>
    <row r="70" customFormat="false" ht="30.75" hidden="false" customHeight="true" outlineLevel="0" collapsed="false">
      <c r="B70" s="849"/>
      <c r="C70" s="849"/>
      <c r="D70" s="849"/>
      <c r="E70" s="849"/>
      <c r="F70" s="849"/>
      <c r="G70" s="849"/>
      <c r="H70" s="849"/>
    </row>
    <row r="71" customFormat="false" ht="30.75" hidden="false" customHeight="true" outlineLevel="0" collapsed="false">
      <c r="B71" s="849"/>
      <c r="C71" s="849"/>
      <c r="D71" s="849"/>
      <c r="E71" s="849"/>
      <c r="F71" s="849"/>
      <c r="G71" s="849"/>
      <c r="H71" s="849"/>
    </row>
    <row r="72" customFormat="false" ht="30.75" hidden="false" customHeight="true" outlineLevel="0" collapsed="false">
      <c r="B72" s="849"/>
      <c r="C72" s="849"/>
      <c r="D72" s="849"/>
      <c r="E72" s="849"/>
      <c r="F72" s="849"/>
      <c r="G72" s="849"/>
      <c r="H72" s="849"/>
    </row>
    <row r="73" customFormat="false" ht="30.75" hidden="false" customHeight="true" outlineLevel="0" collapsed="false">
      <c r="B73" s="849"/>
      <c r="C73" s="849"/>
      <c r="D73" s="849"/>
      <c r="E73" s="849"/>
      <c r="F73" s="849"/>
      <c r="G73" s="849"/>
      <c r="H73" s="849"/>
    </row>
    <row r="74" customFormat="false" ht="30.75" hidden="false" customHeight="true" outlineLevel="0" collapsed="false">
      <c r="B74" s="849"/>
      <c r="C74" s="849"/>
      <c r="D74" s="849"/>
      <c r="E74" s="849"/>
      <c r="F74" s="849"/>
      <c r="G74" s="849"/>
      <c r="H74" s="84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4"/>
  <sheetViews>
    <sheetView showFormulas="false" showGridLines="true" showRowColHeaders="true" showZeros="true" rightToLeft="false" tabSelected="false" showOutlineSymbols="true" defaultGridColor="true" view="normal" topLeftCell="H14" colorId="64" zoomScale="140" zoomScaleNormal="140" zoomScalePageLayoutView="100" workbookViewId="0">
      <selection pane="topLeft" activeCell="H14" activeCellId="0" sqref="H14"/>
    </sheetView>
  </sheetViews>
  <sheetFormatPr defaultColWidth="19.859375" defaultRowHeight="30.75" zeroHeight="false" outlineLevelRow="0" outlineLevelCol="0"/>
  <cols>
    <col collapsed="false" customWidth="false" hidden="false" outlineLevel="0" max="1" min="1" style="958" width="19.86"/>
    <col collapsed="false" customWidth="true" hidden="false" outlineLevel="0" max="4" min="2" style="958" width="16.43"/>
    <col collapsed="false" customWidth="true" hidden="false" outlineLevel="0" max="5" min="5" style="958" width="18"/>
    <col collapsed="false" customWidth="true" hidden="false" outlineLevel="0" max="6" min="6" style="958" width="22"/>
    <col collapsed="false" customWidth="true" hidden="false" outlineLevel="0" max="7" min="7" style="958" width="28.29"/>
    <col collapsed="false" customWidth="true" hidden="false" outlineLevel="0" max="8" min="8" style="958" width="16.72"/>
    <col collapsed="false" customWidth="true" hidden="false" outlineLevel="0" max="9" min="9" style="958" width="20.28"/>
    <col collapsed="false" customWidth="false" hidden="false" outlineLevel="0" max="16384" min="10" style="958" width="19.86"/>
  </cols>
  <sheetData>
    <row r="1" customFormat="false" ht="30.75" hidden="false" customHeight="true" outlineLevel="0" collapsed="false">
      <c r="A1" s="849"/>
      <c r="B1" s="977" t="s">
        <v>132</v>
      </c>
      <c r="C1" s="849"/>
      <c r="D1" s="849"/>
      <c r="E1" s="849"/>
      <c r="F1" s="849"/>
      <c r="G1" s="849"/>
      <c r="H1" s="849"/>
      <c r="I1" s="849"/>
      <c r="J1" s="849"/>
      <c r="K1" s="849"/>
      <c r="L1" s="849"/>
      <c r="M1" s="849"/>
      <c r="N1" s="849"/>
      <c r="O1" s="849"/>
      <c r="P1" s="849"/>
      <c r="Q1" s="849"/>
      <c r="R1" s="849"/>
      <c r="S1" s="849"/>
      <c r="T1" s="849"/>
      <c r="U1" s="849"/>
      <c r="V1" s="849"/>
      <c r="W1" s="849"/>
      <c r="X1" s="849"/>
      <c r="Y1" s="849"/>
      <c r="Z1" s="849"/>
      <c r="AA1" s="849"/>
      <c r="AB1" s="849"/>
      <c r="AC1" s="849"/>
      <c r="AD1" s="849"/>
      <c r="AE1" s="849"/>
      <c r="AF1" s="849"/>
      <c r="AG1" s="849"/>
    </row>
    <row r="2" customFormat="false" ht="30.75" hidden="false" customHeight="true" outlineLevel="0" collapsed="false">
      <c r="A2" s="849"/>
      <c r="B2" s="978" t="s">
        <v>6</v>
      </c>
      <c r="C2" s="979" t="s">
        <v>7</v>
      </c>
      <c r="D2" s="979" t="s">
        <v>8</v>
      </c>
      <c r="E2" s="979" t="s">
        <v>9</v>
      </c>
      <c r="F2" s="979" t="s">
        <v>8</v>
      </c>
      <c r="G2" s="979" t="s">
        <v>11</v>
      </c>
      <c r="H2" s="980" t="s">
        <v>6</v>
      </c>
      <c r="I2" s="849"/>
      <c r="J2" s="849"/>
      <c r="K2" s="849"/>
      <c r="L2" s="849"/>
      <c r="M2" s="849"/>
      <c r="N2" s="849"/>
      <c r="O2" s="849"/>
      <c r="P2" s="849"/>
      <c r="Q2" s="849"/>
      <c r="R2" s="849"/>
      <c r="S2" s="849"/>
      <c r="T2" s="849"/>
      <c r="U2" s="849"/>
      <c r="V2" s="849"/>
      <c r="W2" s="849"/>
      <c r="X2" s="849"/>
      <c r="Y2" s="849"/>
      <c r="Z2" s="849"/>
      <c r="AA2" s="849"/>
      <c r="AB2" s="849"/>
      <c r="AC2" s="849"/>
      <c r="AD2" s="849"/>
      <c r="AE2" s="849"/>
      <c r="AF2" s="849"/>
      <c r="AG2" s="849"/>
    </row>
    <row r="3" customFormat="false" ht="30.75" hidden="false" customHeight="true" outlineLevel="0" collapsed="false">
      <c r="A3" s="849"/>
      <c r="B3" s="981"/>
      <c r="C3" s="981"/>
      <c r="D3" s="981"/>
      <c r="E3" s="981"/>
      <c r="F3" s="981"/>
      <c r="G3" s="981"/>
      <c r="H3" s="981" t="n">
        <v>1</v>
      </c>
      <c r="I3" s="982" t="s">
        <v>14</v>
      </c>
      <c r="J3" s="849"/>
      <c r="K3" s="849"/>
      <c r="L3" s="849"/>
      <c r="M3" s="849"/>
      <c r="N3" s="849"/>
      <c r="O3" s="849"/>
      <c r="P3" s="849"/>
      <c r="Q3" s="849"/>
      <c r="R3" s="849"/>
      <c r="S3" s="849"/>
      <c r="T3" s="849"/>
      <c r="U3" s="849"/>
      <c r="V3" s="849"/>
      <c r="W3" s="849"/>
      <c r="X3" s="849"/>
      <c r="Y3" s="849"/>
      <c r="Z3" s="849"/>
      <c r="AA3" s="849"/>
      <c r="AB3" s="849"/>
      <c r="AC3" s="849"/>
      <c r="AD3" s="849"/>
      <c r="AE3" s="849"/>
      <c r="AF3" s="849"/>
      <c r="AG3" s="849"/>
    </row>
    <row r="4" customFormat="false" ht="30.75" hidden="false" customHeight="true" outlineLevel="0" collapsed="false">
      <c r="A4" s="849"/>
      <c r="B4" s="983"/>
      <c r="C4" s="983"/>
      <c r="D4" s="983"/>
      <c r="E4" s="983"/>
      <c r="F4" s="983"/>
      <c r="G4" s="983"/>
      <c r="H4" s="1016"/>
      <c r="I4" s="985" t="s">
        <v>16</v>
      </c>
      <c r="J4" s="849"/>
      <c r="K4" s="849"/>
      <c r="L4" s="849"/>
      <c r="M4" s="849"/>
      <c r="N4" s="849"/>
      <c r="O4" s="849"/>
      <c r="P4" s="849"/>
      <c r="Q4" s="849"/>
      <c r="R4" s="849"/>
      <c r="S4" s="849"/>
      <c r="T4" s="849"/>
      <c r="U4" s="849"/>
      <c r="V4" s="849"/>
      <c r="W4" s="849"/>
      <c r="X4" s="849"/>
      <c r="Y4" s="849"/>
      <c r="Z4" s="849"/>
      <c r="AA4" s="849"/>
      <c r="AB4" s="849"/>
      <c r="AC4" s="849"/>
      <c r="AD4" s="849"/>
      <c r="AE4" s="849"/>
      <c r="AF4" s="849"/>
      <c r="AG4" s="849"/>
    </row>
    <row r="5" customFormat="false" ht="30.75" hidden="false" customHeight="true" outlineLevel="0" collapsed="false">
      <c r="A5" s="849"/>
      <c r="B5" s="986"/>
      <c r="C5" s="986"/>
      <c r="D5" s="986"/>
      <c r="E5" s="986"/>
      <c r="F5" s="986"/>
      <c r="G5" s="986"/>
      <c r="H5" s="986" t="n">
        <v>0.3</v>
      </c>
      <c r="I5" s="987" t="s">
        <v>497</v>
      </c>
      <c r="J5" s="849"/>
      <c r="K5" s="849"/>
      <c r="L5" s="849"/>
      <c r="M5" s="849"/>
      <c r="N5" s="849"/>
      <c r="O5" s="849"/>
      <c r="P5" s="849"/>
      <c r="Q5" s="849"/>
      <c r="R5" s="849"/>
      <c r="S5" s="849"/>
      <c r="T5" s="849"/>
      <c r="U5" s="849"/>
      <c r="V5" s="849"/>
      <c r="W5" s="849"/>
      <c r="X5" s="849"/>
      <c r="Y5" s="849"/>
      <c r="Z5" s="849"/>
      <c r="AA5" s="849"/>
      <c r="AB5" s="849"/>
      <c r="AC5" s="849"/>
      <c r="AD5" s="849"/>
      <c r="AE5" s="849"/>
      <c r="AF5" s="849"/>
      <c r="AG5" s="849"/>
    </row>
    <row r="6" customFormat="false" ht="30.75" hidden="false" customHeight="true" outlineLevel="0" collapsed="false">
      <c r="A6" s="849"/>
      <c r="B6" s="988"/>
      <c r="C6" s="988"/>
      <c r="D6" s="989"/>
      <c r="E6" s="988"/>
      <c r="F6" s="989"/>
      <c r="G6" s="990"/>
      <c r="H6" s="1017"/>
      <c r="I6" s="992" t="s">
        <v>19</v>
      </c>
      <c r="J6" s="849"/>
      <c r="K6" s="849"/>
      <c r="L6" s="849"/>
      <c r="M6" s="849"/>
      <c r="N6" s="849"/>
      <c r="O6" s="849"/>
      <c r="P6" s="849"/>
      <c r="Q6" s="849"/>
      <c r="R6" s="849"/>
      <c r="S6" s="849"/>
      <c r="T6" s="849"/>
      <c r="U6" s="849"/>
      <c r="V6" s="849"/>
      <c r="W6" s="849"/>
      <c r="X6" s="849"/>
      <c r="Y6" s="849"/>
      <c r="Z6" s="849"/>
      <c r="AA6" s="849"/>
      <c r="AB6" s="849"/>
      <c r="AC6" s="849"/>
      <c r="AD6" s="849"/>
      <c r="AE6" s="849"/>
      <c r="AF6" s="849"/>
      <c r="AG6" s="849"/>
    </row>
    <row r="7" customFormat="false" ht="30.75" hidden="false" customHeight="true" outlineLevel="0" collapsed="false">
      <c r="A7" s="849"/>
      <c r="B7" s="989"/>
      <c r="C7" s="989"/>
      <c r="D7" s="989"/>
      <c r="E7" s="989"/>
      <c r="F7" s="989"/>
      <c r="G7" s="989"/>
      <c r="H7" s="990"/>
      <c r="I7" s="993" t="s">
        <v>502</v>
      </c>
      <c r="J7" s="849"/>
      <c r="K7" s="849"/>
      <c r="L7" s="849"/>
      <c r="M7" s="849"/>
      <c r="N7" s="849"/>
      <c r="O7" s="849"/>
      <c r="P7" s="849"/>
      <c r="Q7" s="849"/>
      <c r="R7" s="849"/>
      <c r="S7" s="849"/>
      <c r="T7" s="849"/>
      <c r="U7" s="849"/>
      <c r="V7" s="849"/>
      <c r="W7" s="849"/>
      <c r="X7" s="849"/>
      <c r="Y7" s="849"/>
      <c r="Z7" s="849"/>
      <c r="AA7" s="849"/>
      <c r="AB7" s="849"/>
      <c r="AC7" s="849"/>
      <c r="AD7" s="849"/>
      <c r="AE7" s="849"/>
      <c r="AF7" s="849"/>
      <c r="AG7" s="849"/>
    </row>
    <row r="8" customFormat="false" ht="30.75" hidden="false" customHeight="true" outlineLevel="0" collapsed="false">
      <c r="A8" s="849"/>
      <c r="B8" s="994"/>
      <c r="C8" s="989"/>
      <c r="D8" s="989"/>
      <c r="E8" s="989"/>
      <c r="F8" s="989"/>
      <c r="G8" s="989"/>
      <c r="H8" s="990"/>
      <c r="I8" s="993" t="s">
        <v>503</v>
      </c>
      <c r="J8" s="849"/>
      <c r="K8" s="849"/>
      <c r="L8" s="849"/>
      <c r="M8" s="849"/>
      <c r="N8" s="849"/>
      <c r="O8" s="849"/>
      <c r="P8" s="849"/>
      <c r="Q8" s="849"/>
      <c r="R8" s="849"/>
      <c r="S8" s="849"/>
      <c r="T8" s="849"/>
      <c r="U8" s="849"/>
      <c r="V8" s="849"/>
      <c r="W8" s="849"/>
      <c r="X8" s="849"/>
      <c r="Y8" s="849"/>
      <c r="Z8" s="849"/>
      <c r="AA8" s="849"/>
      <c r="AB8" s="849"/>
      <c r="AC8" s="849"/>
      <c r="AD8" s="849"/>
      <c r="AE8" s="849"/>
      <c r="AF8" s="849"/>
      <c r="AG8" s="849"/>
    </row>
    <row r="9" customFormat="false" ht="30.75" hidden="false" customHeight="true" outlineLevel="0" collapsed="false">
      <c r="A9" s="849"/>
      <c r="B9" s="995"/>
      <c r="C9" s="995" t="s">
        <v>519</v>
      </c>
      <c r="D9" s="995" t="s">
        <v>513</v>
      </c>
      <c r="E9" s="995" t="s">
        <v>504</v>
      </c>
      <c r="F9" s="995"/>
      <c r="G9" s="995"/>
      <c r="H9" s="996"/>
      <c r="I9" s="997" t="s">
        <v>505</v>
      </c>
      <c r="J9" s="849"/>
      <c r="K9" s="849"/>
      <c r="L9" s="849"/>
      <c r="M9" s="849"/>
      <c r="N9" s="849"/>
      <c r="O9" s="849"/>
      <c r="P9" s="849"/>
      <c r="Q9" s="849"/>
      <c r="R9" s="849"/>
      <c r="S9" s="849"/>
      <c r="T9" s="849"/>
      <c r="U9" s="849"/>
      <c r="V9" s="849"/>
      <c r="W9" s="849"/>
      <c r="X9" s="849"/>
      <c r="Y9" s="849"/>
      <c r="Z9" s="849"/>
      <c r="AA9" s="849"/>
      <c r="AB9" s="849"/>
      <c r="AC9" s="849"/>
      <c r="AD9" s="849"/>
      <c r="AE9" s="849"/>
      <c r="AF9" s="849"/>
      <c r="AG9" s="849"/>
    </row>
    <row r="10" customFormat="false" ht="30.75" hidden="false" customHeight="true" outlineLevel="0" collapsed="false">
      <c r="A10" s="849"/>
      <c r="B10" s="981" t="n">
        <v>2</v>
      </c>
      <c r="C10" s="981" t="n">
        <v>3</v>
      </c>
      <c r="D10" s="981" t="n">
        <v>4</v>
      </c>
      <c r="E10" s="981" t="n">
        <v>5</v>
      </c>
      <c r="F10" s="981" t="n">
        <v>6</v>
      </c>
      <c r="G10" s="981" t="n">
        <v>7</v>
      </c>
      <c r="H10" s="998" t="n">
        <v>8</v>
      </c>
      <c r="I10" s="849"/>
      <c r="J10" s="849"/>
      <c r="K10" s="849"/>
      <c r="L10" s="849"/>
      <c r="M10" s="849"/>
      <c r="N10" s="849"/>
      <c r="O10" s="849"/>
      <c r="P10" s="849"/>
      <c r="Q10" s="849"/>
      <c r="R10" s="849"/>
      <c r="S10" s="849"/>
      <c r="T10" s="849"/>
      <c r="U10" s="849"/>
      <c r="V10" s="849"/>
      <c r="W10" s="849"/>
      <c r="X10" s="849"/>
      <c r="Y10" s="849"/>
      <c r="Z10" s="849"/>
      <c r="AA10" s="849"/>
      <c r="AB10" s="849"/>
      <c r="AC10" s="849"/>
      <c r="AD10" s="849"/>
      <c r="AE10" s="849"/>
      <c r="AF10" s="849"/>
      <c r="AG10" s="849"/>
    </row>
    <row r="11" customFormat="false" ht="30.75" hidden="false" customHeight="true" outlineLevel="0" collapsed="false">
      <c r="A11" s="849"/>
      <c r="B11" s="983" t="s">
        <v>209</v>
      </c>
      <c r="C11" s="983" t="s">
        <v>359</v>
      </c>
      <c r="D11" s="983" t="s">
        <v>209</v>
      </c>
      <c r="E11" s="983" t="s">
        <v>506</v>
      </c>
      <c r="F11" s="983" t="s">
        <v>40</v>
      </c>
      <c r="G11" s="983" t="s">
        <v>79</v>
      </c>
      <c r="H11" s="999" t="s">
        <v>169</v>
      </c>
      <c r="I11" s="849"/>
      <c r="J11" s="849"/>
      <c r="K11" s="849"/>
      <c r="L11" s="849"/>
      <c r="M11" s="849"/>
      <c r="N11" s="849"/>
      <c r="O11" s="849"/>
      <c r="P11" s="849"/>
      <c r="Q11" s="849"/>
      <c r="R11" s="849"/>
      <c r="S11" s="849"/>
      <c r="T11" s="849"/>
      <c r="U11" s="849"/>
      <c r="V11" s="849"/>
      <c r="W11" s="849"/>
      <c r="X11" s="849"/>
      <c r="Y11" s="849"/>
      <c r="Z11" s="849"/>
      <c r="AA11" s="849"/>
      <c r="AB11" s="849"/>
      <c r="AC11" s="849"/>
      <c r="AD11" s="849"/>
      <c r="AE11" s="849"/>
      <c r="AF11" s="849"/>
      <c r="AG11" s="849"/>
    </row>
    <row r="12" customFormat="false" ht="30.75" hidden="false" customHeight="true" outlineLevel="0" collapsed="false">
      <c r="A12" s="849"/>
      <c r="B12" s="986" t="n">
        <v>0.2</v>
      </c>
      <c r="C12" s="986" t="n">
        <v>0.1</v>
      </c>
      <c r="D12" s="986" t="n">
        <v>0.05</v>
      </c>
      <c r="E12" s="986" t="n">
        <v>0</v>
      </c>
      <c r="F12" s="986" t="n">
        <v>0</v>
      </c>
      <c r="G12" s="986" t="n">
        <v>0.03</v>
      </c>
      <c r="H12" s="1000" t="n">
        <v>0.06</v>
      </c>
      <c r="I12" s="849"/>
      <c r="J12" s="849"/>
      <c r="K12" s="849"/>
      <c r="L12" s="849"/>
      <c r="M12" s="849"/>
      <c r="N12" s="849"/>
      <c r="O12" s="849"/>
      <c r="P12" s="849"/>
      <c r="Q12" s="849"/>
      <c r="R12" s="849"/>
      <c r="S12" s="849"/>
      <c r="T12" s="849"/>
      <c r="U12" s="849"/>
      <c r="V12" s="849"/>
      <c r="W12" s="849"/>
      <c r="X12" s="849"/>
      <c r="Y12" s="849"/>
      <c r="Z12" s="849"/>
      <c r="AA12" s="849"/>
      <c r="AB12" s="849"/>
      <c r="AC12" s="849"/>
      <c r="AD12" s="849"/>
      <c r="AE12" s="849"/>
      <c r="AF12" s="849"/>
      <c r="AG12" s="849"/>
    </row>
    <row r="13" customFormat="false" ht="30.75" hidden="false" customHeight="true" outlineLevel="0" collapsed="false">
      <c r="A13" s="849"/>
      <c r="B13" s="989" t="s">
        <v>352</v>
      </c>
      <c r="C13" s="989" t="s">
        <v>62</v>
      </c>
      <c r="D13" s="989" t="s">
        <v>54</v>
      </c>
      <c r="E13" s="988" t="s">
        <v>352</v>
      </c>
      <c r="F13" s="989" t="s">
        <v>62</v>
      </c>
      <c r="G13" s="988" t="s">
        <v>352</v>
      </c>
      <c r="H13" s="1001" t="s">
        <v>180</v>
      </c>
      <c r="I13" s="849"/>
      <c r="J13" s="849"/>
      <c r="K13" s="849"/>
      <c r="L13" s="849"/>
      <c r="M13" s="849"/>
      <c r="N13" s="849"/>
      <c r="O13" s="849"/>
      <c r="P13" s="849"/>
      <c r="Q13" s="849"/>
      <c r="R13" s="849"/>
      <c r="S13" s="849"/>
      <c r="T13" s="849"/>
      <c r="U13" s="849"/>
      <c r="V13" s="849"/>
      <c r="W13" s="849"/>
      <c r="X13" s="849"/>
      <c r="Y13" s="849"/>
      <c r="Z13" s="849"/>
      <c r="AA13" s="849"/>
      <c r="AB13" s="849"/>
      <c r="AC13" s="849"/>
      <c r="AD13" s="849"/>
      <c r="AE13" s="849"/>
      <c r="AF13" s="849"/>
      <c r="AG13" s="849"/>
    </row>
    <row r="14" customFormat="false" ht="30.75" hidden="false" customHeight="true" outlineLevel="0" collapsed="false">
      <c r="A14" s="849"/>
      <c r="B14" s="989" t="s">
        <v>520</v>
      </c>
      <c r="C14" s="989" t="s">
        <v>521</v>
      </c>
      <c r="D14" s="989" t="s">
        <v>521</v>
      </c>
      <c r="E14" s="989" t="s">
        <v>522</v>
      </c>
      <c r="F14" s="989" t="s">
        <v>522</v>
      </c>
      <c r="G14" s="989" t="s">
        <v>523</v>
      </c>
      <c r="H14" s="990" t="s">
        <v>524</v>
      </c>
      <c r="I14" s="849"/>
      <c r="J14" s="849"/>
      <c r="K14" s="849"/>
      <c r="L14" s="849"/>
      <c r="M14" s="849"/>
      <c r="N14" s="849"/>
      <c r="O14" s="849"/>
      <c r="P14" s="849"/>
      <c r="Q14" s="849"/>
      <c r="R14" s="849"/>
      <c r="S14" s="849"/>
      <c r="T14" s="849"/>
      <c r="U14" s="849"/>
      <c r="V14" s="849"/>
      <c r="W14" s="849"/>
      <c r="X14" s="849"/>
      <c r="Y14" s="849"/>
      <c r="Z14" s="849"/>
      <c r="AA14" s="849"/>
      <c r="AB14" s="849"/>
      <c r="AC14" s="849"/>
      <c r="AD14" s="849"/>
      <c r="AE14" s="849"/>
      <c r="AF14" s="849"/>
      <c r="AG14" s="849"/>
    </row>
    <row r="15" customFormat="false" ht="30.75" hidden="false" customHeight="true" outlineLevel="0" collapsed="false">
      <c r="A15" s="849"/>
      <c r="B15" s="994"/>
      <c r="C15" s="989"/>
      <c r="D15" s="989"/>
      <c r="E15" s="989"/>
      <c r="F15" s="1002"/>
      <c r="G15" s="989"/>
      <c r="H15" s="990"/>
      <c r="I15" s="849"/>
      <c r="J15" s="849"/>
      <c r="K15" s="849"/>
      <c r="L15" s="849"/>
      <c r="M15" s="849"/>
      <c r="N15" s="849"/>
      <c r="O15" s="849"/>
      <c r="P15" s="849"/>
      <c r="Q15" s="849"/>
      <c r="R15" s="849"/>
      <c r="S15" s="849"/>
      <c r="T15" s="849"/>
      <c r="U15" s="849"/>
      <c r="V15" s="849"/>
      <c r="W15" s="849"/>
      <c r="X15" s="849"/>
      <c r="Y15" s="849"/>
      <c r="Z15" s="849"/>
      <c r="AA15" s="849"/>
      <c r="AB15" s="849"/>
      <c r="AC15" s="849"/>
      <c r="AD15" s="849"/>
      <c r="AE15" s="849"/>
      <c r="AF15" s="849"/>
      <c r="AG15" s="849"/>
    </row>
    <row r="16" customFormat="false" ht="30.75" hidden="false" customHeight="true" outlineLevel="0" collapsed="false">
      <c r="A16" s="849"/>
      <c r="B16" s="995"/>
      <c r="C16" s="995"/>
      <c r="D16" s="995"/>
      <c r="E16" s="995"/>
      <c r="F16" s="1004"/>
      <c r="G16" s="995"/>
      <c r="H16" s="996"/>
      <c r="I16" s="849"/>
      <c r="J16" s="849"/>
      <c r="K16" s="849"/>
      <c r="L16" s="849"/>
      <c r="M16" s="849"/>
      <c r="N16" s="849"/>
      <c r="O16" s="849"/>
      <c r="P16" s="849"/>
      <c r="Q16" s="849"/>
      <c r="R16" s="849"/>
      <c r="S16" s="849"/>
      <c r="T16" s="849"/>
      <c r="U16" s="849"/>
      <c r="V16" s="849"/>
      <c r="W16" s="849"/>
      <c r="X16" s="849"/>
      <c r="Y16" s="849"/>
      <c r="Z16" s="849"/>
      <c r="AA16" s="849"/>
      <c r="AB16" s="849"/>
      <c r="AC16" s="849"/>
      <c r="AD16" s="849"/>
      <c r="AE16" s="849"/>
      <c r="AF16" s="849"/>
      <c r="AG16" s="849"/>
    </row>
    <row r="17" customFormat="false" ht="30.75" hidden="false" customHeight="true" outlineLevel="0" collapsed="false">
      <c r="A17" s="849"/>
      <c r="B17" s="981" t="n">
        <v>9</v>
      </c>
      <c r="C17" s="981" t="n">
        <v>10</v>
      </c>
      <c r="D17" s="981" t="n">
        <v>11</v>
      </c>
      <c r="E17" s="981" t="n">
        <v>12</v>
      </c>
      <c r="F17" s="981" t="n">
        <v>13</v>
      </c>
      <c r="G17" s="981" t="n">
        <v>14</v>
      </c>
      <c r="H17" s="998" t="n">
        <v>15</v>
      </c>
      <c r="I17" s="849"/>
      <c r="J17" s="849"/>
      <c r="K17" s="849"/>
      <c r="L17" s="849"/>
      <c r="M17" s="849"/>
      <c r="N17" s="849"/>
      <c r="O17" s="849"/>
      <c r="P17" s="849"/>
      <c r="Q17" s="849"/>
      <c r="R17" s="849"/>
      <c r="S17" s="849"/>
      <c r="T17" s="849"/>
      <c r="U17" s="849"/>
      <c r="V17" s="849"/>
      <c r="W17" s="849"/>
      <c r="X17" s="849"/>
    </row>
    <row r="18" customFormat="false" ht="30.75" hidden="false" customHeight="true" outlineLevel="0" collapsed="false">
      <c r="A18" s="849"/>
      <c r="B18" s="983" t="s">
        <v>506</v>
      </c>
      <c r="C18" s="983" t="s">
        <v>359</v>
      </c>
      <c r="D18" s="983" t="s">
        <v>209</v>
      </c>
      <c r="E18" s="983" t="s">
        <v>209</v>
      </c>
      <c r="F18" s="983" t="s">
        <v>40</v>
      </c>
      <c r="G18" s="983" t="s">
        <v>79</v>
      </c>
      <c r="H18" s="999"/>
      <c r="I18" s="849"/>
      <c r="J18" s="849"/>
      <c r="K18" s="849"/>
      <c r="L18" s="849"/>
      <c r="M18" s="849"/>
      <c r="N18" s="849"/>
      <c r="O18" s="849"/>
      <c r="P18" s="849"/>
      <c r="Q18" s="849"/>
      <c r="R18" s="849"/>
      <c r="S18" s="849"/>
      <c r="T18" s="849"/>
      <c r="U18" s="849"/>
      <c r="V18" s="849"/>
      <c r="W18" s="849"/>
      <c r="X18" s="849"/>
    </row>
    <row r="19" customFormat="false" ht="30.75" hidden="false" customHeight="true" outlineLevel="0" collapsed="false">
      <c r="A19" s="849"/>
      <c r="B19" s="986" t="n">
        <v>0.13</v>
      </c>
      <c r="C19" s="986" t="n">
        <v>0.2</v>
      </c>
      <c r="D19" s="986" t="n">
        <v>0.29</v>
      </c>
      <c r="E19" s="986" t="n">
        <v>0.4</v>
      </c>
      <c r="F19" s="986" t="n">
        <v>0.48</v>
      </c>
      <c r="G19" s="986" t="n">
        <v>0.58</v>
      </c>
      <c r="H19" s="1000" t="n">
        <v>0.67</v>
      </c>
      <c r="I19" s="849"/>
      <c r="J19" s="849"/>
      <c r="K19" s="849"/>
      <c r="L19" s="849"/>
      <c r="M19" s="849"/>
      <c r="N19" s="849"/>
      <c r="O19" s="849"/>
      <c r="P19" s="849"/>
      <c r="Q19" s="849"/>
      <c r="R19" s="849"/>
      <c r="S19" s="849"/>
      <c r="T19" s="849"/>
      <c r="U19" s="849"/>
      <c r="V19" s="849"/>
      <c r="W19" s="849"/>
      <c r="X19" s="849"/>
    </row>
    <row r="20" customFormat="false" ht="30.75" hidden="false" customHeight="true" outlineLevel="0" collapsed="false">
      <c r="A20" s="849"/>
      <c r="B20" s="989" t="s">
        <v>62</v>
      </c>
      <c r="C20" s="988" t="s">
        <v>352</v>
      </c>
      <c r="D20" s="989" t="s">
        <v>54</v>
      </c>
      <c r="E20" s="988" t="s">
        <v>352</v>
      </c>
      <c r="F20" s="988" t="s">
        <v>62</v>
      </c>
      <c r="G20" s="988" t="s">
        <v>352</v>
      </c>
      <c r="H20" s="1001" t="s">
        <v>62</v>
      </c>
      <c r="I20" s="849"/>
      <c r="J20" s="849"/>
      <c r="K20" s="849"/>
      <c r="L20" s="849"/>
      <c r="M20" s="849"/>
      <c r="N20" s="849"/>
      <c r="O20" s="849"/>
      <c r="P20" s="849"/>
      <c r="Q20" s="849"/>
      <c r="R20" s="849"/>
      <c r="S20" s="849"/>
      <c r="T20" s="849"/>
      <c r="U20" s="849"/>
      <c r="V20" s="849"/>
      <c r="W20" s="849"/>
      <c r="X20" s="849"/>
    </row>
    <row r="21" customFormat="false" ht="30.75" hidden="false" customHeight="true" outlineLevel="0" collapsed="false">
      <c r="A21" s="849"/>
      <c r="B21" s="1007" t="s">
        <v>525</v>
      </c>
      <c r="C21" s="1007" t="s">
        <v>526</v>
      </c>
      <c r="D21" s="989" t="s">
        <v>527</v>
      </c>
      <c r="E21" s="989" t="s">
        <v>527</v>
      </c>
      <c r="F21" s="989" t="s">
        <v>528</v>
      </c>
      <c r="G21" s="989" t="s">
        <v>529</v>
      </c>
      <c r="H21" s="990" t="s">
        <v>528</v>
      </c>
      <c r="I21" s="849"/>
      <c r="J21" s="849"/>
      <c r="K21" s="849"/>
      <c r="L21" s="849"/>
      <c r="M21" s="849"/>
      <c r="N21" s="849"/>
      <c r="O21" s="849"/>
      <c r="P21" s="849"/>
      <c r="Q21" s="849"/>
      <c r="R21" s="849"/>
      <c r="S21" s="849"/>
      <c r="T21" s="849"/>
      <c r="U21" s="849"/>
      <c r="V21" s="849"/>
      <c r="W21" s="849"/>
      <c r="X21" s="849"/>
    </row>
    <row r="22" customFormat="false" ht="30.75" hidden="false" customHeight="true" outlineLevel="0" collapsed="false">
      <c r="A22" s="849"/>
      <c r="B22" s="1008" t="s">
        <v>180</v>
      </c>
      <c r="C22" s="989" t="s">
        <v>180</v>
      </c>
      <c r="D22" s="989" t="s">
        <v>180</v>
      </c>
      <c r="E22" s="989" t="s">
        <v>180</v>
      </c>
      <c r="F22" s="989"/>
      <c r="G22" s="989"/>
      <c r="H22" s="990"/>
      <c r="I22" s="849"/>
      <c r="J22" s="849"/>
      <c r="K22" s="849"/>
      <c r="L22" s="849"/>
      <c r="M22" s="849"/>
      <c r="N22" s="849"/>
      <c r="O22" s="849"/>
      <c r="P22" s="849"/>
      <c r="Q22" s="849"/>
      <c r="R22" s="849"/>
      <c r="S22" s="849"/>
      <c r="T22" s="849"/>
      <c r="U22" s="849"/>
      <c r="V22" s="849"/>
      <c r="W22" s="849"/>
      <c r="X22" s="849"/>
    </row>
    <row r="23" customFormat="false" ht="30.75" hidden="false" customHeight="true" outlineLevel="0" collapsed="false">
      <c r="A23" s="849"/>
      <c r="B23" s="1004" t="s">
        <v>519</v>
      </c>
      <c r="C23" s="995" t="s">
        <v>519</v>
      </c>
      <c r="D23" s="995" t="s">
        <v>504</v>
      </c>
      <c r="E23" s="995" t="s">
        <v>504</v>
      </c>
      <c r="F23" s="995" t="s">
        <v>504</v>
      </c>
      <c r="G23" s="995" t="s">
        <v>504</v>
      </c>
      <c r="H23" s="996" t="s">
        <v>504</v>
      </c>
      <c r="I23" s="849"/>
      <c r="J23" s="849"/>
      <c r="K23" s="849"/>
      <c r="L23" s="849"/>
      <c r="M23" s="849"/>
      <c r="N23" s="849"/>
      <c r="O23" s="849"/>
      <c r="P23" s="849"/>
      <c r="Q23" s="849"/>
      <c r="R23" s="849"/>
      <c r="S23" s="849"/>
      <c r="T23" s="849"/>
      <c r="U23" s="849"/>
      <c r="V23" s="849"/>
      <c r="W23" s="849"/>
      <c r="X23" s="849"/>
    </row>
    <row r="24" customFormat="false" ht="30.75" hidden="false" customHeight="true" outlineLevel="0" collapsed="false">
      <c r="A24" s="849"/>
      <c r="B24" s="981" t="n">
        <v>16</v>
      </c>
      <c r="C24" s="981" t="n">
        <v>17</v>
      </c>
      <c r="D24" s="981" t="n">
        <v>18</v>
      </c>
      <c r="E24" s="981" t="n">
        <v>19</v>
      </c>
      <c r="F24" s="981" t="n">
        <v>20</v>
      </c>
      <c r="G24" s="981" t="n">
        <v>21</v>
      </c>
      <c r="H24" s="998" t="n">
        <v>22</v>
      </c>
      <c r="I24" s="849"/>
      <c r="J24" s="849"/>
      <c r="K24" s="849"/>
      <c r="L24" s="849"/>
      <c r="M24" s="849"/>
      <c r="N24" s="849"/>
      <c r="O24" s="849"/>
      <c r="P24" s="849"/>
      <c r="Q24" s="849"/>
      <c r="R24" s="849"/>
      <c r="S24" s="849"/>
      <c r="T24" s="849"/>
      <c r="U24" s="849"/>
      <c r="V24" s="849"/>
      <c r="W24" s="849"/>
      <c r="X24" s="849"/>
    </row>
    <row r="25" customFormat="false" ht="30.75" hidden="false" customHeight="true" outlineLevel="0" collapsed="false">
      <c r="A25" s="849"/>
      <c r="B25" s="1010"/>
      <c r="C25" s="1010" t="s">
        <v>359</v>
      </c>
      <c r="D25" s="1009"/>
      <c r="E25" s="1009"/>
      <c r="F25" s="1009"/>
      <c r="G25" s="1009"/>
      <c r="H25" s="1006"/>
      <c r="I25" s="849"/>
      <c r="J25" s="849"/>
      <c r="K25" s="849"/>
      <c r="L25" s="849"/>
      <c r="M25" s="849"/>
      <c r="N25" s="849"/>
      <c r="O25" s="849"/>
      <c r="P25" s="849"/>
      <c r="Q25" s="849"/>
      <c r="R25" s="849"/>
      <c r="S25" s="849"/>
      <c r="T25" s="849"/>
      <c r="U25" s="849"/>
      <c r="V25" s="849"/>
      <c r="W25" s="849"/>
      <c r="X25" s="849"/>
    </row>
    <row r="26" customFormat="false" ht="30.75" hidden="false" customHeight="true" outlineLevel="0" collapsed="false">
      <c r="A26" s="849"/>
      <c r="B26" s="986" t="n">
        <v>0.76</v>
      </c>
      <c r="C26" s="986" t="n">
        <v>0.85</v>
      </c>
      <c r="D26" s="986" t="n">
        <v>0.91</v>
      </c>
      <c r="E26" s="986" t="n">
        <v>0.96</v>
      </c>
      <c r="F26" s="986" t="n">
        <v>0.97</v>
      </c>
      <c r="G26" s="986" t="n">
        <v>0.99</v>
      </c>
      <c r="H26" s="1000" t="n">
        <v>0.99</v>
      </c>
      <c r="I26" s="849"/>
      <c r="J26" s="849"/>
      <c r="K26" s="849"/>
      <c r="L26" s="849"/>
      <c r="M26" s="849"/>
      <c r="N26" s="849"/>
      <c r="O26" s="849"/>
      <c r="P26" s="849"/>
      <c r="Q26" s="849"/>
      <c r="R26" s="849"/>
      <c r="S26" s="849"/>
      <c r="T26" s="849"/>
      <c r="U26" s="849"/>
      <c r="V26" s="849"/>
      <c r="W26" s="849"/>
      <c r="X26" s="849"/>
    </row>
    <row r="27" customFormat="false" ht="30.75" hidden="false" customHeight="true" outlineLevel="0" collapsed="false">
      <c r="A27" s="849"/>
      <c r="B27" s="989" t="s">
        <v>62</v>
      </c>
      <c r="C27" s="988" t="s">
        <v>169</v>
      </c>
      <c r="D27" s="989"/>
      <c r="E27" s="988"/>
      <c r="F27" s="988"/>
      <c r="G27" s="988"/>
      <c r="H27" s="1001"/>
      <c r="I27" s="849"/>
      <c r="J27" s="849"/>
      <c r="K27" s="849"/>
      <c r="L27" s="849"/>
      <c r="M27" s="849"/>
      <c r="N27" s="849"/>
      <c r="O27" s="849"/>
      <c r="P27" s="849"/>
      <c r="Q27" s="849"/>
      <c r="R27" s="849"/>
      <c r="S27" s="849"/>
      <c r="T27" s="849"/>
      <c r="U27" s="849"/>
      <c r="V27" s="849"/>
      <c r="W27" s="849"/>
      <c r="X27" s="849"/>
    </row>
    <row r="28" customFormat="false" ht="30.75" hidden="false" customHeight="true" outlineLevel="0" collapsed="false">
      <c r="A28" s="849"/>
      <c r="B28" s="989" t="s">
        <v>530</v>
      </c>
      <c r="C28" s="989" t="s">
        <v>531</v>
      </c>
      <c r="D28" s="989"/>
      <c r="E28" s="989"/>
      <c r="F28" s="989"/>
      <c r="G28" s="989"/>
      <c r="H28" s="990"/>
      <c r="I28" s="849"/>
      <c r="J28" s="849"/>
      <c r="K28" s="849"/>
      <c r="L28" s="849"/>
      <c r="M28" s="849"/>
      <c r="N28" s="849"/>
      <c r="O28" s="849"/>
      <c r="P28" s="849"/>
      <c r="Q28" s="849"/>
      <c r="R28" s="849"/>
      <c r="S28" s="849"/>
      <c r="T28" s="849"/>
      <c r="U28" s="849"/>
      <c r="V28" s="849"/>
      <c r="W28" s="849"/>
      <c r="X28" s="849"/>
    </row>
    <row r="29" customFormat="false" ht="30.75" hidden="false" customHeight="true" outlineLevel="0" collapsed="false">
      <c r="A29" s="849"/>
      <c r="B29" s="994"/>
      <c r="C29" s="989"/>
      <c r="D29" s="989"/>
      <c r="E29" s="989"/>
      <c r="F29" s="989"/>
      <c r="G29" s="989"/>
      <c r="H29" s="990"/>
      <c r="I29" s="849"/>
      <c r="J29" s="849"/>
      <c r="K29" s="849"/>
      <c r="L29" s="849"/>
      <c r="M29" s="849"/>
      <c r="N29" s="849"/>
      <c r="O29" s="849"/>
      <c r="P29" s="849"/>
      <c r="Q29" s="849"/>
      <c r="R29" s="849"/>
      <c r="S29" s="849"/>
      <c r="T29" s="849"/>
      <c r="U29" s="849"/>
      <c r="V29" s="849"/>
      <c r="W29" s="849"/>
      <c r="X29" s="849"/>
    </row>
    <row r="30" customFormat="false" ht="30.75" hidden="false" customHeight="true" outlineLevel="0" collapsed="false">
      <c r="A30" s="849"/>
      <c r="B30" s="995"/>
      <c r="C30" s="995"/>
      <c r="D30" s="995"/>
      <c r="E30" s="995"/>
      <c r="F30" s="995"/>
      <c r="G30" s="995"/>
      <c r="H30" s="996"/>
      <c r="I30" s="849"/>
      <c r="J30" s="849"/>
      <c r="K30" s="849"/>
      <c r="L30" s="849"/>
      <c r="M30" s="849"/>
      <c r="N30" s="849"/>
      <c r="O30" s="849"/>
      <c r="P30" s="849"/>
      <c r="Q30" s="849"/>
      <c r="R30" s="849"/>
      <c r="S30" s="849"/>
      <c r="T30" s="849"/>
      <c r="U30" s="849"/>
      <c r="V30" s="849"/>
      <c r="W30" s="849"/>
      <c r="X30" s="849"/>
    </row>
    <row r="31" customFormat="false" ht="30.75" hidden="false" customHeight="true" outlineLevel="0" collapsed="false">
      <c r="A31" s="849"/>
      <c r="B31" s="981" t="n">
        <v>23</v>
      </c>
      <c r="C31" s="981" t="n">
        <v>24</v>
      </c>
      <c r="D31" s="981" t="n">
        <v>25</v>
      </c>
      <c r="E31" s="981" t="n">
        <v>26</v>
      </c>
      <c r="F31" s="981" t="n">
        <v>27</v>
      </c>
      <c r="G31" s="981" t="n">
        <v>28</v>
      </c>
      <c r="H31" s="998" t="n">
        <v>29</v>
      </c>
      <c r="I31" s="849"/>
      <c r="J31" s="849"/>
      <c r="K31" s="849"/>
      <c r="L31" s="849"/>
      <c r="M31" s="849"/>
      <c r="N31" s="849"/>
      <c r="O31" s="849"/>
      <c r="P31" s="849"/>
      <c r="Q31" s="849"/>
      <c r="R31" s="849"/>
      <c r="S31" s="849"/>
      <c r="T31" s="849"/>
      <c r="U31" s="849"/>
      <c r="V31" s="849"/>
      <c r="W31" s="849"/>
      <c r="X31" s="849"/>
    </row>
    <row r="32" customFormat="false" ht="30.75" hidden="false" customHeight="true" outlineLevel="0" collapsed="false">
      <c r="A32" s="849"/>
      <c r="B32" s="1005"/>
      <c r="C32" s="1005"/>
      <c r="D32" s="983" t="s">
        <v>209</v>
      </c>
      <c r="E32" s="983" t="s">
        <v>40</v>
      </c>
      <c r="F32" s="983" t="s">
        <v>40</v>
      </c>
      <c r="G32" s="983" t="s">
        <v>79</v>
      </c>
      <c r="H32" s="999"/>
      <c r="I32" s="849"/>
      <c r="J32" s="849"/>
      <c r="K32" s="849"/>
      <c r="L32" s="849"/>
      <c r="M32" s="849"/>
      <c r="N32" s="849"/>
      <c r="O32" s="849"/>
      <c r="P32" s="849"/>
      <c r="Q32" s="849"/>
      <c r="R32" s="849"/>
      <c r="S32" s="849"/>
      <c r="T32" s="849"/>
      <c r="U32" s="849"/>
      <c r="V32" s="849"/>
      <c r="W32" s="849"/>
      <c r="X32" s="849"/>
    </row>
    <row r="33" customFormat="false" ht="30.75" hidden="false" customHeight="true" outlineLevel="0" collapsed="false">
      <c r="A33" s="849"/>
      <c r="B33" s="986" t="n">
        <v>0.98</v>
      </c>
      <c r="C33" s="986" t="n">
        <v>0.93</v>
      </c>
      <c r="D33" s="986" t="n">
        <v>0.86</v>
      </c>
      <c r="E33" s="986" t="n">
        <v>0.78</v>
      </c>
      <c r="F33" s="986" t="n">
        <v>0.65</v>
      </c>
      <c r="G33" s="986" t="n">
        <v>0.55</v>
      </c>
      <c r="H33" s="1000" t="n">
        <v>0.42</v>
      </c>
      <c r="I33" s="849"/>
      <c r="J33" s="849"/>
      <c r="K33" s="849"/>
      <c r="L33" s="849"/>
      <c r="M33" s="849"/>
      <c r="N33" s="849"/>
      <c r="O33" s="849"/>
      <c r="P33" s="849"/>
      <c r="Q33" s="849"/>
      <c r="R33" s="849"/>
      <c r="S33" s="849"/>
      <c r="T33" s="849"/>
      <c r="U33" s="849"/>
      <c r="V33" s="849"/>
      <c r="W33" s="849"/>
      <c r="X33" s="849"/>
    </row>
    <row r="34" customFormat="false" ht="30.75" hidden="false" customHeight="true" outlineLevel="0" collapsed="false">
      <c r="A34" s="849"/>
      <c r="B34" s="988"/>
      <c r="C34" s="988"/>
      <c r="D34" s="988" t="s">
        <v>62</v>
      </c>
      <c r="E34" s="988" t="s">
        <v>169</v>
      </c>
      <c r="F34" s="988" t="s">
        <v>352</v>
      </c>
      <c r="G34" s="988" t="s">
        <v>352</v>
      </c>
      <c r="H34" s="1001" t="s">
        <v>169</v>
      </c>
      <c r="I34" s="849"/>
      <c r="J34" s="849"/>
      <c r="K34" s="849"/>
      <c r="L34" s="849"/>
      <c r="M34" s="849"/>
      <c r="N34" s="849"/>
      <c r="O34" s="849"/>
      <c r="P34" s="849"/>
      <c r="Q34" s="849"/>
      <c r="R34" s="849"/>
      <c r="S34" s="849"/>
      <c r="T34" s="849"/>
      <c r="U34" s="849"/>
      <c r="V34" s="849"/>
      <c r="W34" s="849"/>
      <c r="X34" s="849"/>
    </row>
    <row r="35" customFormat="false" ht="30.75" hidden="false" customHeight="true" outlineLevel="0" collapsed="false">
      <c r="A35" s="849"/>
      <c r="B35" s="994"/>
      <c r="C35" s="994"/>
      <c r="D35" s="989" t="s">
        <v>527</v>
      </c>
      <c r="E35" s="989" t="s">
        <v>532</v>
      </c>
      <c r="F35" s="994" t="s">
        <v>533</v>
      </c>
      <c r="G35" s="994" t="s">
        <v>534</v>
      </c>
      <c r="H35" s="1011" t="s">
        <v>535</v>
      </c>
      <c r="I35" s="849"/>
      <c r="J35" s="849"/>
      <c r="K35" s="849"/>
      <c r="L35" s="849"/>
      <c r="M35" s="849"/>
      <c r="N35" s="849"/>
      <c r="O35" s="849"/>
      <c r="P35" s="849"/>
      <c r="Q35" s="849"/>
      <c r="R35" s="849"/>
      <c r="S35" s="849"/>
      <c r="T35" s="849"/>
      <c r="U35" s="849"/>
      <c r="V35" s="849"/>
      <c r="W35" s="849"/>
      <c r="X35" s="849"/>
    </row>
    <row r="36" customFormat="false" ht="30.75" hidden="false" customHeight="true" outlineLevel="0" collapsed="false">
      <c r="A36" s="849"/>
      <c r="B36" s="994"/>
      <c r="C36" s="994"/>
      <c r="D36" s="1012"/>
      <c r="E36" s="1012"/>
      <c r="F36" s="1012"/>
      <c r="G36" s="1012" t="s">
        <v>504</v>
      </c>
      <c r="H36" s="1013" t="s">
        <v>504</v>
      </c>
      <c r="I36" s="849"/>
      <c r="J36" s="849"/>
      <c r="K36" s="849"/>
      <c r="L36" s="849"/>
      <c r="M36" s="849"/>
      <c r="N36" s="849"/>
      <c r="O36" s="849"/>
      <c r="P36" s="849"/>
      <c r="Q36" s="849"/>
      <c r="R36" s="849"/>
      <c r="S36" s="849"/>
      <c r="T36" s="849"/>
      <c r="U36" s="849"/>
      <c r="V36" s="849"/>
      <c r="W36" s="849"/>
      <c r="X36" s="849"/>
    </row>
    <row r="37" customFormat="false" ht="30.75" hidden="false" customHeight="true" outlineLevel="0" collapsed="false">
      <c r="A37" s="849"/>
      <c r="B37" s="994"/>
      <c r="C37" s="994"/>
      <c r="D37" s="1014"/>
      <c r="E37" s="1014"/>
      <c r="F37" s="1014"/>
      <c r="G37" s="1014"/>
      <c r="H37" s="1015"/>
      <c r="I37" s="849"/>
      <c r="J37" s="849"/>
      <c r="K37" s="849"/>
      <c r="L37" s="849"/>
      <c r="M37" s="849"/>
      <c r="N37" s="849"/>
      <c r="O37" s="849"/>
      <c r="P37" s="849"/>
      <c r="Q37" s="849"/>
      <c r="R37" s="849"/>
      <c r="S37" s="849"/>
      <c r="T37" s="849"/>
      <c r="U37" s="849"/>
      <c r="V37" s="849"/>
      <c r="W37" s="849"/>
      <c r="X37" s="849"/>
    </row>
    <row r="38" customFormat="false" ht="30.75" hidden="false" customHeight="true" outlineLevel="0" collapsed="false">
      <c r="A38" s="849"/>
      <c r="B38" s="981" t="n">
        <v>30</v>
      </c>
      <c r="C38" s="998"/>
      <c r="D38" s="849"/>
      <c r="E38" s="849"/>
      <c r="F38" s="849"/>
      <c r="G38" s="849"/>
      <c r="H38" s="849"/>
      <c r="I38" s="849"/>
      <c r="J38" s="849"/>
      <c r="K38" s="849"/>
      <c r="L38" s="849"/>
      <c r="M38" s="849"/>
      <c r="N38" s="849"/>
      <c r="O38" s="849"/>
      <c r="P38" s="849"/>
      <c r="Q38" s="849"/>
      <c r="R38" s="849"/>
      <c r="S38" s="849"/>
    </row>
    <row r="39" customFormat="false" ht="30.75" hidden="false" customHeight="true" outlineLevel="0" collapsed="false">
      <c r="A39" s="849"/>
      <c r="B39" s="983"/>
      <c r="C39" s="999"/>
      <c r="D39" s="849"/>
      <c r="E39" s="849"/>
      <c r="F39" s="849"/>
      <c r="G39" s="849"/>
      <c r="H39" s="849"/>
      <c r="I39" s="849"/>
      <c r="J39" s="849"/>
      <c r="K39" s="849"/>
      <c r="L39" s="849"/>
      <c r="M39" s="849"/>
      <c r="N39" s="849"/>
      <c r="O39" s="849"/>
      <c r="P39" s="849"/>
      <c r="Q39" s="849"/>
      <c r="R39" s="849"/>
      <c r="S39" s="849"/>
      <c r="T39" s="849"/>
      <c r="U39" s="849"/>
      <c r="V39" s="849"/>
    </row>
    <row r="40" customFormat="false" ht="30.75" hidden="false" customHeight="true" outlineLevel="0" collapsed="false">
      <c r="A40" s="849"/>
      <c r="B40" s="986" t="n">
        <v>0.31</v>
      </c>
      <c r="C40" s="1000"/>
      <c r="D40" s="849"/>
      <c r="E40" s="849"/>
      <c r="F40" s="849"/>
      <c r="G40" s="849"/>
      <c r="H40" s="849"/>
      <c r="I40" s="849"/>
      <c r="J40" s="849"/>
      <c r="K40" s="849"/>
      <c r="L40" s="849"/>
      <c r="M40" s="849"/>
      <c r="N40" s="849"/>
      <c r="O40" s="849"/>
      <c r="P40" s="849"/>
      <c r="Q40" s="849"/>
      <c r="R40" s="849"/>
      <c r="S40" s="849"/>
      <c r="T40" s="849"/>
      <c r="U40" s="849"/>
      <c r="V40" s="849"/>
    </row>
    <row r="41" customFormat="false" ht="30.75" hidden="false" customHeight="true" outlineLevel="0" collapsed="false">
      <c r="A41" s="849"/>
      <c r="B41" s="988" t="s">
        <v>54</v>
      </c>
      <c r="C41" s="1001"/>
      <c r="D41" s="849"/>
      <c r="E41" s="849"/>
      <c r="F41" s="849"/>
      <c r="G41" s="849"/>
      <c r="H41" s="849"/>
      <c r="I41" s="849"/>
      <c r="J41" s="849"/>
      <c r="K41" s="849"/>
      <c r="L41" s="849"/>
      <c r="M41" s="849"/>
      <c r="N41" s="849"/>
      <c r="O41" s="849"/>
      <c r="P41" s="849"/>
      <c r="Q41" s="849"/>
      <c r="R41" s="849"/>
      <c r="S41" s="849"/>
      <c r="T41" s="849"/>
      <c r="U41" s="849"/>
      <c r="V41" s="849"/>
    </row>
    <row r="42" customFormat="false" ht="30.75" hidden="false" customHeight="true" outlineLevel="0" collapsed="false">
      <c r="A42" s="849"/>
      <c r="B42" s="994" t="s">
        <v>534</v>
      </c>
      <c r="C42" s="1011"/>
      <c r="D42" s="849"/>
      <c r="E42" s="849"/>
      <c r="F42" s="849"/>
      <c r="G42" s="849"/>
      <c r="H42" s="849"/>
      <c r="I42" s="849"/>
      <c r="J42" s="849"/>
      <c r="K42" s="849"/>
      <c r="L42" s="849"/>
      <c r="M42" s="849"/>
      <c r="N42" s="849"/>
      <c r="O42" s="849"/>
      <c r="P42" s="849"/>
      <c r="Q42" s="849"/>
      <c r="R42" s="849"/>
      <c r="S42" s="849"/>
      <c r="T42" s="849"/>
      <c r="U42" s="849"/>
      <c r="V42" s="849"/>
    </row>
    <row r="43" customFormat="false" ht="30.75" hidden="false" customHeight="true" outlineLevel="0" collapsed="false">
      <c r="A43" s="849"/>
      <c r="B43" s="1012"/>
      <c r="C43" s="1013"/>
      <c r="D43" s="849"/>
      <c r="E43" s="849"/>
      <c r="F43" s="849"/>
      <c r="G43" s="849"/>
      <c r="H43" s="849"/>
      <c r="I43" s="849"/>
      <c r="J43" s="849"/>
      <c r="K43" s="849"/>
      <c r="L43" s="849"/>
      <c r="M43" s="849"/>
      <c r="N43" s="849"/>
      <c r="O43" s="849"/>
      <c r="P43" s="849"/>
      <c r="Q43" s="849"/>
      <c r="R43" s="849"/>
      <c r="S43" s="849"/>
      <c r="T43" s="849"/>
      <c r="U43" s="849"/>
      <c r="V43" s="849"/>
    </row>
    <row r="44" customFormat="false" ht="30.75" hidden="false" customHeight="true" outlineLevel="0" collapsed="false">
      <c r="A44" s="849"/>
      <c r="B44" s="1014"/>
      <c r="C44" s="1015"/>
      <c r="D44" s="849"/>
      <c r="E44" s="849"/>
      <c r="F44" s="849"/>
      <c r="G44" s="849"/>
      <c r="H44" s="849"/>
      <c r="I44" s="849"/>
      <c r="J44" s="849"/>
      <c r="K44" s="849"/>
      <c r="L44" s="849"/>
      <c r="M44" s="849"/>
      <c r="N44" s="849"/>
      <c r="O44" s="849"/>
      <c r="P44" s="849"/>
      <c r="Q44" s="849"/>
      <c r="R44" s="849"/>
      <c r="S44" s="849"/>
      <c r="T44" s="849"/>
      <c r="U44" s="849"/>
      <c r="V44" s="849"/>
    </row>
    <row r="45" customFormat="false" ht="30.75" hidden="false" customHeight="true" outlineLevel="0" collapsed="false">
      <c r="A45" s="849"/>
      <c r="B45" s="849"/>
      <c r="C45" s="849"/>
      <c r="D45" s="849"/>
      <c r="E45" s="849"/>
      <c r="F45" s="849"/>
      <c r="G45" s="849"/>
      <c r="H45" s="849"/>
      <c r="I45" s="849"/>
      <c r="J45" s="849"/>
      <c r="K45" s="849"/>
      <c r="L45" s="849"/>
      <c r="M45" s="849"/>
      <c r="N45" s="849"/>
      <c r="O45" s="849"/>
      <c r="P45" s="849"/>
      <c r="Q45" s="849"/>
      <c r="R45" s="849"/>
      <c r="S45" s="849"/>
      <c r="T45" s="849"/>
      <c r="U45" s="849"/>
      <c r="V45" s="849"/>
      <c r="W45" s="849"/>
      <c r="X45" s="849"/>
      <c r="Y45" s="849"/>
      <c r="Z45" s="849"/>
      <c r="AA45" s="849"/>
    </row>
    <row r="46" customFormat="false" ht="30.75" hidden="false" customHeight="true" outlineLevel="0" collapsed="false">
      <c r="A46" s="849"/>
      <c r="B46" s="849"/>
      <c r="C46" s="849"/>
      <c r="D46" s="849"/>
      <c r="E46" s="849"/>
      <c r="F46" s="849"/>
      <c r="G46" s="849"/>
      <c r="H46" s="849"/>
      <c r="I46" s="849"/>
      <c r="J46" s="849"/>
      <c r="K46" s="849"/>
      <c r="L46" s="849"/>
      <c r="M46" s="849"/>
      <c r="N46" s="849"/>
      <c r="O46" s="849"/>
      <c r="P46" s="849"/>
      <c r="Q46" s="849"/>
      <c r="R46" s="849"/>
      <c r="S46" s="849"/>
      <c r="T46" s="849"/>
      <c r="U46" s="849"/>
      <c r="V46" s="849"/>
    </row>
    <row r="47" customFormat="false" ht="30.75" hidden="false" customHeight="true" outlineLevel="0" collapsed="false">
      <c r="A47" s="849"/>
      <c r="B47" s="849"/>
      <c r="C47" s="849"/>
      <c r="D47" s="849"/>
      <c r="E47" s="849"/>
      <c r="F47" s="849"/>
      <c r="G47" s="849"/>
      <c r="H47" s="849"/>
      <c r="I47" s="849"/>
      <c r="J47" s="849"/>
      <c r="K47" s="849"/>
      <c r="L47" s="849"/>
      <c r="M47" s="849"/>
      <c r="N47" s="849"/>
      <c r="O47" s="849"/>
      <c r="P47" s="849"/>
      <c r="Q47" s="849"/>
      <c r="R47" s="849"/>
      <c r="S47" s="849"/>
      <c r="T47" s="849"/>
      <c r="U47" s="849"/>
      <c r="V47" s="849"/>
    </row>
    <row r="48" customFormat="false" ht="30.75" hidden="false" customHeight="true" outlineLevel="0" collapsed="false">
      <c r="A48" s="849"/>
      <c r="B48" s="849"/>
      <c r="C48" s="849"/>
      <c r="D48" s="849"/>
      <c r="E48" s="849"/>
      <c r="F48" s="849"/>
      <c r="G48" s="849"/>
      <c r="H48" s="849"/>
      <c r="I48" s="849"/>
      <c r="J48" s="849"/>
      <c r="K48" s="849"/>
      <c r="L48" s="849"/>
      <c r="M48" s="849"/>
      <c r="N48" s="849"/>
      <c r="O48" s="849"/>
      <c r="P48" s="849"/>
      <c r="Q48" s="849"/>
      <c r="R48" s="849"/>
      <c r="S48" s="849"/>
      <c r="T48" s="849"/>
      <c r="U48" s="849"/>
      <c r="V48" s="849"/>
    </row>
    <row r="49" customFormat="false" ht="30.75" hidden="false" customHeight="true" outlineLevel="0" collapsed="false">
      <c r="A49" s="849"/>
      <c r="B49" s="849"/>
      <c r="C49" s="849"/>
      <c r="D49" s="849"/>
      <c r="E49" s="849"/>
      <c r="F49" s="849"/>
      <c r="G49" s="849"/>
      <c r="H49" s="849"/>
      <c r="I49" s="849"/>
      <c r="J49" s="849"/>
      <c r="K49" s="849"/>
      <c r="L49" s="849"/>
      <c r="M49" s="849"/>
      <c r="N49" s="849"/>
      <c r="O49" s="849"/>
      <c r="P49" s="849"/>
      <c r="Q49" s="849"/>
      <c r="R49" s="849"/>
      <c r="S49" s="849"/>
      <c r="T49" s="849"/>
      <c r="U49" s="849"/>
      <c r="V49" s="849"/>
    </row>
    <row r="50" customFormat="false" ht="30.75" hidden="false" customHeight="true" outlineLevel="0" collapsed="false">
      <c r="A50" s="849"/>
      <c r="B50" s="849"/>
      <c r="C50" s="849"/>
      <c r="D50" s="849"/>
      <c r="E50" s="849"/>
      <c r="F50" s="849"/>
      <c r="G50" s="849"/>
      <c r="H50" s="849"/>
      <c r="I50" s="849"/>
      <c r="J50" s="849"/>
      <c r="K50" s="849"/>
      <c r="L50" s="849"/>
      <c r="M50" s="849"/>
      <c r="N50" s="849"/>
      <c r="O50" s="849"/>
      <c r="P50" s="849"/>
      <c r="Q50" s="849"/>
      <c r="R50" s="849"/>
      <c r="S50" s="849"/>
      <c r="T50" s="849"/>
      <c r="U50" s="849"/>
      <c r="V50" s="849"/>
    </row>
    <row r="51" customFormat="false" ht="30.75" hidden="false" customHeight="true" outlineLevel="0" collapsed="false">
      <c r="A51" s="849"/>
      <c r="B51" s="849"/>
      <c r="C51" s="849"/>
      <c r="D51" s="849"/>
      <c r="E51" s="849"/>
      <c r="F51" s="849"/>
      <c r="G51" s="849"/>
      <c r="H51" s="849"/>
      <c r="I51" s="849"/>
      <c r="J51" s="849"/>
      <c r="K51" s="849"/>
      <c r="L51" s="849"/>
      <c r="M51" s="849"/>
      <c r="N51" s="849"/>
      <c r="O51" s="849"/>
      <c r="P51" s="849"/>
      <c r="Q51" s="849"/>
      <c r="R51" s="849"/>
      <c r="S51" s="849"/>
      <c r="T51" s="849"/>
      <c r="U51" s="849"/>
      <c r="V51" s="849"/>
    </row>
    <row r="52" customFormat="false" ht="30.75" hidden="false" customHeight="true" outlineLevel="0" collapsed="false">
      <c r="A52" s="849"/>
      <c r="B52" s="849"/>
      <c r="C52" s="849"/>
      <c r="D52" s="849"/>
      <c r="E52" s="849"/>
      <c r="F52" s="849"/>
      <c r="G52" s="849"/>
      <c r="H52" s="849"/>
      <c r="I52" s="849"/>
      <c r="J52" s="849"/>
      <c r="K52" s="849"/>
      <c r="L52" s="849"/>
      <c r="M52" s="849"/>
      <c r="N52" s="849"/>
      <c r="O52" s="849"/>
      <c r="P52" s="849"/>
      <c r="Q52" s="849"/>
      <c r="R52" s="849"/>
      <c r="S52" s="849"/>
      <c r="T52" s="849"/>
      <c r="U52" s="849"/>
      <c r="V52" s="849"/>
    </row>
    <row r="53" customFormat="false" ht="30.75" hidden="false" customHeight="true" outlineLevel="0" collapsed="false">
      <c r="A53" s="849"/>
      <c r="B53" s="849"/>
      <c r="C53" s="849"/>
      <c r="D53" s="849"/>
      <c r="E53" s="849"/>
      <c r="F53" s="849"/>
      <c r="G53" s="849"/>
      <c r="H53" s="849"/>
      <c r="I53" s="849"/>
      <c r="J53" s="849"/>
      <c r="K53" s="849"/>
      <c r="L53" s="849"/>
      <c r="M53" s="849"/>
      <c r="N53" s="849"/>
      <c r="O53" s="849"/>
      <c r="P53" s="849"/>
      <c r="Q53" s="849"/>
      <c r="R53" s="849"/>
      <c r="S53" s="849"/>
      <c r="T53" s="849"/>
      <c r="U53" s="849"/>
      <c r="V53" s="849"/>
    </row>
    <row r="54" customFormat="false" ht="30.75" hidden="false" customHeight="true" outlineLevel="0" collapsed="false">
      <c r="A54" s="849"/>
      <c r="B54" s="849"/>
      <c r="C54" s="849"/>
      <c r="D54" s="849"/>
      <c r="E54" s="849"/>
      <c r="F54" s="849"/>
      <c r="G54" s="849"/>
      <c r="H54" s="849"/>
      <c r="I54" s="849"/>
      <c r="J54" s="849"/>
      <c r="K54" s="849"/>
      <c r="L54" s="849"/>
      <c r="M54" s="849"/>
      <c r="N54" s="849"/>
      <c r="O54" s="849"/>
      <c r="P54" s="849"/>
      <c r="Q54" s="849"/>
      <c r="R54" s="849"/>
      <c r="S54" s="849"/>
      <c r="T54" s="849"/>
      <c r="U54" s="849"/>
      <c r="V54" s="849"/>
    </row>
    <row r="55" customFormat="false" ht="30.75" hidden="false" customHeight="true" outlineLevel="0" collapsed="false">
      <c r="A55" s="849"/>
      <c r="B55" s="849"/>
      <c r="C55" s="849"/>
      <c r="D55" s="849"/>
      <c r="E55" s="849"/>
      <c r="F55" s="849"/>
      <c r="G55" s="849"/>
      <c r="H55" s="849"/>
      <c r="I55" s="849"/>
      <c r="J55" s="849"/>
      <c r="K55" s="849"/>
      <c r="L55" s="849"/>
      <c r="M55" s="849"/>
      <c r="N55" s="849"/>
      <c r="O55" s="849"/>
      <c r="P55" s="849"/>
      <c r="Q55" s="849"/>
      <c r="R55" s="849"/>
      <c r="S55" s="849"/>
      <c r="T55" s="849"/>
      <c r="U55" s="849"/>
      <c r="V55" s="849"/>
    </row>
    <row r="56" customFormat="false" ht="30.75" hidden="false" customHeight="true" outlineLevel="0" collapsed="false">
      <c r="A56" s="849"/>
      <c r="B56" s="849"/>
      <c r="C56" s="849"/>
      <c r="D56" s="849"/>
      <c r="E56" s="849"/>
      <c r="F56" s="849"/>
      <c r="G56" s="849"/>
      <c r="H56" s="849"/>
      <c r="I56" s="849"/>
      <c r="J56" s="849"/>
      <c r="K56" s="849"/>
      <c r="L56" s="849"/>
      <c r="M56" s="849"/>
      <c r="N56" s="849"/>
      <c r="O56" s="849"/>
      <c r="P56" s="849"/>
      <c r="Q56" s="849"/>
      <c r="R56" s="849"/>
      <c r="S56" s="849"/>
      <c r="T56" s="849"/>
      <c r="U56" s="849"/>
      <c r="V56" s="849"/>
    </row>
    <row r="57" customFormat="false" ht="30.75" hidden="false" customHeight="true" outlineLevel="0" collapsed="false">
      <c r="A57" s="849"/>
      <c r="B57" s="849"/>
      <c r="C57" s="849"/>
      <c r="D57" s="849"/>
      <c r="E57" s="849"/>
      <c r="F57" s="849"/>
      <c r="G57" s="849"/>
      <c r="H57" s="849"/>
      <c r="I57" s="849"/>
      <c r="J57" s="849"/>
      <c r="K57" s="849"/>
      <c r="L57" s="849"/>
      <c r="M57" s="849"/>
      <c r="N57" s="849"/>
      <c r="O57" s="849"/>
      <c r="P57" s="849"/>
      <c r="Q57" s="849"/>
      <c r="R57" s="849"/>
      <c r="S57" s="849"/>
      <c r="T57" s="849"/>
      <c r="U57" s="849"/>
      <c r="V57" s="849"/>
    </row>
    <row r="58" customFormat="false" ht="30.75" hidden="false" customHeight="true" outlineLevel="0" collapsed="false">
      <c r="A58" s="849"/>
      <c r="B58" s="849"/>
      <c r="C58" s="849"/>
      <c r="D58" s="849"/>
      <c r="E58" s="849"/>
      <c r="F58" s="849"/>
      <c r="G58" s="849"/>
      <c r="H58" s="849"/>
      <c r="I58" s="849"/>
      <c r="J58" s="849"/>
      <c r="K58" s="849"/>
      <c r="L58" s="849"/>
      <c r="M58" s="849"/>
      <c r="N58" s="849"/>
      <c r="O58" s="849"/>
      <c r="P58" s="849"/>
      <c r="Q58" s="849"/>
      <c r="R58" s="849"/>
      <c r="S58" s="849"/>
      <c r="T58" s="849"/>
      <c r="U58" s="849"/>
    </row>
    <row r="59" customFormat="false" ht="30.75" hidden="false" customHeight="true" outlineLevel="0" collapsed="false">
      <c r="A59" s="849"/>
      <c r="B59" s="849"/>
      <c r="C59" s="849"/>
      <c r="D59" s="849"/>
      <c r="E59" s="849"/>
      <c r="F59" s="849"/>
      <c r="G59" s="849"/>
      <c r="H59" s="849"/>
      <c r="I59" s="849"/>
      <c r="J59" s="849"/>
      <c r="K59" s="849"/>
      <c r="L59" s="849"/>
      <c r="M59" s="849"/>
      <c r="N59" s="849"/>
      <c r="O59" s="849"/>
      <c r="P59" s="849"/>
      <c r="Q59" s="849"/>
      <c r="R59" s="849"/>
      <c r="S59" s="849"/>
      <c r="T59" s="849"/>
      <c r="U59" s="849"/>
    </row>
    <row r="60" customFormat="false" ht="30.75" hidden="false" customHeight="true" outlineLevel="0" collapsed="false">
      <c r="A60" s="849"/>
      <c r="B60" s="849"/>
      <c r="C60" s="849"/>
      <c r="D60" s="849"/>
      <c r="E60" s="849"/>
      <c r="F60" s="849"/>
      <c r="G60" s="849"/>
      <c r="H60" s="849"/>
      <c r="I60" s="849"/>
      <c r="J60" s="849"/>
      <c r="K60" s="849"/>
      <c r="L60" s="849"/>
      <c r="M60" s="849"/>
      <c r="N60" s="849"/>
      <c r="O60" s="849"/>
      <c r="P60" s="849"/>
      <c r="Q60" s="849"/>
      <c r="R60" s="849"/>
      <c r="S60" s="849"/>
      <c r="T60" s="849"/>
      <c r="U60" s="849"/>
    </row>
    <row r="61" customFormat="false" ht="30.75" hidden="false" customHeight="true" outlineLevel="0" collapsed="false">
      <c r="A61" s="849"/>
      <c r="B61" s="849"/>
      <c r="C61" s="849"/>
      <c r="D61" s="849"/>
      <c r="E61" s="849"/>
      <c r="F61" s="849"/>
      <c r="G61" s="849"/>
      <c r="H61" s="849"/>
      <c r="I61" s="849"/>
      <c r="J61" s="849"/>
      <c r="K61" s="849"/>
      <c r="L61" s="849"/>
      <c r="M61" s="849"/>
      <c r="N61" s="849"/>
      <c r="O61" s="849"/>
      <c r="P61" s="849"/>
      <c r="Q61" s="849"/>
      <c r="R61" s="849"/>
      <c r="S61" s="849"/>
      <c r="T61" s="849"/>
      <c r="U61" s="849"/>
    </row>
    <row r="62" customFormat="false" ht="30.75" hidden="false" customHeight="true" outlineLevel="0" collapsed="false">
      <c r="A62" s="849"/>
      <c r="B62" s="849"/>
      <c r="C62" s="849"/>
      <c r="D62" s="849"/>
      <c r="E62" s="849"/>
      <c r="F62" s="849"/>
      <c r="G62" s="849"/>
      <c r="H62" s="849"/>
      <c r="I62" s="849"/>
      <c r="J62" s="849"/>
      <c r="K62" s="849"/>
      <c r="L62" s="849"/>
      <c r="M62" s="849"/>
      <c r="N62" s="849"/>
      <c r="O62" s="849"/>
      <c r="P62" s="849"/>
      <c r="Q62" s="849"/>
      <c r="R62" s="849"/>
      <c r="S62" s="849"/>
      <c r="T62" s="849"/>
      <c r="U62" s="849"/>
    </row>
    <row r="63" customFormat="false" ht="30.75" hidden="false" customHeight="true" outlineLevel="0" collapsed="false">
      <c r="A63" s="849"/>
      <c r="B63" s="849"/>
      <c r="C63" s="849"/>
      <c r="D63" s="849"/>
      <c r="E63" s="849"/>
      <c r="F63" s="849"/>
      <c r="G63" s="849"/>
      <c r="H63" s="849"/>
      <c r="I63" s="849"/>
      <c r="J63" s="849"/>
      <c r="K63" s="849"/>
      <c r="L63" s="849"/>
      <c r="M63" s="849"/>
      <c r="N63" s="849"/>
      <c r="O63" s="849"/>
      <c r="P63" s="849"/>
      <c r="Q63" s="849"/>
      <c r="R63" s="849"/>
      <c r="S63" s="849"/>
      <c r="T63" s="849"/>
      <c r="U63" s="849"/>
    </row>
    <row r="64" customFormat="false" ht="30.75" hidden="false" customHeight="true" outlineLevel="0" collapsed="false">
      <c r="A64" s="849"/>
      <c r="B64" s="849"/>
      <c r="C64" s="849"/>
      <c r="D64" s="849"/>
      <c r="E64" s="849"/>
      <c r="F64" s="849"/>
      <c r="G64" s="849"/>
      <c r="H64" s="849"/>
      <c r="I64" s="849"/>
      <c r="J64" s="849"/>
      <c r="K64" s="849"/>
      <c r="L64" s="849"/>
      <c r="M64" s="849"/>
      <c r="N64" s="849"/>
      <c r="O64" s="849"/>
      <c r="P64" s="849"/>
      <c r="Q64" s="849"/>
      <c r="R64" s="849"/>
      <c r="S64" s="849"/>
      <c r="T64" s="849"/>
      <c r="U64" s="849"/>
    </row>
    <row r="65" customFormat="false" ht="30.75" hidden="false" customHeight="true" outlineLevel="0" collapsed="false">
      <c r="A65" s="849"/>
      <c r="B65" s="849"/>
      <c r="C65" s="849"/>
      <c r="D65" s="849"/>
      <c r="E65" s="849"/>
      <c r="F65" s="849"/>
      <c r="G65" s="849"/>
      <c r="H65" s="849"/>
      <c r="I65" s="849"/>
      <c r="J65" s="849"/>
      <c r="K65" s="849"/>
      <c r="L65" s="849"/>
      <c r="M65" s="849"/>
      <c r="N65" s="849"/>
      <c r="O65" s="849"/>
      <c r="P65" s="849"/>
      <c r="Q65" s="849"/>
      <c r="R65" s="849"/>
      <c r="S65" s="849"/>
      <c r="T65" s="849"/>
      <c r="U65" s="849"/>
    </row>
    <row r="66" customFormat="false" ht="30.75" hidden="false" customHeight="true" outlineLevel="0" collapsed="false">
      <c r="A66" s="849"/>
      <c r="B66" s="849"/>
      <c r="C66" s="849"/>
      <c r="D66" s="849"/>
      <c r="E66" s="849"/>
      <c r="F66" s="849"/>
      <c r="G66" s="849"/>
      <c r="H66" s="849"/>
      <c r="I66" s="849"/>
      <c r="J66" s="849"/>
      <c r="K66" s="849"/>
      <c r="L66" s="849"/>
      <c r="M66" s="849"/>
      <c r="N66" s="849"/>
      <c r="O66" s="849"/>
      <c r="P66" s="849"/>
      <c r="Q66" s="849"/>
      <c r="R66" s="849"/>
      <c r="S66" s="849"/>
      <c r="T66" s="849"/>
      <c r="U66" s="849"/>
    </row>
    <row r="67" customFormat="false" ht="30.75" hidden="false" customHeight="true" outlineLevel="0" collapsed="false">
      <c r="A67" s="849"/>
      <c r="B67" s="849"/>
      <c r="C67" s="849"/>
      <c r="D67" s="849"/>
      <c r="E67" s="849"/>
      <c r="F67" s="849"/>
      <c r="G67" s="849"/>
      <c r="H67" s="849"/>
      <c r="I67" s="849"/>
      <c r="J67" s="849"/>
      <c r="K67" s="849"/>
      <c r="L67" s="849"/>
      <c r="M67" s="849"/>
      <c r="N67" s="849"/>
      <c r="O67" s="849"/>
      <c r="P67" s="849"/>
      <c r="Q67" s="849"/>
      <c r="R67" s="849"/>
      <c r="S67" s="849"/>
      <c r="T67" s="849"/>
      <c r="U67" s="849"/>
    </row>
    <row r="68" customFormat="false" ht="30.75" hidden="false" customHeight="true" outlineLevel="0" collapsed="false">
      <c r="A68" s="849"/>
      <c r="B68" s="849"/>
      <c r="C68" s="849"/>
      <c r="D68" s="849"/>
      <c r="E68" s="849"/>
      <c r="F68" s="849"/>
      <c r="G68" s="849"/>
      <c r="H68" s="849"/>
      <c r="I68" s="849"/>
      <c r="J68" s="849"/>
      <c r="K68" s="849"/>
      <c r="L68" s="849"/>
      <c r="M68" s="849"/>
      <c r="N68" s="849"/>
      <c r="O68" s="849"/>
      <c r="P68" s="849"/>
      <c r="Q68" s="849"/>
      <c r="R68" s="849"/>
      <c r="S68" s="849"/>
      <c r="T68" s="849"/>
      <c r="U68" s="849"/>
    </row>
    <row r="69" customFormat="false" ht="30.75" hidden="false" customHeight="true" outlineLevel="0" collapsed="false">
      <c r="B69" s="849"/>
      <c r="C69" s="849"/>
      <c r="D69" s="849"/>
      <c r="E69" s="849"/>
      <c r="F69" s="849"/>
      <c r="G69" s="849"/>
      <c r="H69" s="849"/>
    </row>
    <row r="70" customFormat="false" ht="30.75" hidden="false" customHeight="true" outlineLevel="0" collapsed="false">
      <c r="B70" s="849"/>
      <c r="C70" s="849"/>
      <c r="D70" s="849"/>
      <c r="E70" s="849"/>
      <c r="F70" s="849"/>
      <c r="G70" s="849"/>
      <c r="H70" s="849"/>
    </row>
    <row r="71" customFormat="false" ht="30.75" hidden="false" customHeight="true" outlineLevel="0" collapsed="false">
      <c r="B71" s="849"/>
      <c r="C71" s="849"/>
      <c r="D71" s="849"/>
      <c r="E71" s="849"/>
      <c r="F71" s="849"/>
      <c r="G71" s="849"/>
      <c r="H71" s="849"/>
    </row>
    <row r="72" customFormat="false" ht="30.75" hidden="false" customHeight="true" outlineLevel="0" collapsed="false">
      <c r="B72" s="849"/>
      <c r="C72" s="849"/>
      <c r="D72" s="849"/>
      <c r="E72" s="849"/>
      <c r="F72" s="849"/>
      <c r="G72" s="849"/>
      <c r="H72" s="849"/>
    </row>
    <row r="73" customFormat="false" ht="30.75" hidden="false" customHeight="true" outlineLevel="0" collapsed="false">
      <c r="B73" s="849"/>
      <c r="C73" s="849"/>
      <c r="D73" s="849"/>
      <c r="E73" s="849"/>
      <c r="F73" s="849"/>
      <c r="G73" s="849"/>
      <c r="H73" s="849"/>
    </row>
    <row r="74" customFormat="false" ht="30.75" hidden="false" customHeight="true" outlineLevel="0" collapsed="false">
      <c r="B74" s="849"/>
      <c r="C74" s="849"/>
      <c r="D74" s="849"/>
      <c r="E74" s="849"/>
      <c r="F74" s="849"/>
      <c r="G74" s="849"/>
      <c r="H74" s="84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8"/>
  <sheetViews>
    <sheetView showFormulas="false" showGridLines="true" showRowColHeaders="true" showZeros="true" rightToLeft="false" tabSelected="false" showOutlineSymbols="true" defaultGridColor="true" view="normal" topLeftCell="A17" colorId="64" zoomScale="140" zoomScaleNormal="140" zoomScalePageLayoutView="100" workbookViewId="0">
      <selection pane="topLeft" activeCell="F25" activeCellId="0" sqref="F25"/>
    </sheetView>
  </sheetViews>
  <sheetFormatPr defaultColWidth="19.859375" defaultRowHeight="30.75" zeroHeight="false" outlineLevelRow="0" outlineLevelCol="0"/>
  <cols>
    <col collapsed="false" customWidth="false" hidden="false" outlineLevel="0" max="1" min="1" style="958" width="19.86"/>
    <col collapsed="false" customWidth="true" hidden="false" outlineLevel="0" max="4" min="2" style="958" width="16.43"/>
    <col collapsed="false" customWidth="true" hidden="false" outlineLevel="0" max="5" min="5" style="958" width="18"/>
    <col collapsed="false" customWidth="true" hidden="false" outlineLevel="0" max="6" min="6" style="958" width="22"/>
    <col collapsed="false" customWidth="true" hidden="false" outlineLevel="0" max="7" min="7" style="958" width="28.29"/>
    <col collapsed="false" customWidth="true" hidden="false" outlineLevel="0" max="8" min="8" style="958" width="16.72"/>
    <col collapsed="false" customWidth="true" hidden="false" outlineLevel="0" max="9" min="9" style="958" width="20.28"/>
    <col collapsed="false" customWidth="false" hidden="false" outlineLevel="0" max="16384" min="10" style="958" width="19.86"/>
  </cols>
  <sheetData>
    <row r="1" customFormat="false" ht="30.75" hidden="false" customHeight="true" outlineLevel="0" collapsed="false">
      <c r="A1" s="849"/>
      <c r="B1" s="977" t="s">
        <v>168</v>
      </c>
      <c r="C1" s="849"/>
      <c r="D1" s="849"/>
      <c r="E1" s="849"/>
      <c r="F1" s="849"/>
      <c r="G1" s="849"/>
      <c r="H1" s="849"/>
      <c r="I1" s="849"/>
      <c r="J1" s="849"/>
      <c r="K1" s="849"/>
      <c r="L1" s="849"/>
      <c r="M1" s="849"/>
      <c r="N1" s="849"/>
      <c r="O1" s="849"/>
      <c r="P1" s="849"/>
      <c r="Q1" s="849"/>
      <c r="R1" s="849"/>
      <c r="S1" s="849"/>
      <c r="T1" s="849"/>
      <c r="U1" s="849"/>
      <c r="V1" s="849"/>
      <c r="W1" s="849"/>
      <c r="X1" s="849"/>
      <c r="Y1" s="849"/>
      <c r="Z1" s="849"/>
      <c r="AA1" s="849"/>
      <c r="AB1" s="849"/>
      <c r="AC1" s="849"/>
      <c r="AD1" s="849"/>
      <c r="AE1" s="849"/>
      <c r="AF1" s="849"/>
      <c r="AG1" s="849"/>
    </row>
    <row r="2" customFormat="false" ht="30.75" hidden="false" customHeight="true" outlineLevel="0" collapsed="false">
      <c r="A2" s="1018"/>
      <c r="B2" s="979" t="s">
        <v>6</v>
      </c>
      <c r="C2" s="979" t="s">
        <v>7</v>
      </c>
      <c r="D2" s="979" t="s">
        <v>8</v>
      </c>
      <c r="E2" s="979" t="s">
        <v>9</v>
      </c>
      <c r="F2" s="979" t="s">
        <v>8</v>
      </c>
      <c r="G2" s="979" t="s">
        <v>11</v>
      </c>
      <c r="H2" s="980" t="s">
        <v>6</v>
      </c>
      <c r="I2" s="849"/>
      <c r="J2" s="849"/>
      <c r="K2" s="849"/>
      <c r="L2" s="849"/>
      <c r="M2" s="849"/>
      <c r="N2" s="849"/>
      <c r="O2" s="849"/>
      <c r="P2" s="849"/>
      <c r="Q2" s="849"/>
      <c r="R2" s="849"/>
      <c r="S2" s="849"/>
      <c r="T2" s="849"/>
      <c r="U2" s="849"/>
      <c r="V2" s="849"/>
      <c r="W2" s="849"/>
      <c r="X2" s="849"/>
      <c r="Y2" s="849"/>
      <c r="Z2" s="849"/>
      <c r="AA2" s="849"/>
      <c r="AB2" s="849"/>
      <c r="AC2" s="849"/>
      <c r="AD2" s="849"/>
      <c r="AE2" s="849"/>
      <c r="AF2" s="849"/>
      <c r="AG2" s="849"/>
    </row>
    <row r="3" customFormat="false" ht="30.75" hidden="false" customHeight="true" outlineLevel="0" collapsed="false">
      <c r="A3" s="849"/>
      <c r="B3" s="981"/>
      <c r="C3" s="981"/>
      <c r="D3" s="981"/>
      <c r="E3" s="981" t="n">
        <v>1</v>
      </c>
      <c r="F3" s="981" t="n">
        <v>2</v>
      </c>
      <c r="G3" s="981" t="n">
        <v>3</v>
      </c>
      <c r="H3" s="981" t="n">
        <v>4</v>
      </c>
      <c r="I3" s="982" t="s">
        <v>14</v>
      </c>
      <c r="J3" s="849"/>
      <c r="K3" s="849"/>
      <c r="L3" s="849"/>
      <c r="M3" s="849"/>
      <c r="N3" s="849"/>
      <c r="O3" s="849"/>
      <c r="P3" s="849"/>
      <c r="Q3" s="849"/>
      <c r="R3" s="849"/>
      <c r="S3" s="849"/>
      <c r="T3" s="849"/>
      <c r="U3" s="849"/>
      <c r="V3" s="849"/>
      <c r="W3" s="849"/>
      <c r="X3" s="849"/>
      <c r="Y3" s="849"/>
      <c r="Z3" s="849"/>
      <c r="AA3" s="849"/>
      <c r="AB3" s="849"/>
      <c r="AC3" s="849"/>
      <c r="AD3" s="849"/>
      <c r="AE3" s="849"/>
      <c r="AF3" s="849"/>
      <c r="AG3" s="849"/>
    </row>
    <row r="4" customFormat="false" ht="30.75" hidden="false" customHeight="true" outlineLevel="0" collapsed="false">
      <c r="A4" s="849"/>
      <c r="B4" s="983"/>
      <c r="C4" s="983"/>
      <c r="D4" s="983"/>
      <c r="E4" s="983" t="s">
        <v>62</v>
      </c>
      <c r="F4" s="983" t="s">
        <v>359</v>
      </c>
      <c r="G4" s="983" t="s">
        <v>359</v>
      </c>
      <c r="H4" s="988" t="s">
        <v>54</v>
      </c>
      <c r="I4" s="985" t="s">
        <v>16</v>
      </c>
      <c r="J4" s="849"/>
      <c r="K4" s="849"/>
      <c r="L4" s="849"/>
      <c r="M4" s="849"/>
      <c r="N4" s="849"/>
      <c r="O4" s="849"/>
      <c r="P4" s="849"/>
      <c r="Q4" s="849"/>
      <c r="R4" s="849"/>
      <c r="S4" s="849"/>
      <c r="T4" s="849"/>
      <c r="U4" s="849"/>
      <c r="V4" s="849"/>
      <c r="W4" s="849"/>
      <c r="X4" s="849"/>
      <c r="Y4" s="849"/>
      <c r="Z4" s="849"/>
      <c r="AA4" s="849"/>
      <c r="AB4" s="849"/>
      <c r="AC4" s="849"/>
      <c r="AD4" s="849"/>
      <c r="AE4" s="849"/>
      <c r="AF4" s="849"/>
      <c r="AG4" s="849"/>
    </row>
    <row r="5" customFormat="false" ht="30.75" hidden="false" customHeight="true" outlineLevel="0" collapsed="false">
      <c r="A5" s="849"/>
      <c r="B5" s="986"/>
      <c r="C5" s="986"/>
      <c r="D5" s="986"/>
      <c r="E5" s="986" t="n">
        <v>0.5</v>
      </c>
      <c r="F5" s="986" t="n">
        <v>0.38</v>
      </c>
      <c r="G5" s="986" t="n">
        <v>0.26</v>
      </c>
      <c r="H5" s="986" t="n">
        <v>0.16</v>
      </c>
      <c r="I5" s="987" t="s">
        <v>536</v>
      </c>
      <c r="J5" s="849"/>
      <c r="K5" s="849"/>
      <c r="L5" s="849"/>
      <c r="M5" s="849"/>
      <c r="N5" s="849"/>
      <c r="O5" s="849"/>
      <c r="P5" s="849"/>
      <c r="Q5" s="849"/>
      <c r="R5" s="849"/>
      <c r="S5" s="849"/>
      <c r="T5" s="849"/>
      <c r="U5" s="849"/>
      <c r="V5" s="849"/>
      <c r="W5" s="849"/>
      <c r="X5" s="849"/>
      <c r="Y5" s="849"/>
      <c r="Z5" s="849"/>
      <c r="AA5" s="849"/>
      <c r="AB5" s="849"/>
      <c r="AC5" s="849"/>
      <c r="AD5" s="849"/>
      <c r="AE5" s="849"/>
      <c r="AF5" s="849"/>
      <c r="AG5" s="849"/>
    </row>
    <row r="6" customFormat="false" ht="30.75" hidden="false" customHeight="true" outlineLevel="0" collapsed="false">
      <c r="A6" s="849"/>
      <c r="B6" s="988"/>
      <c r="C6" s="988"/>
      <c r="D6" s="989"/>
      <c r="E6" s="988" t="s">
        <v>537</v>
      </c>
      <c r="F6" s="989" t="s">
        <v>62</v>
      </c>
      <c r="G6" s="989" t="s">
        <v>62</v>
      </c>
      <c r="I6" s="985" t="s">
        <v>19</v>
      </c>
      <c r="J6" s="849"/>
      <c r="K6" s="849"/>
      <c r="L6" s="849"/>
      <c r="M6" s="849"/>
      <c r="N6" s="849"/>
      <c r="O6" s="849"/>
      <c r="P6" s="849"/>
      <c r="Q6" s="849"/>
      <c r="R6" s="849"/>
      <c r="S6" s="849"/>
      <c r="T6" s="849"/>
      <c r="U6" s="849"/>
      <c r="V6" s="849"/>
      <c r="W6" s="849"/>
      <c r="X6" s="849"/>
      <c r="Y6" s="849"/>
      <c r="Z6" s="849"/>
      <c r="AA6" s="849"/>
      <c r="AB6" s="849"/>
      <c r="AC6" s="849"/>
      <c r="AD6" s="849"/>
      <c r="AE6" s="849"/>
      <c r="AF6" s="849"/>
      <c r="AG6" s="849"/>
    </row>
    <row r="7" customFormat="false" ht="30.75" hidden="false" customHeight="true" outlineLevel="0" collapsed="false">
      <c r="A7" s="849"/>
      <c r="B7" s="989"/>
      <c r="C7" s="989"/>
      <c r="D7" s="989"/>
      <c r="E7" s="989" t="s">
        <v>538</v>
      </c>
      <c r="F7" s="989" t="s">
        <v>539</v>
      </c>
      <c r="G7" s="989" t="s">
        <v>540</v>
      </c>
      <c r="H7" s="989" t="s">
        <v>527</v>
      </c>
      <c r="I7" s="987" t="s">
        <v>502</v>
      </c>
      <c r="J7" s="849"/>
      <c r="K7" s="849"/>
      <c r="L7" s="849"/>
      <c r="M7" s="849"/>
      <c r="N7" s="849"/>
      <c r="O7" s="849"/>
      <c r="P7" s="849"/>
      <c r="Q7" s="849"/>
      <c r="R7" s="849"/>
      <c r="S7" s="849"/>
      <c r="T7" s="849"/>
      <c r="U7" s="849"/>
      <c r="V7" s="849"/>
      <c r="W7" s="849"/>
      <c r="X7" s="849"/>
      <c r="Y7" s="849"/>
      <c r="Z7" s="849"/>
      <c r="AA7" s="849"/>
      <c r="AB7" s="849"/>
      <c r="AC7" s="849"/>
      <c r="AD7" s="849"/>
      <c r="AE7" s="849"/>
      <c r="AF7" s="849"/>
      <c r="AG7" s="849"/>
    </row>
    <row r="8" customFormat="false" ht="30.75" hidden="false" customHeight="true" outlineLevel="0" collapsed="false">
      <c r="A8" s="849"/>
      <c r="B8" s="994"/>
      <c r="C8" s="989"/>
      <c r="D8" s="989"/>
      <c r="E8" s="989"/>
      <c r="F8" s="989"/>
      <c r="G8" s="989"/>
      <c r="H8" s="989"/>
      <c r="I8" s="1019" t="s">
        <v>503</v>
      </c>
      <c r="J8" s="849"/>
      <c r="K8" s="849"/>
      <c r="L8" s="849"/>
      <c r="M8" s="849"/>
      <c r="N8" s="849"/>
      <c r="O8" s="849"/>
      <c r="P8" s="849"/>
      <c r="Q8" s="849"/>
      <c r="R8" s="849"/>
      <c r="S8" s="849"/>
      <c r="T8" s="849"/>
      <c r="U8" s="849"/>
      <c r="V8" s="849"/>
      <c r="W8" s="849"/>
      <c r="X8" s="849"/>
      <c r="Y8" s="849"/>
      <c r="Z8" s="849"/>
      <c r="AA8" s="849"/>
      <c r="AB8" s="849"/>
      <c r="AC8" s="849"/>
      <c r="AD8" s="849"/>
      <c r="AE8" s="849"/>
      <c r="AF8" s="849"/>
      <c r="AG8" s="849"/>
    </row>
    <row r="9" customFormat="false" ht="30.75" hidden="false" customHeight="true" outlineLevel="0" collapsed="false">
      <c r="A9" s="849"/>
      <c r="B9" s="981" t="n">
        <v>5</v>
      </c>
      <c r="C9" s="981" t="n">
        <v>6</v>
      </c>
      <c r="D9" s="981" t="n">
        <v>7</v>
      </c>
      <c r="E9" s="981" t="n">
        <v>8</v>
      </c>
      <c r="F9" s="981" t="n">
        <v>9</v>
      </c>
      <c r="G9" s="981" t="n">
        <v>10</v>
      </c>
      <c r="H9" s="981" t="n">
        <v>11</v>
      </c>
      <c r="I9" s="849"/>
      <c r="J9" s="849"/>
      <c r="K9" s="849"/>
      <c r="L9" s="849"/>
      <c r="M9" s="849"/>
      <c r="N9" s="849"/>
      <c r="O9" s="849"/>
      <c r="P9" s="849"/>
      <c r="Q9" s="849"/>
      <c r="R9" s="849"/>
      <c r="S9" s="849"/>
      <c r="T9" s="849"/>
      <c r="U9" s="849"/>
      <c r="V9" s="849"/>
      <c r="W9" s="849"/>
      <c r="X9" s="849"/>
      <c r="Y9" s="849"/>
      <c r="Z9" s="849"/>
      <c r="AA9" s="849"/>
      <c r="AB9" s="849"/>
      <c r="AC9" s="849"/>
      <c r="AD9" s="849"/>
      <c r="AE9" s="849"/>
      <c r="AF9" s="849"/>
      <c r="AG9" s="849"/>
    </row>
    <row r="10" customFormat="false" ht="30.75" hidden="false" customHeight="true" outlineLevel="0" collapsed="false">
      <c r="A10" s="849"/>
      <c r="B10" s="983" t="s">
        <v>40</v>
      </c>
      <c r="C10" s="983" t="s">
        <v>506</v>
      </c>
      <c r="D10" s="983" t="s">
        <v>506</v>
      </c>
      <c r="E10" s="983" t="s">
        <v>506</v>
      </c>
      <c r="F10" s="983" t="s">
        <v>209</v>
      </c>
      <c r="G10" s="983" t="s">
        <v>62</v>
      </c>
      <c r="H10" s="999" t="s">
        <v>54</v>
      </c>
      <c r="I10" s="849"/>
      <c r="J10" s="849"/>
      <c r="K10" s="849"/>
      <c r="L10" s="849"/>
      <c r="M10" s="849"/>
      <c r="N10" s="849"/>
      <c r="O10" s="849"/>
      <c r="P10" s="849"/>
      <c r="Q10" s="849"/>
      <c r="R10" s="849"/>
      <c r="S10" s="849"/>
      <c r="T10" s="849"/>
      <c r="U10" s="849"/>
      <c r="V10" s="849"/>
      <c r="W10" s="849"/>
      <c r="X10" s="849"/>
      <c r="Y10" s="849"/>
      <c r="Z10" s="849"/>
      <c r="AA10" s="849"/>
      <c r="AB10" s="849"/>
      <c r="AC10" s="849"/>
      <c r="AD10" s="849"/>
      <c r="AE10" s="849"/>
      <c r="AF10" s="849"/>
      <c r="AG10" s="849"/>
    </row>
    <row r="11" customFormat="false" ht="30.75" hidden="false" customHeight="true" outlineLevel="0" collapsed="false">
      <c r="A11" s="849"/>
      <c r="B11" s="986" t="n">
        <v>0.08</v>
      </c>
      <c r="C11" s="986" t="n">
        <v>0.03</v>
      </c>
      <c r="D11" s="986" t="n">
        <v>0</v>
      </c>
      <c r="E11" s="986" t="n">
        <v>0</v>
      </c>
      <c r="F11" s="986" t="n">
        <v>0.04</v>
      </c>
      <c r="G11" s="986" t="n">
        <v>0.1</v>
      </c>
      <c r="H11" s="1000" t="n">
        <v>0.17</v>
      </c>
      <c r="I11" s="849"/>
      <c r="J11" s="849"/>
      <c r="K11" s="849"/>
      <c r="L11" s="849"/>
      <c r="M11" s="849"/>
      <c r="N11" s="849"/>
      <c r="O11" s="849"/>
      <c r="P11" s="849"/>
      <c r="Q11" s="849"/>
      <c r="R11" s="849"/>
      <c r="S11" s="849"/>
      <c r="T11" s="849"/>
      <c r="U11" s="849"/>
      <c r="V11" s="849"/>
      <c r="W11" s="849"/>
      <c r="X11" s="849"/>
      <c r="Y11" s="849"/>
      <c r="Z11" s="849"/>
      <c r="AA11" s="849"/>
      <c r="AB11" s="849"/>
      <c r="AC11" s="849"/>
      <c r="AD11" s="849"/>
      <c r="AE11" s="849"/>
      <c r="AF11" s="849"/>
      <c r="AG11" s="849"/>
    </row>
    <row r="12" customFormat="false" ht="30.75" hidden="false" customHeight="true" outlineLevel="0" collapsed="false">
      <c r="A12" s="849"/>
      <c r="B12" s="989" t="s">
        <v>62</v>
      </c>
      <c r="C12" s="989" t="s">
        <v>54</v>
      </c>
      <c r="D12" s="989" t="s">
        <v>352</v>
      </c>
      <c r="E12" s="988" t="s">
        <v>541</v>
      </c>
      <c r="F12" s="989" t="s">
        <v>352</v>
      </c>
      <c r="G12" s="988"/>
      <c r="H12" s="1001"/>
      <c r="I12" s="849"/>
      <c r="J12" s="849"/>
      <c r="K12" s="849"/>
      <c r="L12" s="849"/>
      <c r="M12" s="849"/>
      <c r="N12" s="849"/>
      <c r="O12" s="849"/>
      <c r="P12" s="849"/>
      <c r="Q12" s="849"/>
      <c r="R12" s="849"/>
      <c r="S12" s="849"/>
      <c r="T12" s="849"/>
      <c r="U12" s="849"/>
      <c r="V12" s="849"/>
      <c r="W12" s="849"/>
      <c r="X12" s="849"/>
      <c r="Y12" s="849"/>
      <c r="Z12" s="849"/>
      <c r="AA12" s="849"/>
      <c r="AB12" s="849"/>
      <c r="AC12" s="849"/>
      <c r="AD12" s="849"/>
      <c r="AE12" s="849"/>
      <c r="AF12" s="849"/>
      <c r="AG12" s="849"/>
    </row>
    <row r="13" customFormat="false" ht="30.75" hidden="false" customHeight="true" outlineLevel="0" collapsed="false">
      <c r="A13" s="849"/>
      <c r="B13" s="989" t="s">
        <v>542</v>
      </c>
      <c r="C13" s="989" t="s">
        <v>543</v>
      </c>
      <c r="D13" s="989" t="s">
        <v>544</v>
      </c>
      <c r="E13" s="989" t="s">
        <v>545</v>
      </c>
      <c r="F13" s="989" t="s">
        <v>546</v>
      </c>
      <c r="G13" s="989" t="s">
        <v>547</v>
      </c>
      <c r="H13" s="990" t="s">
        <v>548</v>
      </c>
      <c r="I13" s="849"/>
      <c r="J13" s="849"/>
      <c r="K13" s="849"/>
      <c r="L13" s="849"/>
      <c r="M13" s="849"/>
      <c r="N13" s="849"/>
      <c r="O13" s="849"/>
      <c r="P13" s="849"/>
      <c r="Q13" s="849"/>
      <c r="R13" s="849"/>
      <c r="S13" s="849"/>
      <c r="T13" s="849"/>
      <c r="U13" s="849"/>
      <c r="V13" s="849"/>
      <c r="W13" s="849"/>
      <c r="X13" s="849"/>
      <c r="Y13" s="849"/>
      <c r="Z13" s="849"/>
      <c r="AA13" s="849"/>
      <c r="AB13" s="849"/>
      <c r="AC13" s="849"/>
      <c r="AD13" s="849"/>
      <c r="AE13" s="849"/>
      <c r="AF13" s="849"/>
      <c r="AG13" s="849"/>
    </row>
    <row r="14" customFormat="false" ht="30.75" hidden="false" customHeight="true" outlineLevel="0" collapsed="false">
      <c r="A14" s="849"/>
      <c r="B14" s="994"/>
      <c r="C14" s="989"/>
      <c r="D14" s="989"/>
      <c r="E14" s="989"/>
      <c r="F14" s="1002"/>
      <c r="G14" s="989"/>
      <c r="H14" s="990"/>
      <c r="I14" s="849"/>
      <c r="J14" s="849"/>
      <c r="K14" s="849"/>
      <c r="L14" s="849"/>
      <c r="M14" s="849"/>
      <c r="N14" s="849"/>
      <c r="O14" s="849"/>
      <c r="P14" s="849"/>
      <c r="Q14" s="849"/>
      <c r="R14" s="849"/>
      <c r="S14" s="849"/>
      <c r="T14" s="849"/>
      <c r="U14" s="849"/>
      <c r="V14" s="849"/>
      <c r="W14" s="849"/>
      <c r="X14" s="849"/>
      <c r="Y14" s="849"/>
      <c r="Z14" s="849"/>
      <c r="AA14" s="849"/>
      <c r="AB14" s="849"/>
      <c r="AC14" s="849"/>
      <c r="AD14" s="849"/>
      <c r="AE14" s="849"/>
      <c r="AF14" s="849"/>
      <c r="AG14" s="849"/>
    </row>
    <row r="15" customFormat="false" ht="30.75" hidden="false" customHeight="true" outlineLevel="0" collapsed="false">
      <c r="A15" s="849"/>
      <c r="B15" s="981" t="n">
        <v>12</v>
      </c>
      <c r="C15" s="981" t="n">
        <v>13</v>
      </c>
      <c r="D15" s="981" t="n">
        <v>14</v>
      </c>
      <c r="E15" s="981" t="n">
        <v>15</v>
      </c>
      <c r="F15" s="981" t="n">
        <v>16</v>
      </c>
      <c r="G15" s="981" t="n">
        <v>17</v>
      </c>
      <c r="H15" s="981" t="n">
        <v>18</v>
      </c>
      <c r="I15" s="849"/>
      <c r="J15" s="849"/>
      <c r="K15" s="849"/>
      <c r="L15" s="849"/>
      <c r="M15" s="849"/>
      <c r="N15" s="849"/>
      <c r="O15" s="849"/>
      <c r="P15" s="849"/>
      <c r="Q15" s="849"/>
      <c r="R15" s="849"/>
      <c r="S15" s="849"/>
      <c r="T15" s="849"/>
      <c r="U15" s="849"/>
      <c r="V15" s="849"/>
      <c r="W15" s="849"/>
      <c r="X15" s="849"/>
    </row>
    <row r="16" customFormat="false" ht="30.75" hidden="false" customHeight="true" outlineLevel="0" collapsed="false">
      <c r="A16" s="849"/>
      <c r="B16" s="983" t="s">
        <v>209</v>
      </c>
      <c r="C16" s="983" t="s">
        <v>352</v>
      </c>
      <c r="D16" s="983" t="s">
        <v>506</v>
      </c>
      <c r="E16" s="983" t="s">
        <v>506</v>
      </c>
      <c r="F16" s="983" t="s">
        <v>209</v>
      </c>
      <c r="G16" s="983" t="s">
        <v>79</v>
      </c>
      <c r="H16" s="999" t="s">
        <v>79</v>
      </c>
      <c r="I16" s="849"/>
      <c r="J16" s="849"/>
      <c r="K16" s="849"/>
      <c r="L16" s="849"/>
      <c r="M16" s="849"/>
      <c r="N16" s="849"/>
      <c r="O16" s="849"/>
      <c r="P16" s="849"/>
      <c r="Q16" s="849"/>
      <c r="R16" s="849"/>
      <c r="S16" s="849"/>
      <c r="T16" s="849"/>
      <c r="U16" s="849"/>
      <c r="V16" s="849"/>
      <c r="W16" s="849"/>
      <c r="X16" s="849"/>
    </row>
    <row r="17" customFormat="false" ht="30.75" hidden="false" customHeight="true" outlineLevel="0" collapsed="false">
      <c r="A17" s="849"/>
      <c r="B17" s="986" t="n">
        <v>0.27</v>
      </c>
      <c r="C17" s="986" t="n">
        <v>0.37</v>
      </c>
      <c r="D17" s="986" t="n">
        <v>0.46</v>
      </c>
      <c r="E17" s="986" t="n">
        <v>0.55</v>
      </c>
      <c r="F17" s="986" t="n">
        <v>0.65</v>
      </c>
      <c r="G17" s="986" t="n">
        <v>0.75</v>
      </c>
      <c r="H17" s="1000" t="n">
        <v>0.83</v>
      </c>
      <c r="I17" s="849"/>
      <c r="J17" s="849"/>
      <c r="K17" s="849"/>
      <c r="L17" s="849"/>
      <c r="M17" s="849"/>
      <c r="N17" s="849"/>
      <c r="O17" s="849"/>
      <c r="P17" s="849"/>
      <c r="Q17" s="849"/>
      <c r="R17" s="849"/>
      <c r="S17" s="849"/>
      <c r="T17" s="849"/>
      <c r="U17" s="849"/>
      <c r="V17" s="849"/>
      <c r="W17" s="849"/>
      <c r="X17" s="849"/>
    </row>
    <row r="18" customFormat="false" ht="30.75" hidden="false" customHeight="true" outlineLevel="0" collapsed="false">
      <c r="A18" s="849"/>
      <c r="B18" s="989" t="s">
        <v>62</v>
      </c>
      <c r="C18" s="988" t="s">
        <v>54</v>
      </c>
      <c r="D18" s="989" t="s">
        <v>352</v>
      </c>
      <c r="E18" s="988" t="s">
        <v>541</v>
      </c>
      <c r="F18" s="988" t="s">
        <v>62</v>
      </c>
      <c r="G18" s="988" t="s">
        <v>169</v>
      </c>
      <c r="H18" s="1001" t="s">
        <v>54</v>
      </c>
      <c r="I18" s="849"/>
      <c r="J18" s="849"/>
      <c r="K18" s="849"/>
      <c r="L18" s="849"/>
      <c r="M18" s="849"/>
      <c r="N18" s="849"/>
      <c r="O18" s="849"/>
      <c r="P18" s="849"/>
      <c r="Q18" s="849"/>
      <c r="R18" s="849"/>
      <c r="S18" s="849"/>
      <c r="T18" s="849"/>
      <c r="U18" s="849"/>
      <c r="V18" s="849"/>
      <c r="W18" s="849"/>
      <c r="X18" s="849"/>
    </row>
    <row r="19" customFormat="false" ht="30.75" hidden="false" customHeight="true" outlineLevel="0" collapsed="false">
      <c r="A19" s="849"/>
      <c r="B19" s="1007" t="n">
        <v>0.145833333333333</v>
      </c>
      <c r="C19" s="989" t="s">
        <v>542</v>
      </c>
      <c r="D19" s="989" t="s">
        <v>542</v>
      </c>
      <c r="E19" s="989" t="s">
        <v>549</v>
      </c>
      <c r="F19" s="989" t="s">
        <v>550</v>
      </c>
      <c r="G19" s="989"/>
      <c r="H19" s="990"/>
      <c r="I19" s="849"/>
      <c r="J19" s="849"/>
      <c r="K19" s="849"/>
      <c r="L19" s="849"/>
      <c r="M19" s="849"/>
      <c r="N19" s="849"/>
      <c r="O19" s="849"/>
      <c r="P19" s="849"/>
      <c r="Q19" s="849"/>
      <c r="R19" s="849"/>
      <c r="S19" s="849"/>
      <c r="T19" s="849"/>
      <c r="U19" s="849"/>
      <c r="V19" s="849"/>
      <c r="W19" s="849"/>
      <c r="X19" s="849"/>
    </row>
    <row r="20" customFormat="false" ht="30.75" hidden="false" customHeight="true" outlineLevel="0" collapsed="false">
      <c r="A20" s="849"/>
      <c r="B20" s="1008" t="s">
        <v>551</v>
      </c>
      <c r="C20" s="989"/>
      <c r="D20" s="989"/>
      <c r="E20" s="989"/>
      <c r="F20" s="989"/>
      <c r="G20" s="989"/>
      <c r="H20" s="990"/>
      <c r="I20" s="849"/>
      <c r="J20" s="849"/>
      <c r="K20" s="849"/>
      <c r="L20" s="849"/>
      <c r="M20" s="849"/>
      <c r="N20" s="849"/>
      <c r="O20" s="849"/>
      <c r="P20" s="849"/>
      <c r="Q20" s="849"/>
      <c r="R20" s="849"/>
      <c r="S20" s="849"/>
      <c r="T20" s="849"/>
      <c r="U20" s="849"/>
      <c r="V20" s="849"/>
      <c r="W20" s="849"/>
      <c r="X20" s="849"/>
    </row>
    <row r="21" customFormat="false" ht="30.75" hidden="false" customHeight="true" outlineLevel="0" collapsed="false">
      <c r="A21" s="849"/>
      <c r="B21" s="981" t="n">
        <v>19</v>
      </c>
      <c r="C21" s="981" t="n">
        <v>20</v>
      </c>
      <c r="D21" s="981" t="n">
        <v>21</v>
      </c>
      <c r="E21" s="981" t="n">
        <v>22</v>
      </c>
      <c r="F21" s="981" t="n">
        <v>23</v>
      </c>
      <c r="G21" s="981" t="n">
        <v>24</v>
      </c>
      <c r="H21" s="981" t="n">
        <v>25</v>
      </c>
      <c r="I21" s="849"/>
      <c r="J21" s="849"/>
      <c r="K21" s="849"/>
      <c r="L21" s="849"/>
      <c r="M21" s="849"/>
      <c r="N21" s="849"/>
      <c r="O21" s="849"/>
      <c r="P21" s="849"/>
      <c r="Q21" s="849"/>
      <c r="R21" s="849"/>
      <c r="S21" s="849"/>
      <c r="T21" s="849"/>
      <c r="U21" s="849"/>
      <c r="V21" s="849"/>
      <c r="W21" s="849"/>
      <c r="X21" s="849"/>
    </row>
    <row r="22" customFormat="false" ht="30.75" hidden="false" customHeight="true" outlineLevel="0" collapsed="false">
      <c r="A22" s="849"/>
      <c r="B22" s="1009"/>
      <c r="C22" s="1009"/>
      <c r="D22" s="1009"/>
      <c r="E22" s="1009"/>
      <c r="F22" s="1009"/>
      <c r="G22" s="1009"/>
      <c r="H22" s="1006"/>
      <c r="I22" s="849"/>
      <c r="J22" s="849"/>
      <c r="K22" s="849"/>
      <c r="L22" s="849"/>
      <c r="M22" s="849"/>
      <c r="N22" s="849"/>
      <c r="O22" s="849"/>
      <c r="P22" s="849"/>
      <c r="Q22" s="849"/>
      <c r="R22" s="849"/>
      <c r="S22" s="849"/>
      <c r="T22" s="849"/>
      <c r="U22" s="849"/>
      <c r="V22" s="849"/>
      <c r="W22" s="849"/>
      <c r="X22" s="849"/>
    </row>
    <row r="23" customFormat="false" ht="30.75" hidden="false" customHeight="true" outlineLevel="0" collapsed="false">
      <c r="A23" s="849"/>
      <c r="B23" s="986" t="n">
        <v>0.89</v>
      </c>
      <c r="C23" s="986" t="n">
        <v>0.95</v>
      </c>
      <c r="D23" s="986" t="n">
        <v>0.95</v>
      </c>
      <c r="E23" s="986" t="n">
        <v>0.99</v>
      </c>
      <c r="F23" s="986" t="n">
        <v>1</v>
      </c>
      <c r="G23" s="986" t="n">
        <v>1</v>
      </c>
      <c r="H23" s="986" t="n">
        <v>0.96</v>
      </c>
      <c r="I23" s="849"/>
      <c r="J23" s="849"/>
      <c r="K23" s="849"/>
      <c r="L23" s="849"/>
      <c r="M23" s="849"/>
      <c r="N23" s="849"/>
      <c r="O23" s="849"/>
      <c r="P23" s="849"/>
      <c r="Q23" s="849"/>
      <c r="R23" s="849"/>
      <c r="S23" s="849"/>
      <c r="T23" s="849"/>
      <c r="U23" s="849"/>
      <c r="V23" s="849"/>
      <c r="W23" s="849"/>
      <c r="X23" s="849"/>
    </row>
    <row r="24" customFormat="false" ht="30.75" hidden="false" customHeight="true" outlineLevel="0" collapsed="false">
      <c r="A24" s="849"/>
      <c r="B24" s="990" t="s">
        <v>135</v>
      </c>
      <c r="C24" s="990"/>
      <c r="D24" s="990"/>
      <c r="E24" s="990"/>
      <c r="F24" s="990"/>
      <c r="G24" s="990"/>
      <c r="H24" s="990"/>
      <c r="I24" s="849"/>
      <c r="J24" s="849"/>
      <c r="K24" s="849"/>
      <c r="L24" s="849"/>
      <c r="M24" s="849"/>
      <c r="N24" s="849"/>
      <c r="O24" s="849"/>
      <c r="P24" s="849"/>
      <c r="Q24" s="849"/>
      <c r="R24" s="849"/>
      <c r="S24" s="849"/>
      <c r="T24" s="849"/>
      <c r="U24" s="849"/>
      <c r="V24" s="849"/>
      <c r="W24" s="849"/>
      <c r="X24" s="849"/>
    </row>
    <row r="25" customFormat="false" ht="30.75" hidden="false" customHeight="true" outlineLevel="0" collapsed="false">
      <c r="A25" s="849"/>
      <c r="B25" s="989"/>
      <c r="C25" s="989"/>
      <c r="D25" s="989"/>
      <c r="E25" s="989"/>
      <c r="F25" s="989"/>
      <c r="G25" s="989"/>
      <c r="H25" s="990"/>
      <c r="I25" s="849"/>
      <c r="J25" s="849"/>
      <c r="K25" s="849"/>
      <c r="L25" s="849"/>
      <c r="M25" s="849"/>
      <c r="N25" s="849"/>
      <c r="O25" s="849"/>
      <c r="P25" s="849"/>
      <c r="Q25" s="849"/>
      <c r="R25" s="849"/>
      <c r="S25" s="849"/>
      <c r="T25" s="849"/>
      <c r="U25" s="849"/>
      <c r="V25" s="849"/>
      <c r="W25" s="849"/>
      <c r="X25" s="849"/>
    </row>
    <row r="26" customFormat="false" ht="30.75" hidden="false" customHeight="true" outlineLevel="0" collapsed="false">
      <c r="A26" s="849"/>
      <c r="B26" s="994"/>
      <c r="C26" s="989"/>
      <c r="D26" s="989"/>
      <c r="E26" s="989"/>
      <c r="F26" s="989"/>
      <c r="G26" s="989"/>
      <c r="H26" s="990"/>
      <c r="I26" s="849"/>
      <c r="J26" s="849"/>
      <c r="K26" s="849"/>
      <c r="L26" s="849"/>
      <c r="M26" s="849"/>
      <c r="N26" s="849"/>
      <c r="O26" s="849"/>
      <c r="P26" s="849"/>
      <c r="Q26" s="849"/>
      <c r="R26" s="849"/>
      <c r="S26" s="849"/>
      <c r="T26" s="849"/>
      <c r="U26" s="849"/>
      <c r="V26" s="849"/>
      <c r="W26" s="849"/>
      <c r="X26" s="849"/>
    </row>
    <row r="27" customFormat="false" ht="30.75" hidden="false" customHeight="true" outlineLevel="0" collapsed="false">
      <c r="A27" s="849"/>
      <c r="B27" s="981" t="n">
        <v>26</v>
      </c>
      <c r="C27" s="981" t="n">
        <v>27</v>
      </c>
      <c r="D27" s="981" t="n">
        <v>28</v>
      </c>
      <c r="E27" s="981" t="n">
        <v>29</v>
      </c>
      <c r="F27" s="981" t="n">
        <v>30</v>
      </c>
      <c r="G27" s="981" t="n">
        <v>31</v>
      </c>
      <c r="H27" s="998"/>
      <c r="I27" s="849"/>
      <c r="J27" s="849"/>
      <c r="K27" s="849"/>
      <c r="L27" s="849"/>
      <c r="M27" s="849"/>
      <c r="N27" s="849"/>
      <c r="O27" s="849"/>
      <c r="P27" s="849"/>
      <c r="Q27" s="849"/>
      <c r="R27" s="849"/>
      <c r="S27" s="849"/>
      <c r="T27" s="849"/>
      <c r="U27" s="849"/>
      <c r="V27" s="849"/>
      <c r="W27" s="849"/>
      <c r="X27" s="849"/>
    </row>
    <row r="28" customFormat="false" ht="30.75" hidden="false" customHeight="true" outlineLevel="0" collapsed="false">
      <c r="A28" s="849"/>
      <c r="B28" s="1005"/>
      <c r="C28" s="1005"/>
      <c r="D28" s="1005"/>
      <c r="E28" s="1005"/>
      <c r="F28" s="1005"/>
      <c r="G28" s="1005"/>
      <c r="H28" s="999"/>
      <c r="I28" s="849"/>
      <c r="J28" s="849"/>
      <c r="K28" s="849"/>
      <c r="L28" s="849"/>
      <c r="M28" s="849"/>
      <c r="N28" s="849"/>
      <c r="O28" s="849"/>
      <c r="P28" s="849"/>
      <c r="Q28" s="849"/>
      <c r="R28" s="849"/>
      <c r="S28" s="849"/>
      <c r="T28" s="849"/>
      <c r="U28" s="849"/>
      <c r="V28" s="849"/>
      <c r="W28" s="849"/>
      <c r="X28" s="849"/>
    </row>
    <row r="29" customFormat="false" ht="30.75" hidden="false" customHeight="true" outlineLevel="0" collapsed="false">
      <c r="A29" s="849"/>
      <c r="B29" s="986" t="n">
        <v>0.91</v>
      </c>
      <c r="C29" s="986" t="n">
        <v>0.84</v>
      </c>
      <c r="D29" s="986" t="n">
        <v>0.75</v>
      </c>
      <c r="E29" s="986" t="n">
        <v>0.64</v>
      </c>
      <c r="F29" s="986" t="n">
        <v>0.52</v>
      </c>
      <c r="G29" s="986" t="n">
        <v>0.4</v>
      </c>
      <c r="H29" s="1000"/>
      <c r="I29" s="849"/>
      <c r="J29" s="849"/>
      <c r="K29" s="849"/>
      <c r="L29" s="849"/>
      <c r="M29" s="849"/>
      <c r="N29" s="849"/>
      <c r="O29" s="849"/>
      <c r="P29" s="849"/>
      <c r="Q29" s="849"/>
      <c r="R29" s="849"/>
      <c r="S29" s="849"/>
      <c r="T29" s="849"/>
      <c r="U29" s="849"/>
      <c r="V29" s="849"/>
      <c r="W29" s="849"/>
      <c r="X29" s="849"/>
    </row>
    <row r="30" customFormat="false" ht="30.75" hidden="false" customHeight="true" outlineLevel="0" collapsed="false">
      <c r="A30" s="849"/>
      <c r="B30" s="1020" t="s">
        <v>135</v>
      </c>
      <c r="C30" s="1020"/>
      <c r="D30" s="1020"/>
      <c r="E30" s="1020"/>
      <c r="F30" s="1020"/>
      <c r="G30" s="1020"/>
      <c r="H30" s="1001"/>
      <c r="I30" s="849"/>
      <c r="J30" s="849"/>
      <c r="K30" s="849"/>
      <c r="L30" s="849"/>
      <c r="M30" s="849"/>
      <c r="N30" s="849"/>
      <c r="O30" s="849"/>
      <c r="P30" s="849"/>
      <c r="Q30" s="849"/>
      <c r="R30" s="849"/>
      <c r="S30" s="849"/>
      <c r="T30" s="849"/>
      <c r="U30" s="849"/>
      <c r="V30" s="849"/>
      <c r="W30" s="849"/>
      <c r="X30" s="849"/>
    </row>
    <row r="31" customFormat="false" ht="30.75" hidden="false" customHeight="true" outlineLevel="0" collapsed="false">
      <c r="A31" s="849"/>
      <c r="B31" s="994"/>
      <c r="C31" s="994"/>
      <c r="D31" s="994"/>
      <c r="E31" s="994"/>
      <c r="F31" s="994"/>
      <c r="G31" s="994"/>
      <c r="H31" s="1011"/>
      <c r="I31" s="849"/>
      <c r="J31" s="849"/>
      <c r="K31" s="849"/>
      <c r="L31" s="849"/>
      <c r="M31" s="849"/>
      <c r="N31" s="849"/>
      <c r="O31" s="849"/>
      <c r="P31" s="849"/>
      <c r="Q31" s="849"/>
      <c r="R31" s="849"/>
      <c r="S31" s="849"/>
      <c r="T31" s="849"/>
      <c r="U31" s="849"/>
      <c r="V31" s="849"/>
      <c r="W31" s="849"/>
      <c r="X31" s="849"/>
    </row>
    <row r="32" customFormat="false" ht="30.75" hidden="false" customHeight="true" outlineLevel="0" collapsed="false">
      <c r="A32" s="849"/>
      <c r="B32" s="994"/>
      <c r="C32" s="989"/>
      <c r="D32" s="989"/>
      <c r="E32" s="989"/>
      <c r="F32" s="989"/>
      <c r="G32" s="989"/>
      <c r="H32" s="990"/>
      <c r="I32" s="849"/>
      <c r="J32" s="849"/>
      <c r="K32" s="849"/>
      <c r="L32" s="849"/>
      <c r="M32" s="849"/>
      <c r="N32" s="849"/>
      <c r="O32" s="849"/>
      <c r="P32" s="849"/>
      <c r="Q32" s="849"/>
      <c r="R32" s="849"/>
      <c r="S32" s="849"/>
      <c r="T32" s="849"/>
      <c r="U32" s="849"/>
      <c r="V32" s="849"/>
      <c r="W32" s="849"/>
      <c r="X32" s="849"/>
    </row>
    <row r="33" customFormat="false" ht="30.75" hidden="false" customHeight="true" outlineLevel="0" collapsed="false">
      <c r="A33" s="849"/>
      <c r="B33" s="981"/>
      <c r="C33" s="981"/>
      <c r="D33" s="849"/>
      <c r="E33" s="849"/>
      <c r="F33" s="849"/>
      <c r="G33" s="849"/>
      <c r="H33" s="849"/>
      <c r="I33" s="849"/>
      <c r="J33" s="849"/>
      <c r="K33" s="849"/>
      <c r="L33" s="849"/>
      <c r="M33" s="849"/>
      <c r="N33" s="849"/>
      <c r="O33" s="849"/>
      <c r="P33" s="849"/>
      <c r="Q33" s="849"/>
      <c r="R33" s="849"/>
      <c r="S33" s="849"/>
    </row>
    <row r="34" customFormat="false" ht="30.75" hidden="false" customHeight="true" outlineLevel="0" collapsed="false">
      <c r="A34" s="849"/>
      <c r="B34" s="983"/>
      <c r="C34" s="983"/>
      <c r="D34" s="849"/>
      <c r="E34" s="849"/>
      <c r="F34" s="849"/>
      <c r="G34" s="849"/>
      <c r="H34" s="849"/>
      <c r="I34" s="849"/>
      <c r="J34" s="849"/>
      <c r="K34" s="849"/>
      <c r="L34" s="849"/>
      <c r="M34" s="849"/>
      <c r="N34" s="849"/>
      <c r="O34" s="849"/>
      <c r="P34" s="849"/>
      <c r="Q34" s="849"/>
      <c r="R34" s="849"/>
      <c r="S34" s="849"/>
      <c r="T34" s="849"/>
      <c r="U34" s="849"/>
      <c r="V34" s="849"/>
    </row>
    <row r="35" customFormat="false" ht="30.75" hidden="false" customHeight="true" outlineLevel="0" collapsed="false">
      <c r="A35" s="849"/>
      <c r="B35" s="986"/>
      <c r="C35" s="986"/>
      <c r="D35" s="849"/>
      <c r="E35" s="849"/>
      <c r="F35" s="849"/>
      <c r="G35" s="849"/>
      <c r="H35" s="849"/>
      <c r="I35" s="849"/>
      <c r="J35" s="849"/>
      <c r="K35" s="849"/>
      <c r="L35" s="849"/>
      <c r="M35" s="849"/>
      <c r="N35" s="849"/>
      <c r="O35" s="849"/>
      <c r="P35" s="849"/>
      <c r="Q35" s="849"/>
      <c r="R35" s="849"/>
      <c r="S35" s="849"/>
      <c r="T35" s="849"/>
      <c r="U35" s="849"/>
      <c r="V35" s="849"/>
    </row>
    <row r="36" customFormat="false" ht="30.75" hidden="false" customHeight="true" outlineLevel="0" collapsed="false">
      <c r="A36" s="849"/>
      <c r="B36" s="988"/>
      <c r="C36" s="988"/>
      <c r="D36" s="849"/>
      <c r="E36" s="849"/>
      <c r="F36" s="849"/>
      <c r="G36" s="849"/>
      <c r="H36" s="849"/>
      <c r="I36" s="849"/>
      <c r="J36" s="849"/>
      <c r="K36" s="849"/>
      <c r="L36" s="849"/>
      <c r="M36" s="849"/>
      <c r="N36" s="849"/>
      <c r="O36" s="849"/>
      <c r="P36" s="849"/>
      <c r="Q36" s="849"/>
      <c r="R36" s="849"/>
      <c r="S36" s="849"/>
      <c r="T36" s="849"/>
      <c r="U36" s="849"/>
      <c r="V36" s="849"/>
    </row>
    <row r="37" customFormat="false" ht="30.75" hidden="false" customHeight="true" outlineLevel="0" collapsed="false">
      <c r="A37" s="849"/>
      <c r="B37" s="994"/>
      <c r="C37" s="994"/>
      <c r="D37" s="849"/>
      <c r="E37" s="849"/>
      <c r="F37" s="849"/>
      <c r="G37" s="849"/>
      <c r="H37" s="849"/>
      <c r="I37" s="849"/>
      <c r="J37" s="849"/>
      <c r="K37" s="849"/>
      <c r="L37" s="849"/>
      <c r="M37" s="849"/>
      <c r="N37" s="849"/>
      <c r="O37" s="849"/>
      <c r="P37" s="849"/>
      <c r="Q37" s="849"/>
      <c r="R37" s="849"/>
      <c r="S37" s="849"/>
      <c r="T37" s="849"/>
      <c r="U37" s="849"/>
      <c r="V37" s="849"/>
    </row>
    <row r="38" customFormat="false" ht="30.75" hidden="false" customHeight="true" outlineLevel="0" collapsed="false">
      <c r="A38" s="849"/>
      <c r="B38" s="994"/>
      <c r="C38" s="989"/>
      <c r="D38" s="849"/>
      <c r="E38" s="849"/>
      <c r="F38" s="849"/>
      <c r="G38" s="849"/>
      <c r="H38" s="849"/>
      <c r="I38" s="849"/>
      <c r="J38" s="849"/>
      <c r="K38" s="849"/>
      <c r="L38" s="849"/>
      <c r="M38" s="849"/>
      <c r="N38" s="849"/>
      <c r="O38" s="849"/>
      <c r="P38" s="849"/>
      <c r="Q38" s="849"/>
      <c r="R38" s="849"/>
      <c r="S38" s="849"/>
      <c r="T38" s="849"/>
      <c r="U38" s="849"/>
      <c r="V38" s="849"/>
    </row>
    <row r="39" customFormat="false" ht="30.75" hidden="false" customHeight="true" outlineLevel="0" collapsed="false">
      <c r="A39" s="849"/>
      <c r="B39" s="849"/>
      <c r="C39" s="849"/>
      <c r="D39" s="849"/>
      <c r="E39" s="849"/>
      <c r="F39" s="849"/>
      <c r="G39" s="849"/>
      <c r="H39" s="849"/>
      <c r="I39" s="849"/>
      <c r="J39" s="849"/>
      <c r="K39" s="849"/>
      <c r="L39" s="849"/>
      <c r="M39" s="849"/>
      <c r="N39" s="849"/>
      <c r="O39" s="849"/>
      <c r="P39" s="849"/>
      <c r="Q39" s="849"/>
      <c r="R39" s="849"/>
      <c r="S39" s="849"/>
      <c r="T39" s="849"/>
      <c r="U39" s="849"/>
      <c r="V39" s="849"/>
      <c r="W39" s="849"/>
      <c r="X39" s="849"/>
      <c r="Y39" s="849"/>
      <c r="Z39" s="849"/>
      <c r="AA39" s="849"/>
    </row>
    <row r="40" customFormat="false" ht="30.75" hidden="false" customHeight="true" outlineLevel="0" collapsed="false">
      <c r="A40" s="849"/>
      <c r="B40" s="849"/>
      <c r="C40" s="849"/>
      <c r="D40" s="849"/>
      <c r="E40" s="849"/>
      <c r="F40" s="849"/>
      <c r="G40" s="849"/>
      <c r="H40" s="849"/>
      <c r="I40" s="849"/>
      <c r="J40" s="849"/>
      <c r="K40" s="849"/>
      <c r="L40" s="849"/>
      <c r="M40" s="849"/>
      <c r="N40" s="849"/>
      <c r="O40" s="849"/>
      <c r="P40" s="849"/>
      <c r="Q40" s="849"/>
      <c r="R40" s="849"/>
      <c r="S40" s="849"/>
      <c r="T40" s="849"/>
      <c r="U40" s="849"/>
      <c r="V40" s="849"/>
    </row>
    <row r="41" customFormat="false" ht="30.75" hidden="false" customHeight="true" outlineLevel="0" collapsed="false">
      <c r="A41" s="849"/>
      <c r="B41" s="849"/>
      <c r="C41" s="849"/>
      <c r="D41" s="849"/>
      <c r="E41" s="849"/>
      <c r="F41" s="849"/>
      <c r="G41" s="849"/>
      <c r="H41" s="849"/>
      <c r="I41" s="849"/>
      <c r="J41" s="849"/>
      <c r="K41" s="849"/>
      <c r="L41" s="849"/>
      <c r="M41" s="849"/>
      <c r="N41" s="849"/>
      <c r="O41" s="849"/>
      <c r="P41" s="849"/>
      <c r="Q41" s="849"/>
      <c r="R41" s="849"/>
      <c r="S41" s="849"/>
      <c r="T41" s="849"/>
      <c r="U41" s="849"/>
      <c r="V41" s="849"/>
    </row>
    <row r="42" customFormat="false" ht="30.75" hidden="false" customHeight="true" outlineLevel="0" collapsed="false">
      <c r="A42" s="849"/>
      <c r="B42" s="849"/>
      <c r="C42" s="849"/>
      <c r="D42" s="849"/>
      <c r="E42" s="849"/>
      <c r="F42" s="849"/>
      <c r="G42" s="849"/>
      <c r="H42" s="849"/>
      <c r="I42" s="849"/>
      <c r="J42" s="849"/>
      <c r="K42" s="849"/>
      <c r="L42" s="849"/>
      <c r="M42" s="849"/>
      <c r="N42" s="849"/>
      <c r="O42" s="849"/>
      <c r="P42" s="849"/>
      <c r="Q42" s="849"/>
      <c r="R42" s="849"/>
      <c r="S42" s="849"/>
      <c r="T42" s="849"/>
      <c r="U42" s="849"/>
      <c r="V42" s="849"/>
    </row>
    <row r="43" customFormat="false" ht="30.75" hidden="false" customHeight="true" outlineLevel="0" collapsed="false">
      <c r="A43" s="849"/>
      <c r="B43" s="849"/>
      <c r="C43" s="849"/>
      <c r="D43" s="849"/>
      <c r="E43" s="849"/>
      <c r="F43" s="849"/>
      <c r="G43" s="849"/>
      <c r="H43" s="849"/>
      <c r="I43" s="849"/>
      <c r="J43" s="849"/>
      <c r="K43" s="849"/>
      <c r="L43" s="849"/>
      <c r="M43" s="849"/>
      <c r="N43" s="849"/>
      <c r="O43" s="849"/>
      <c r="P43" s="849"/>
      <c r="Q43" s="849"/>
      <c r="R43" s="849"/>
      <c r="S43" s="849"/>
      <c r="T43" s="849"/>
      <c r="U43" s="849"/>
      <c r="V43" s="849"/>
    </row>
    <row r="44" customFormat="false" ht="30.75" hidden="false" customHeight="true" outlineLevel="0" collapsed="false">
      <c r="A44" s="849"/>
      <c r="B44" s="849"/>
      <c r="C44" s="849"/>
      <c r="D44" s="849"/>
      <c r="E44" s="849"/>
      <c r="F44" s="849"/>
      <c r="G44" s="849"/>
      <c r="H44" s="849"/>
      <c r="I44" s="849"/>
      <c r="J44" s="849"/>
      <c r="K44" s="849"/>
      <c r="L44" s="849"/>
      <c r="M44" s="849"/>
      <c r="N44" s="849"/>
      <c r="O44" s="849"/>
      <c r="P44" s="849"/>
      <c r="Q44" s="849"/>
      <c r="R44" s="849"/>
      <c r="S44" s="849"/>
      <c r="T44" s="849"/>
      <c r="U44" s="849"/>
      <c r="V44" s="849"/>
    </row>
    <row r="45" customFormat="false" ht="30.75" hidden="false" customHeight="true" outlineLevel="0" collapsed="false">
      <c r="A45" s="849"/>
      <c r="B45" s="849"/>
      <c r="C45" s="849"/>
      <c r="D45" s="849"/>
      <c r="E45" s="849"/>
      <c r="F45" s="849"/>
      <c r="G45" s="849"/>
      <c r="H45" s="849"/>
      <c r="I45" s="849"/>
      <c r="J45" s="849"/>
      <c r="K45" s="849"/>
      <c r="L45" s="849"/>
      <c r="M45" s="849"/>
      <c r="N45" s="849"/>
      <c r="O45" s="849"/>
      <c r="P45" s="849"/>
      <c r="Q45" s="849"/>
      <c r="R45" s="849"/>
      <c r="S45" s="849"/>
      <c r="T45" s="849"/>
      <c r="U45" s="849"/>
      <c r="V45" s="849"/>
    </row>
    <row r="46" customFormat="false" ht="30.75" hidden="false" customHeight="true" outlineLevel="0" collapsed="false">
      <c r="A46" s="849"/>
      <c r="B46" s="849"/>
      <c r="C46" s="849"/>
      <c r="D46" s="849"/>
      <c r="E46" s="849"/>
      <c r="F46" s="849"/>
      <c r="G46" s="849"/>
      <c r="H46" s="849"/>
      <c r="I46" s="849"/>
      <c r="J46" s="849"/>
      <c r="K46" s="849"/>
      <c r="L46" s="849"/>
      <c r="M46" s="849"/>
      <c r="N46" s="849"/>
      <c r="O46" s="849"/>
      <c r="P46" s="849"/>
      <c r="Q46" s="849"/>
      <c r="R46" s="849"/>
      <c r="S46" s="849"/>
      <c r="T46" s="849"/>
      <c r="U46" s="849"/>
      <c r="V46" s="849"/>
    </row>
    <row r="47" customFormat="false" ht="30.75" hidden="false" customHeight="true" outlineLevel="0" collapsed="false">
      <c r="A47" s="849"/>
      <c r="B47" s="849"/>
      <c r="C47" s="849"/>
      <c r="D47" s="849"/>
      <c r="E47" s="849"/>
      <c r="F47" s="849"/>
      <c r="G47" s="849"/>
      <c r="H47" s="849"/>
      <c r="I47" s="849"/>
      <c r="J47" s="849"/>
      <c r="K47" s="849"/>
      <c r="L47" s="849"/>
      <c r="M47" s="849"/>
      <c r="N47" s="849"/>
      <c r="O47" s="849"/>
      <c r="P47" s="849"/>
      <c r="Q47" s="849"/>
      <c r="R47" s="849"/>
      <c r="S47" s="849"/>
      <c r="T47" s="849"/>
      <c r="U47" s="849"/>
      <c r="V47" s="849"/>
    </row>
    <row r="48" customFormat="false" ht="30.75" hidden="false" customHeight="true" outlineLevel="0" collapsed="false">
      <c r="A48" s="849"/>
      <c r="B48" s="849"/>
      <c r="C48" s="849"/>
      <c r="D48" s="849"/>
      <c r="E48" s="849"/>
      <c r="F48" s="849"/>
      <c r="G48" s="849"/>
      <c r="H48" s="849"/>
      <c r="I48" s="849"/>
      <c r="J48" s="849"/>
      <c r="K48" s="849"/>
      <c r="L48" s="849"/>
      <c r="M48" s="849"/>
      <c r="N48" s="849"/>
      <c r="O48" s="849"/>
      <c r="P48" s="849"/>
      <c r="Q48" s="849"/>
      <c r="R48" s="849"/>
      <c r="S48" s="849"/>
      <c r="T48" s="849"/>
      <c r="U48" s="849"/>
      <c r="V48" s="849"/>
    </row>
    <row r="49" customFormat="false" ht="30.75" hidden="false" customHeight="true" outlineLevel="0" collapsed="false">
      <c r="A49" s="849"/>
      <c r="B49" s="849"/>
      <c r="C49" s="849"/>
      <c r="D49" s="849"/>
      <c r="E49" s="849"/>
      <c r="F49" s="849"/>
      <c r="G49" s="849"/>
      <c r="H49" s="849"/>
      <c r="I49" s="849"/>
      <c r="J49" s="849"/>
      <c r="K49" s="849"/>
      <c r="L49" s="849"/>
      <c r="M49" s="849"/>
      <c r="N49" s="849"/>
      <c r="O49" s="849"/>
      <c r="P49" s="849"/>
      <c r="Q49" s="849"/>
      <c r="R49" s="849"/>
      <c r="S49" s="849"/>
      <c r="T49" s="849"/>
      <c r="U49" s="849"/>
      <c r="V49" s="849"/>
    </row>
    <row r="50" customFormat="false" ht="30.75" hidden="false" customHeight="true" outlineLevel="0" collapsed="false">
      <c r="A50" s="849"/>
      <c r="B50" s="849"/>
      <c r="C50" s="849"/>
      <c r="D50" s="849"/>
      <c r="E50" s="849"/>
      <c r="F50" s="849"/>
      <c r="G50" s="849"/>
      <c r="H50" s="849"/>
      <c r="I50" s="849"/>
      <c r="J50" s="849"/>
      <c r="K50" s="849"/>
      <c r="L50" s="849"/>
      <c r="M50" s="849"/>
      <c r="N50" s="849"/>
      <c r="O50" s="849"/>
      <c r="P50" s="849"/>
      <c r="Q50" s="849"/>
      <c r="R50" s="849"/>
      <c r="S50" s="849"/>
      <c r="T50" s="849"/>
      <c r="U50" s="849"/>
      <c r="V50" s="849"/>
    </row>
    <row r="51" customFormat="false" ht="30.75" hidden="false" customHeight="true" outlineLevel="0" collapsed="false">
      <c r="A51" s="849"/>
      <c r="B51" s="849"/>
      <c r="C51" s="849"/>
      <c r="D51" s="849"/>
      <c r="E51" s="849"/>
      <c r="F51" s="849"/>
      <c r="G51" s="849"/>
      <c r="H51" s="849"/>
      <c r="I51" s="849"/>
      <c r="J51" s="849"/>
      <c r="K51" s="849"/>
      <c r="L51" s="849"/>
      <c r="M51" s="849"/>
      <c r="N51" s="849"/>
      <c r="O51" s="849"/>
      <c r="P51" s="849"/>
      <c r="Q51" s="849"/>
      <c r="R51" s="849"/>
      <c r="S51" s="849"/>
      <c r="T51" s="849"/>
      <c r="U51" s="849"/>
      <c r="V51" s="849"/>
    </row>
    <row r="52" customFormat="false" ht="30.75" hidden="false" customHeight="true" outlineLevel="0" collapsed="false">
      <c r="A52" s="849"/>
      <c r="B52" s="849"/>
      <c r="C52" s="849"/>
      <c r="D52" s="849"/>
      <c r="E52" s="849"/>
      <c r="F52" s="849"/>
      <c r="G52" s="849"/>
      <c r="H52" s="849"/>
      <c r="I52" s="849"/>
      <c r="J52" s="849"/>
      <c r="K52" s="849"/>
      <c r="L52" s="849"/>
      <c r="M52" s="849"/>
      <c r="N52" s="849"/>
      <c r="O52" s="849"/>
      <c r="P52" s="849"/>
      <c r="Q52" s="849"/>
      <c r="R52" s="849"/>
      <c r="S52" s="849"/>
      <c r="T52" s="849"/>
      <c r="U52" s="849"/>
    </row>
    <row r="53" customFormat="false" ht="30.75" hidden="false" customHeight="true" outlineLevel="0" collapsed="false">
      <c r="A53" s="849"/>
      <c r="B53" s="849"/>
      <c r="C53" s="849"/>
      <c r="D53" s="849"/>
      <c r="E53" s="849"/>
      <c r="F53" s="849"/>
      <c r="G53" s="849"/>
      <c r="H53" s="849"/>
      <c r="I53" s="849"/>
      <c r="J53" s="849"/>
      <c r="K53" s="849"/>
      <c r="L53" s="849"/>
      <c r="M53" s="849"/>
      <c r="N53" s="849"/>
      <c r="O53" s="849"/>
      <c r="P53" s="849"/>
      <c r="Q53" s="849"/>
      <c r="R53" s="849"/>
      <c r="S53" s="849"/>
      <c r="T53" s="849"/>
      <c r="U53" s="849"/>
    </row>
    <row r="54" customFormat="false" ht="30.75" hidden="false" customHeight="true" outlineLevel="0" collapsed="false">
      <c r="A54" s="849"/>
      <c r="B54" s="849"/>
      <c r="C54" s="849"/>
      <c r="D54" s="849"/>
      <c r="E54" s="849"/>
      <c r="F54" s="849"/>
      <c r="G54" s="849"/>
      <c r="H54" s="849"/>
      <c r="I54" s="849"/>
      <c r="J54" s="849"/>
      <c r="K54" s="849"/>
      <c r="L54" s="849"/>
      <c r="M54" s="849"/>
      <c r="N54" s="849"/>
      <c r="O54" s="849"/>
      <c r="P54" s="849"/>
      <c r="Q54" s="849"/>
      <c r="R54" s="849"/>
      <c r="S54" s="849"/>
      <c r="T54" s="849"/>
      <c r="U54" s="849"/>
    </row>
    <row r="55" customFormat="false" ht="30.75" hidden="false" customHeight="true" outlineLevel="0" collapsed="false">
      <c r="A55" s="849"/>
      <c r="B55" s="849"/>
      <c r="C55" s="849"/>
      <c r="D55" s="849"/>
      <c r="E55" s="849"/>
      <c r="F55" s="849"/>
      <c r="G55" s="849"/>
      <c r="H55" s="849"/>
      <c r="I55" s="849"/>
      <c r="J55" s="849"/>
      <c r="K55" s="849"/>
      <c r="L55" s="849"/>
      <c r="M55" s="849"/>
      <c r="N55" s="849"/>
      <c r="O55" s="849"/>
      <c r="P55" s="849"/>
      <c r="Q55" s="849"/>
      <c r="R55" s="849"/>
      <c r="S55" s="849"/>
      <c r="T55" s="849"/>
      <c r="U55" s="849"/>
    </row>
    <row r="56" customFormat="false" ht="30.75" hidden="false" customHeight="true" outlineLevel="0" collapsed="false">
      <c r="A56" s="849"/>
      <c r="B56" s="849"/>
      <c r="C56" s="849"/>
      <c r="D56" s="849"/>
      <c r="E56" s="849"/>
      <c r="F56" s="849"/>
      <c r="G56" s="849"/>
      <c r="H56" s="849"/>
      <c r="I56" s="849"/>
      <c r="J56" s="849"/>
      <c r="K56" s="849"/>
      <c r="L56" s="849"/>
      <c r="M56" s="849"/>
      <c r="N56" s="849"/>
      <c r="O56" s="849"/>
      <c r="P56" s="849"/>
      <c r="Q56" s="849"/>
      <c r="R56" s="849"/>
      <c r="S56" s="849"/>
      <c r="T56" s="849"/>
      <c r="U56" s="849"/>
    </row>
    <row r="57" customFormat="false" ht="30.75" hidden="false" customHeight="true" outlineLevel="0" collapsed="false">
      <c r="A57" s="849"/>
      <c r="B57" s="849"/>
      <c r="C57" s="849"/>
      <c r="D57" s="849"/>
      <c r="E57" s="849"/>
      <c r="F57" s="849"/>
      <c r="G57" s="849"/>
      <c r="H57" s="849"/>
      <c r="I57" s="849"/>
      <c r="J57" s="849"/>
      <c r="K57" s="849"/>
      <c r="L57" s="849"/>
      <c r="M57" s="849"/>
      <c r="N57" s="849"/>
      <c r="O57" s="849"/>
      <c r="P57" s="849"/>
      <c r="Q57" s="849"/>
      <c r="R57" s="849"/>
      <c r="S57" s="849"/>
      <c r="T57" s="849"/>
      <c r="U57" s="849"/>
    </row>
    <row r="58" customFormat="false" ht="30.75" hidden="false" customHeight="true" outlineLevel="0" collapsed="false">
      <c r="A58" s="849"/>
      <c r="B58" s="849"/>
      <c r="C58" s="849"/>
      <c r="D58" s="849"/>
      <c r="E58" s="849"/>
      <c r="F58" s="849"/>
      <c r="G58" s="849"/>
      <c r="H58" s="849"/>
      <c r="I58" s="849"/>
      <c r="J58" s="849"/>
      <c r="K58" s="849"/>
      <c r="L58" s="849"/>
      <c r="M58" s="849"/>
      <c r="N58" s="849"/>
      <c r="O58" s="849"/>
      <c r="P58" s="849"/>
      <c r="Q58" s="849"/>
      <c r="R58" s="849"/>
      <c r="S58" s="849"/>
      <c r="T58" s="849"/>
      <c r="U58" s="849"/>
    </row>
    <row r="59" customFormat="false" ht="30.75" hidden="false" customHeight="true" outlineLevel="0" collapsed="false">
      <c r="A59" s="849"/>
      <c r="B59" s="849"/>
      <c r="C59" s="849"/>
      <c r="D59" s="849"/>
      <c r="E59" s="849"/>
      <c r="F59" s="849"/>
      <c r="G59" s="849"/>
      <c r="H59" s="849"/>
      <c r="I59" s="849"/>
      <c r="J59" s="849"/>
      <c r="K59" s="849"/>
      <c r="L59" s="849"/>
      <c r="M59" s="849"/>
      <c r="N59" s="849"/>
      <c r="O59" s="849"/>
      <c r="P59" s="849"/>
      <c r="Q59" s="849"/>
      <c r="R59" s="849"/>
      <c r="S59" s="849"/>
      <c r="T59" s="849"/>
      <c r="U59" s="849"/>
    </row>
    <row r="60" customFormat="false" ht="30.75" hidden="false" customHeight="true" outlineLevel="0" collapsed="false">
      <c r="A60" s="849"/>
      <c r="B60" s="849"/>
      <c r="C60" s="849"/>
      <c r="D60" s="849"/>
      <c r="E60" s="849"/>
      <c r="F60" s="849"/>
      <c r="G60" s="849"/>
      <c r="H60" s="849"/>
      <c r="I60" s="849"/>
      <c r="J60" s="849"/>
      <c r="K60" s="849"/>
      <c r="L60" s="849"/>
      <c r="M60" s="849"/>
      <c r="N60" s="849"/>
      <c r="O60" s="849"/>
      <c r="P60" s="849"/>
      <c r="Q60" s="849"/>
      <c r="R60" s="849"/>
      <c r="S60" s="849"/>
      <c r="T60" s="849"/>
      <c r="U60" s="849"/>
    </row>
    <row r="61" customFormat="false" ht="30.75" hidden="false" customHeight="true" outlineLevel="0" collapsed="false">
      <c r="A61" s="849"/>
      <c r="B61" s="849"/>
      <c r="C61" s="849"/>
      <c r="D61" s="849"/>
      <c r="E61" s="849"/>
      <c r="F61" s="849"/>
      <c r="G61" s="849"/>
      <c r="H61" s="849"/>
      <c r="I61" s="849"/>
      <c r="J61" s="849"/>
      <c r="K61" s="849"/>
      <c r="L61" s="849"/>
      <c r="M61" s="849"/>
      <c r="N61" s="849"/>
      <c r="O61" s="849"/>
      <c r="P61" s="849"/>
      <c r="Q61" s="849"/>
      <c r="R61" s="849"/>
      <c r="S61" s="849"/>
      <c r="T61" s="849"/>
      <c r="U61" s="849"/>
    </row>
    <row r="62" customFormat="false" ht="30.75" hidden="false" customHeight="true" outlineLevel="0" collapsed="false">
      <c r="A62" s="849"/>
      <c r="B62" s="849"/>
      <c r="C62" s="849"/>
      <c r="D62" s="849"/>
      <c r="E62" s="849"/>
      <c r="F62" s="849"/>
      <c r="G62" s="849"/>
      <c r="H62" s="849"/>
      <c r="I62" s="849"/>
      <c r="J62" s="849"/>
      <c r="K62" s="849"/>
      <c r="L62" s="849"/>
      <c r="M62" s="849"/>
      <c r="N62" s="849"/>
      <c r="O62" s="849"/>
      <c r="P62" s="849"/>
      <c r="Q62" s="849"/>
      <c r="R62" s="849"/>
      <c r="S62" s="849"/>
      <c r="T62" s="849"/>
      <c r="U62" s="849"/>
    </row>
    <row r="63" customFormat="false" ht="30.75" hidden="false" customHeight="true" outlineLevel="0" collapsed="false">
      <c r="B63" s="849"/>
      <c r="C63" s="849"/>
      <c r="D63" s="849"/>
      <c r="E63" s="849"/>
      <c r="F63" s="849"/>
      <c r="G63" s="849"/>
      <c r="H63" s="849"/>
    </row>
    <row r="64" customFormat="false" ht="30.75" hidden="false" customHeight="true" outlineLevel="0" collapsed="false">
      <c r="B64" s="849"/>
      <c r="C64" s="849"/>
      <c r="D64" s="849"/>
      <c r="E64" s="849"/>
      <c r="F64" s="849"/>
      <c r="G64" s="849"/>
      <c r="H64" s="849"/>
    </row>
    <row r="65" customFormat="false" ht="30.75" hidden="false" customHeight="true" outlineLevel="0" collapsed="false">
      <c r="B65" s="849"/>
      <c r="C65" s="849"/>
      <c r="D65" s="849"/>
      <c r="E65" s="849"/>
      <c r="F65" s="849"/>
      <c r="G65" s="849"/>
      <c r="H65" s="849"/>
    </row>
    <row r="66" customFormat="false" ht="30.75" hidden="false" customHeight="true" outlineLevel="0" collapsed="false">
      <c r="B66" s="849"/>
      <c r="C66" s="849"/>
      <c r="D66" s="849"/>
      <c r="E66" s="849"/>
      <c r="F66" s="849"/>
      <c r="G66" s="849"/>
      <c r="H66" s="849"/>
    </row>
    <row r="67" customFormat="false" ht="30.75" hidden="false" customHeight="true" outlineLevel="0" collapsed="false">
      <c r="B67" s="849"/>
      <c r="C67" s="849"/>
      <c r="D67" s="849"/>
      <c r="E67" s="849"/>
      <c r="F67" s="849"/>
      <c r="G67" s="849"/>
      <c r="H67" s="849"/>
    </row>
    <row r="68" customFormat="false" ht="30.75" hidden="false" customHeight="true" outlineLevel="0" collapsed="false">
      <c r="B68" s="849"/>
      <c r="C68" s="849"/>
      <c r="D68" s="849"/>
      <c r="E68" s="849"/>
      <c r="F68" s="849"/>
      <c r="G68" s="849"/>
      <c r="H68" s="849"/>
    </row>
  </sheetData>
  <mergeCells count="2">
    <mergeCell ref="B24:H24"/>
    <mergeCell ref="B30:G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8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I17" activeCellId="0" sqref="I17"/>
    </sheetView>
  </sheetViews>
  <sheetFormatPr defaultColWidth="19.859375" defaultRowHeight="30.75" zeroHeight="false" outlineLevelRow="0" outlineLevelCol="0"/>
  <cols>
    <col collapsed="false" customWidth="false" hidden="false" outlineLevel="0" max="1" min="1" style="958" width="19.86"/>
    <col collapsed="false" customWidth="true" hidden="false" outlineLevel="0" max="4" min="2" style="958" width="16.43"/>
    <col collapsed="false" customWidth="true" hidden="false" outlineLevel="0" max="5" min="5" style="958" width="18"/>
    <col collapsed="false" customWidth="true" hidden="false" outlineLevel="0" max="6" min="6" style="958" width="22"/>
    <col collapsed="false" customWidth="true" hidden="false" outlineLevel="0" max="7" min="7" style="958" width="28.29"/>
    <col collapsed="false" customWidth="true" hidden="false" outlineLevel="0" max="8" min="8" style="958" width="16.72"/>
    <col collapsed="false" customWidth="true" hidden="false" outlineLevel="0" max="9" min="9" style="958" width="20.28"/>
    <col collapsed="false" customWidth="false" hidden="false" outlineLevel="0" max="16384" min="10" style="958" width="19.86"/>
  </cols>
  <sheetData>
    <row r="1" customFormat="false" ht="30.75" hidden="false" customHeight="true" outlineLevel="0" collapsed="false">
      <c r="A1" s="849"/>
      <c r="B1" s="977" t="s">
        <v>208</v>
      </c>
      <c r="C1" s="849"/>
      <c r="D1" s="849"/>
      <c r="E1" s="849"/>
      <c r="F1" s="849"/>
      <c r="G1" s="849"/>
      <c r="H1" s="849"/>
      <c r="I1" s="849"/>
      <c r="J1" s="849"/>
      <c r="K1" s="849"/>
      <c r="L1" s="849"/>
      <c r="M1" s="849"/>
      <c r="N1" s="849"/>
      <c r="O1" s="849"/>
      <c r="P1" s="849"/>
      <c r="Q1" s="849"/>
      <c r="R1" s="849"/>
      <c r="S1" s="849"/>
      <c r="T1" s="849"/>
      <c r="U1" s="849"/>
      <c r="V1" s="849"/>
      <c r="W1" s="849"/>
      <c r="X1" s="849"/>
      <c r="Y1" s="849"/>
      <c r="Z1" s="849"/>
      <c r="AA1" s="849"/>
      <c r="AB1" s="849"/>
      <c r="AC1" s="849"/>
      <c r="AD1" s="849"/>
      <c r="AE1" s="849"/>
      <c r="AF1" s="849"/>
      <c r="AG1" s="849"/>
    </row>
    <row r="2" customFormat="false" ht="30.75" hidden="false" customHeight="true" outlineLevel="0" collapsed="false">
      <c r="A2" s="1018"/>
      <c r="B2" s="979" t="s">
        <v>6</v>
      </c>
      <c r="C2" s="979" t="s">
        <v>7</v>
      </c>
      <c r="D2" s="979" t="s">
        <v>8</v>
      </c>
      <c r="E2" s="979" t="s">
        <v>9</v>
      </c>
      <c r="F2" s="979" t="s">
        <v>8</v>
      </c>
      <c r="G2" s="979" t="s">
        <v>11</v>
      </c>
      <c r="H2" s="980" t="s">
        <v>6</v>
      </c>
      <c r="I2" s="849"/>
      <c r="J2" s="849"/>
      <c r="K2" s="849"/>
      <c r="L2" s="849"/>
      <c r="M2" s="849"/>
      <c r="N2" s="849"/>
      <c r="O2" s="849"/>
      <c r="P2" s="849"/>
      <c r="Q2" s="849"/>
      <c r="R2" s="849"/>
      <c r="S2" s="849"/>
      <c r="T2" s="849"/>
      <c r="U2" s="849"/>
      <c r="V2" s="849"/>
      <c r="W2" s="849"/>
      <c r="X2" s="849"/>
      <c r="Y2" s="849"/>
      <c r="Z2" s="849"/>
      <c r="AA2" s="849"/>
      <c r="AB2" s="849"/>
      <c r="AC2" s="849"/>
      <c r="AD2" s="849"/>
      <c r="AE2" s="849"/>
      <c r="AF2" s="849"/>
      <c r="AG2" s="849"/>
    </row>
    <row r="3" customFormat="false" ht="30.75" hidden="false" customHeight="true" outlineLevel="0" collapsed="false">
      <c r="A3" s="849"/>
      <c r="B3" s="981"/>
      <c r="C3" s="981" t="n">
        <v>1</v>
      </c>
      <c r="D3" s="981" t="n">
        <v>2</v>
      </c>
      <c r="E3" s="981" t="n">
        <v>3</v>
      </c>
      <c r="F3" s="981" t="n">
        <v>4</v>
      </c>
      <c r="G3" s="981" t="n">
        <v>5</v>
      </c>
      <c r="H3" s="981" t="n">
        <v>6</v>
      </c>
      <c r="I3" s="982" t="s">
        <v>14</v>
      </c>
      <c r="J3" s="849"/>
      <c r="K3" s="849"/>
      <c r="L3" s="849"/>
      <c r="M3" s="849"/>
      <c r="N3" s="849"/>
      <c r="O3" s="849"/>
      <c r="P3" s="849"/>
      <c r="Q3" s="849"/>
      <c r="R3" s="849"/>
      <c r="S3" s="849"/>
      <c r="T3" s="849"/>
      <c r="U3" s="849"/>
      <c r="V3" s="849"/>
      <c r="W3" s="849"/>
      <c r="X3" s="849"/>
      <c r="Y3" s="849"/>
      <c r="Z3" s="849"/>
      <c r="AA3" s="849"/>
      <c r="AB3" s="849"/>
      <c r="AC3" s="849"/>
      <c r="AD3" s="849"/>
      <c r="AE3" s="849"/>
      <c r="AF3" s="849"/>
      <c r="AG3" s="849"/>
    </row>
    <row r="4" customFormat="false" ht="30.75" hidden="false" customHeight="true" outlineLevel="0" collapsed="false">
      <c r="A4" s="849"/>
      <c r="B4" s="983"/>
      <c r="C4" s="983" t="s">
        <v>359</v>
      </c>
      <c r="D4" s="983" t="s">
        <v>359</v>
      </c>
      <c r="E4" s="983"/>
      <c r="F4" s="983" t="s">
        <v>209</v>
      </c>
      <c r="G4" s="983" t="s">
        <v>79</v>
      </c>
      <c r="H4" s="983"/>
      <c r="I4" s="985" t="s">
        <v>16</v>
      </c>
      <c r="J4" s="849"/>
      <c r="K4" s="849"/>
      <c r="L4" s="849"/>
      <c r="M4" s="849"/>
      <c r="N4" s="849"/>
      <c r="O4" s="849"/>
      <c r="P4" s="849"/>
      <c r="Q4" s="849"/>
      <c r="R4" s="849"/>
      <c r="S4" s="849"/>
      <c r="T4" s="849"/>
      <c r="U4" s="849"/>
      <c r="V4" s="849"/>
      <c r="W4" s="849"/>
      <c r="X4" s="849"/>
      <c r="Y4" s="849"/>
      <c r="Z4" s="849"/>
      <c r="AA4" s="849"/>
      <c r="AB4" s="849"/>
      <c r="AC4" s="849"/>
      <c r="AD4" s="849"/>
      <c r="AE4" s="849"/>
      <c r="AF4" s="849"/>
      <c r="AG4" s="849"/>
    </row>
    <row r="5" customFormat="false" ht="30.75" hidden="false" customHeight="true" outlineLevel="0" collapsed="false">
      <c r="A5" s="849"/>
      <c r="B5" s="986"/>
      <c r="C5" s="986" t="n">
        <v>0.56</v>
      </c>
      <c r="D5" s="986" t="n">
        <v>0.45</v>
      </c>
      <c r="E5" s="986" t="n">
        <v>0.33</v>
      </c>
      <c r="F5" s="986" t="n">
        <v>0.22</v>
      </c>
      <c r="G5" s="986" t="n">
        <v>0.14</v>
      </c>
      <c r="H5" s="986" t="n">
        <v>0.06</v>
      </c>
      <c r="I5" s="987" t="s">
        <v>536</v>
      </c>
      <c r="J5" s="849"/>
      <c r="K5" s="849"/>
      <c r="L5" s="849"/>
      <c r="M5" s="849"/>
      <c r="N5" s="849"/>
      <c r="O5" s="849"/>
      <c r="P5" s="849"/>
      <c r="Q5" s="849"/>
      <c r="R5" s="849"/>
      <c r="S5" s="849"/>
      <c r="T5" s="849"/>
      <c r="U5" s="849"/>
      <c r="V5" s="849"/>
      <c r="W5" s="849"/>
      <c r="X5" s="849"/>
      <c r="Y5" s="849"/>
      <c r="Z5" s="849"/>
      <c r="AA5" s="849"/>
      <c r="AB5" s="849"/>
      <c r="AC5" s="849"/>
      <c r="AD5" s="849"/>
      <c r="AE5" s="849"/>
      <c r="AF5" s="849"/>
      <c r="AG5" s="849"/>
    </row>
    <row r="6" customFormat="false" ht="30.75" hidden="false" customHeight="true" outlineLevel="0" collapsed="false">
      <c r="A6" s="849"/>
      <c r="B6" s="988"/>
      <c r="C6" s="988" t="s">
        <v>352</v>
      </c>
      <c r="D6" s="989" t="s">
        <v>169</v>
      </c>
      <c r="E6" s="988" t="s">
        <v>541</v>
      </c>
      <c r="F6" s="989" t="s">
        <v>169</v>
      </c>
      <c r="G6" s="989" t="s">
        <v>169</v>
      </c>
      <c r="H6" s="988" t="s">
        <v>169</v>
      </c>
      <c r="I6" s="985" t="s">
        <v>19</v>
      </c>
      <c r="J6" s="849"/>
      <c r="K6" s="849"/>
      <c r="L6" s="849"/>
      <c r="M6" s="849"/>
      <c r="N6" s="849"/>
      <c r="O6" s="849"/>
      <c r="P6" s="849"/>
      <c r="Q6" s="849"/>
      <c r="R6" s="849"/>
      <c r="S6" s="849"/>
      <c r="T6" s="849"/>
      <c r="U6" s="849"/>
      <c r="V6" s="849"/>
      <c r="W6" s="849"/>
      <c r="X6" s="849"/>
      <c r="Y6" s="849"/>
      <c r="Z6" s="849"/>
      <c r="AA6" s="849"/>
      <c r="AB6" s="849"/>
      <c r="AC6" s="849"/>
      <c r="AD6" s="849"/>
      <c r="AE6" s="849"/>
      <c r="AF6" s="849"/>
      <c r="AG6" s="849"/>
    </row>
    <row r="7" customFormat="false" ht="30.75" hidden="false" customHeight="true" outlineLevel="0" collapsed="false">
      <c r="A7" s="849"/>
      <c r="B7" s="989"/>
      <c r="C7" s="989" t="s">
        <v>552</v>
      </c>
      <c r="D7" s="989" t="s">
        <v>553</v>
      </c>
      <c r="E7" s="989" t="s">
        <v>554</v>
      </c>
      <c r="F7" s="989" t="s">
        <v>555</v>
      </c>
      <c r="G7" s="989" t="s">
        <v>556</v>
      </c>
      <c r="H7" s="989" t="s">
        <v>557</v>
      </c>
      <c r="I7" s="987" t="s">
        <v>502</v>
      </c>
      <c r="J7" s="849"/>
      <c r="K7" s="849"/>
      <c r="L7" s="849"/>
      <c r="M7" s="849"/>
      <c r="N7" s="849"/>
      <c r="O7" s="849"/>
      <c r="P7" s="849"/>
      <c r="Q7" s="849"/>
      <c r="R7" s="849"/>
      <c r="S7" s="849"/>
      <c r="T7" s="849"/>
      <c r="U7" s="849"/>
      <c r="V7" s="849"/>
      <c r="W7" s="849"/>
      <c r="X7" s="849"/>
      <c r="Y7" s="849"/>
      <c r="Z7" s="849"/>
      <c r="AA7" s="849"/>
      <c r="AB7" s="849"/>
      <c r="AC7" s="849"/>
      <c r="AD7" s="849"/>
      <c r="AE7" s="849"/>
      <c r="AF7" s="849"/>
      <c r="AG7" s="849"/>
    </row>
    <row r="8" customFormat="false" ht="30.75" hidden="false" customHeight="true" outlineLevel="0" collapsed="false">
      <c r="A8" s="849"/>
      <c r="B8" s="994"/>
      <c r="C8" s="989" t="s">
        <v>180</v>
      </c>
      <c r="D8" s="989" t="s">
        <v>180</v>
      </c>
      <c r="E8" s="989" t="s">
        <v>180</v>
      </c>
      <c r="F8" s="989" t="s">
        <v>180</v>
      </c>
      <c r="G8" s="989" t="s">
        <v>180</v>
      </c>
      <c r="H8" s="989" t="s">
        <v>180</v>
      </c>
      <c r="I8" s="1019" t="s">
        <v>503</v>
      </c>
      <c r="J8" s="849"/>
      <c r="K8" s="849"/>
      <c r="L8" s="849"/>
      <c r="M8" s="849"/>
      <c r="N8" s="849"/>
      <c r="O8" s="849"/>
      <c r="P8" s="849"/>
      <c r="Q8" s="849"/>
      <c r="R8" s="849"/>
      <c r="S8" s="849"/>
      <c r="T8" s="849"/>
      <c r="U8" s="849"/>
      <c r="V8" s="849"/>
      <c r="W8" s="849"/>
      <c r="X8" s="849"/>
      <c r="Y8" s="849"/>
      <c r="Z8" s="849"/>
      <c r="AA8" s="849"/>
      <c r="AB8" s="849"/>
      <c r="AC8" s="849"/>
      <c r="AD8" s="849"/>
      <c r="AE8" s="849"/>
      <c r="AF8" s="849"/>
      <c r="AG8" s="849"/>
    </row>
    <row r="9" customFormat="false" ht="30.75" hidden="false" customHeight="true" outlineLevel="0" collapsed="false">
      <c r="A9" s="849"/>
      <c r="B9" s="981" t="n">
        <v>7</v>
      </c>
      <c r="C9" s="981" t="n">
        <v>8</v>
      </c>
      <c r="D9" s="981" t="n">
        <v>9</v>
      </c>
      <c r="E9" s="981" t="n">
        <v>10</v>
      </c>
      <c r="F9" s="981" t="n">
        <v>11</v>
      </c>
      <c r="G9" s="981" t="n">
        <v>12</v>
      </c>
      <c r="H9" s="981" t="n">
        <v>13</v>
      </c>
      <c r="I9" s="849"/>
      <c r="J9" s="849"/>
      <c r="K9" s="849"/>
      <c r="L9" s="849"/>
      <c r="M9" s="849"/>
      <c r="N9" s="849"/>
      <c r="O9" s="849"/>
      <c r="P9" s="849"/>
      <c r="Q9" s="849"/>
      <c r="R9" s="849"/>
      <c r="S9" s="849"/>
      <c r="T9" s="849"/>
      <c r="U9" s="849"/>
      <c r="V9" s="849"/>
      <c r="W9" s="849"/>
      <c r="X9" s="849"/>
      <c r="Y9" s="849"/>
      <c r="Z9" s="849"/>
      <c r="AA9" s="849"/>
      <c r="AB9" s="849"/>
      <c r="AC9" s="849"/>
      <c r="AD9" s="849"/>
      <c r="AE9" s="849"/>
      <c r="AF9" s="849"/>
      <c r="AG9" s="849"/>
    </row>
    <row r="10" customFormat="false" ht="30.75" hidden="false" customHeight="true" outlineLevel="0" collapsed="false">
      <c r="A10" s="849"/>
      <c r="B10" s="983" t="s">
        <v>506</v>
      </c>
      <c r="C10" s="983" t="s">
        <v>359</v>
      </c>
      <c r="D10" s="983" t="s">
        <v>558</v>
      </c>
      <c r="E10" s="983" t="s">
        <v>506</v>
      </c>
      <c r="F10" s="983" t="s">
        <v>209</v>
      </c>
      <c r="G10" s="983" t="s">
        <v>79</v>
      </c>
      <c r="H10" s="999" t="s">
        <v>40</v>
      </c>
      <c r="I10" s="849"/>
      <c r="J10" s="849"/>
      <c r="K10" s="849"/>
      <c r="L10" s="849"/>
      <c r="M10" s="849"/>
      <c r="N10" s="849"/>
      <c r="O10" s="849"/>
      <c r="P10" s="849"/>
      <c r="Q10" s="849"/>
      <c r="R10" s="849"/>
      <c r="S10" s="849"/>
      <c r="T10" s="849"/>
      <c r="U10" s="849"/>
      <c r="V10" s="849"/>
      <c r="W10" s="849"/>
      <c r="X10" s="849"/>
      <c r="Y10" s="849"/>
      <c r="Z10" s="849"/>
      <c r="AA10" s="849"/>
      <c r="AB10" s="849"/>
      <c r="AC10" s="849"/>
      <c r="AD10" s="849"/>
      <c r="AE10" s="849"/>
      <c r="AF10" s="849"/>
      <c r="AG10" s="849"/>
    </row>
    <row r="11" customFormat="false" ht="30.75" hidden="false" customHeight="true" outlineLevel="0" collapsed="false">
      <c r="A11" s="849"/>
      <c r="B11" s="986" t="n">
        <v>0.01</v>
      </c>
      <c r="C11" s="986" t="n">
        <v>0</v>
      </c>
      <c r="D11" s="986" t="n">
        <v>0.01</v>
      </c>
      <c r="E11" s="986" t="n">
        <v>0.06</v>
      </c>
      <c r="F11" s="986" t="n">
        <v>0.14</v>
      </c>
      <c r="G11" s="986" t="n">
        <v>0.22</v>
      </c>
      <c r="H11" s="1000" t="n">
        <v>0.33</v>
      </c>
      <c r="I11" s="849"/>
      <c r="J11" s="849"/>
      <c r="K11" s="849"/>
      <c r="L11" s="849"/>
      <c r="M11" s="849"/>
      <c r="N11" s="849"/>
      <c r="O11" s="849"/>
      <c r="P11" s="849"/>
      <c r="Q11" s="849"/>
      <c r="R11" s="849"/>
      <c r="S11" s="849"/>
      <c r="T11" s="849"/>
      <c r="U11" s="849"/>
      <c r="V11" s="849"/>
      <c r="W11" s="849"/>
      <c r="X11" s="849"/>
      <c r="Y11" s="849"/>
      <c r="Z11" s="849"/>
      <c r="AA11" s="849"/>
      <c r="AB11" s="849"/>
      <c r="AC11" s="849"/>
      <c r="AD11" s="849"/>
      <c r="AE11" s="849"/>
      <c r="AF11" s="849"/>
      <c r="AG11" s="849"/>
    </row>
    <row r="12" customFormat="false" ht="30.75" hidden="false" customHeight="true" outlineLevel="0" collapsed="false">
      <c r="A12" s="849"/>
      <c r="B12" s="989" t="s">
        <v>62</v>
      </c>
      <c r="C12" s="989" t="s">
        <v>352</v>
      </c>
      <c r="D12" s="989" t="s">
        <v>62</v>
      </c>
      <c r="E12" s="988" t="s">
        <v>541</v>
      </c>
      <c r="F12" s="989" t="s">
        <v>169</v>
      </c>
      <c r="G12" s="988" t="s">
        <v>62</v>
      </c>
      <c r="H12" s="1001" t="s">
        <v>169</v>
      </c>
      <c r="I12" s="849"/>
      <c r="J12" s="849"/>
      <c r="K12" s="849"/>
      <c r="L12" s="849"/>
      <c r="M12" s="849"/>
      <c r="N12" s="849"/>
      <c r="O12" s="849"/>
      <c r="P12" s="849"/>
      <c r="Q12" s="849"/>
      <c r="R12" s="849"/>
      <c r="S12" s="849"/>
      <c r="T12" s="849"/>
      <c r="U12" s="849"/>
      <c r="V12" s="849"/>
      <c r="W12" s="849"/>
      <c r="X12" s="849"/>
      <c r="Y12" s="849"/>
      <c r="Z12" s="849"/>
      <c r="AA12" s="849"/>
      <c r="AB12" s="849"/>
      <c r="AC12" s="849"/>
      <c r="AD12" s="849"/>
      <c r="AE12" s="849"/>
      <c r="AF12" s="849"/>
      <c r="AG12" s="849"/>
    </row>
    <row r="13" customFormat="false" ht="30.75" hidden="false" customHeight="true" outlineLevel="0" collapsed="false">
      <c r="A13" s="849"/>
      <c r="B13" s="989" t="s">
        <v>559</v>
      </c>
      <c r="C13" s="989" t="s">
        <v>560</v>
      </c>
      <c r="D13" s="989" t="s">
        <v>561</v>
      </c>
      <c r="E13" s="989" t="s">
        <v>562</v>
      </c>
      <c r="F13" s="989" t="s">
        <v>555</v>
      </c>
      <c r="G13" s="989" t="s">
        <v>561</v>
      </c>
      <c r="H13" s="990" t="s">
        <v>563</v>
      </c>
      <c r="I13" s="849"/>
      <c r="J13" s="849"/>
      <c r="K13" s="849"/>
      <c r="L13" s="849"/>
      <c r="M13" s="849"/>
      <c r="N13" s="849"/>
      <c r="O13" s="849"/>
      <c r="P13" s="849"/>
      <c r="Q13" s="849"/>
      <c r="R13" s="849"/>
      <c r="S13" s="849"/>
      <c r="T13" s="849"/>
      <c r="U13" s="849"/>
      <c r="V13" s="849"/>
      <c r="W13" s="849"/>
      <c r="X13" s="849"/>
      <c r="Y13" s="849"/>
      <c r="Z13" s="849"/>
      <c r="AA13" s="849"/>
      <c r="AB13" s="849"/>
      <c r="AC13" s="849"/>
      <c r="AD13" s="849"/>
      <c r="AE13" s="849"/>
      <c r="AF13" s="849"/>
      <c r="AG13" s="849"/>
    </row>
    <row r="14" customFormat="false" ht="30.75" hidden="false" customHeight="true" outlineLevel="0" collapsed="false">
      <c r="A14" s="849"/>
      <c r="B14" s="994" t="s">
        <v>180</v>
      </c>
      <c r="C14" s="989"/>
      <c r="D14" s="989" t="s">
        <v>564</v>
      </c>
      <c r="E14" s="989" t="s">
        <v>564</v>
      </c>
      <c r="F14" s="1002" t="s">
        <v>180</v>
      </c>
      <c r="G14" s="989"/>
      <c r="H14" s="990" t="s">
        <v>180</v>
      </c>
      <c r="I14" s="849"/>
      <c r="J14" s="849"/>
      <c r="K14" s="849"/>
      <c r="L14" s="849"/>
      <c r="M14" s="849"/>
      <c r="N14" s="849"/>
      <c r="O14" s="849"/>
      <c r="P14" s="849"/>
      <c r="Q14" s="849"/>
      <c r="R14" s="849"/>
      <c r="S14" s="849"/>
      <c r="T14" s="849"/>
      <c r="U14" s="849"/>
      <c r="V14" s="849"/>
      <c r="W14" s="849"/>
      <c r="X14" s="849"/>
      <c r="Y14" s="849"/>
      <c r="Z14" s="849"/>
      <c r="AA14" s="849"/>
      <c r="AB14" s="849"/>
      <c r="AC14" s="849"/>
      <c r="AD14" s="849"/>
      <c r="AE14" s="849"/>
      <c r="AF14" s="849"/>
      <c r="AG14" s="849"/>
    </row>
    <row r="15" customFormat="false" ht="30.75" hidden="false" customHeight="true" outlineLevel="0" collapsed="false">
      <c r="A15" s="849"/>
      <c r="B15" s="981" t="n">
        <v>14</v>
      </c>
      <c r="C15" s="981" t="n">
        <v>15</v>
      </c>
      <c r="D15" s="981" t="n">
        <v>16</v>
      </c>
      <c r="E15" s="981" t="n">
        <v>17</v>
      </c>
      <c r="F15" s="981" t="n">
        <v>18</v>
      </c>
      <c r="G15" s="981" t="n">
        <v>19</v>
      </c>
      <c r="H15" s="981" t="n">
        <v>20</v>
      </c>
      <c r="I15" s="849"/>
      <c r="J15" s="849"/>
      <c r="K15" s="849"/>
      <c r="L15" s="849"/>
      <c r="M15" s="849"/>
      <c r="N15" s="849"/>
      <c r="O15" s="849"/>
      <c r="P15" s="849"/>
      <c r="Q15" s="849"/>
      <c r="R15" s="849"/>
      <c r="S15" s="849"/>
      <c r="T15" s="849"/>
      <c r="U15" s="849"/>
      <c r="V15" s="849"/>
      <c r="W15" s="849"/>
      <c r="X15" s="849"/>
    </row>
    <row r="16" customFormat="false" ht="30.75" hidden="false" customHeight="true" outlineLevel="0" collapsed="false">
      <c r="A16" s="849"/>
      <c r="B16" s="983" t="s">
        <v>506</v>
      </c>
      <c r="C16" s="983" t="s">
        <v>359</v>
      </c>
      <c r="D16" s="983" t="s">
        <v>558</v>
      </c>
      <c r="E16" s="983" t="s">
        <v>209</v>
      </c>
      <c r="F16" s="983" t="s">
        <v>209</v>
      </c>
      <c r="G16" s="983" t="s">
        <v>79</v>
      </c>
      <c r="H16" s="1006"/>
      <c r="I16" s="849"/>
      <c r="J16" s="849"/>
      <c r="K16" s="849"/>
      <c r="L16" s="849"/>
      <c r="M16" s="849"/>
      <c r="N16" s="849"/>
      <c r="O16" s="849"/>
      <c r="P16" s="849"/>
      <c r="Q16" s="849"/>
      <c r="R16" s="849"/>
      <c r="S16" s="849"/>
      <c r="T16" s="849"/>
      <c r="U16" s="849"/>
      <c r="V16" s="849"/>
      <c r="W16" s="849"/>
      <c r="X16" s="849"/>
    </row>
    <row r="17" customFormat="false" ht="30.75" hidden="false" customHeight="true" outlineLevel="0" collapsed="false">
      <c r="A17" s="849"/>
      <c r="B17" s="986" t="n">
        <v>0.43</v>
      </c>
      <c r="C17" s="986" t="n">
        <v>0.53</v>
      </c>
      <c r="D17" s="986" t="n">
        <v>0.63</v>
      </c>
      <c r="E17" s="986" t="n">
        <v>0.72</v>
      </c>
      <c r="F17" s="986" t="n">
        <v>0.8</v>
      </c>
      <c r="G17" s="986" t="n">
        <v>0.87</v>
      </c>
      <c r="H17" s="1000" t="n">
        <v>0.93</v>
      </c>
      <c r="I17" s="849"/>
      <c r="J17" s="849"/>
      <c r="K17" s="849"/>
      <c r="L17" s="849"/>
      <c r="M17" s="849"/>
      <c r="N17" s="849"/>
      <c r="O17" s="849"/>
      <c r="P17" s="849"/>
      <c r="Q17" s="849"/>
      <c r="R17" s="849"/>
      <c r="S17" s="849"/>
      <c r="T17" s="849"/>
      <c r="U17" s="849"/>
      <c r="V17" s="849"/>
      <c r="W17" s="849"/>
      <c r="X17" s="849"/>
    </row>
    <row r="18" customFormat="false" ht="30.75" hidden="false" customHeight="true" outlineLevel="0" collapsed="false">
      <c r="A18" s="849"/>
      <c r="B18" s="989" t="s">
        <v>62</v>
      </c>
      <c r="C18" s="988" t="s">
        <v>352</v>
      </c>
      <c r="D18" s="989" t="s">
        <v>54</v>
      </c>
      <c r="E18" s="988" t="s">
        <v>541</v>
      </c>
      <c r="F18" s="988" t="s">
        <v>62</v>
      </c>
      <c r="G18" s="988" t="s">
        <v>54</v>
      </c>
      <c r="H18" s="1001"/>
      <c r="I18" s="849"/>
      <c r="J18" s="849"/>
      <c r="K18" s="849"/>
      <c r="L18" s="849"/>
      <c r="M18" s="849"/>
      <c r="N18" s="849"/>
      <c r="O18" s="849"/>
      <c r="P18" s="849"/>
      <c r="Q18" s="849"/>
      <c r="R18" s="849"/>
      <c r="S18" s="849"/>
      <c r="T18" s="849"/>
      <c r="U18" s="849"/>
      <c r="V18" s="849"/>
      <c r="W18" s="849"/>
      <c r="X18" s="849"/>
    </row>
    <row r="19" customFormat="false" ht="30.75" hidden="false" customHeight="true" outlineLevel="0" collapsed="false">
      <c r="A19" s="849"/>
      <c r="B19" s="989" t="s">
        <v>549</v>
      </c>
      <c r="C19" s="989" t="s">
        <v>565</v>
      </c>
      <c r="D19" s="989" t="s">
        <v>566</v>
      </c>
      <c r="E19" s="989" t="s">
        <v>567</v>
      </c>
      <c r="F19" s="989" t="n">
        <v>0</v>
      </c>
      <c r="G19" s="989" t="n">
        <v>0</v>
      </c>
      <c r="H19" s="990" t="s">
        <v>568</v>
      </c>
      <c r="I19" s="849"/>
      <c r="J19" s="849"/>
      <c r="K19" s="849"/>
      <c r="L19" s="849"/>
      <c r="M19" s="849"/>
      <c r="N19" s="849"/>
      <c r="O19" s="849"/>
      <c r="P19" s="849"/>
      <c r="Q19" s="849"/>
      <c r="R19" s="849"/>
      <c r="S19" s="849"/>
      <c r="T19" s="849"/>
      <c r="U19" s="849"/>
      <c r="V19" s="849"/>
      <c r="W19" s="849"/>
      <c r="X19" s="849"/>
    </row>
    <row r="20" customFormat="false" ht="30.75" hidden="false" customHeight="true" outlineLevel="0" collapsed="false">
      <c r="A20" s="849"/>
      <c r="B20" s="1008"/>
      <c r="C20" s="989"/>
      <c r="D20" s="989"/>
      <c r="E20" s="989"/>
      <c r="F20" s="989"/>
      <c r="G20" s="989"/>
      <c r="H20" s="990"/>
      <c r="I20" s="849"/>
      <c r="J20" s="849"/>
      <c r="K20" s="849"/>
      <c r="L20" s="849"/>
      <c r="M20" s="849"/>
      <c r="N20" s="849"/>
      <c r="O20" s="849"/>
      <c r="P20" s="849"/>
      <c r="Q20" s="849"/>
      <c r="R20" s="849"/>
      <c r="S20" s="849"/>
      <c r="T20" s="849"/>
      <c r="U20" s="849"/>
      <c r="V20" s="849"/>
      <c r="W20" s="849"/>
      <c r="X20" s="849"/>
    </row>
    <row r="21" customFormat="false" ht="30.75" hidden="false" customHeight="true" outlineLevel="0" collapsed="false">
      <c r="A21" s="849"/>
      <c r="B21" s="981" t="n">
        <v>21</v>
      </c>
      <c r="C21" s="981" t="n">
        <v>22</v>
      </c>
      <c r="D21" s="981" t="n">
        <v>23</v>
      </c>
      <c r="E21" s="981" t="n">
        <v>24</v>
      </c>
      <c r="F21" s="981" t="n">
        <v>25</v>
      </c>
      <c r="G21" s="981" t="n">
        <v>26</v>
      </c>
      <c r="H21" s="981" t="n">
        <v>27</v>
      </c>
      <c r="I21" s="849"/>
      <c r="J21" s="849"/>
      <c r="K21" s="849"/>
      <c r="L21" s="849"/>
      <c r="M21" s="849"/>
      <c r="N21" s="849"/>
      <c r="O21" s="849"/>
      <c r="P21" s="849"/>
      <c r="Q21" s="849"/>
      <c r="R21" s="849"/>
      <c r="S21" s="849"/>
      <c r="T21" s="849"/>
      <c r="U21" s="849"/>
      <c r="V21" s="849"/>
      <c r="W21" s="849"/>
      <c r="X21" s="849"/>
    </row>
    <row r="22" customFormat="false" ht="30.75" hidden="false" customHeight="true" outlineLevel="0" collapsed="false">
      <c r="A22" s="849"/>
      <c r="B22" s="1005"/>
      <c r="C22" s="1005"/>
      <c r="D22" s="1005"/>
      <c r="E22" s="1005"/>
      <c r="F22" s="1005"/>
      <c r="G22" s="1005"/>
      <c r="H22" s="999" t="s">
        <v>40</v>
      </c>
      <c r="I22" s="849"/>
      <c r="J22" s="849"/>
      <c r="K22" s="849"/>
      <c r="L22" s="849"/>
      <c r="M22" s="849"/>
      <c r="N22" s="849"/>
      <c r="O22" s="849"/>
      <c r="P22" s="849"/>
      <c r="Q22" s="849"/>
      <c r="R22" s="849"/>
      <c r="S22" s="849"/>
      <c r="T22" s="849"/>
      <c r="U22" s="849"/>
      <c r="V22" s="849"/>
      <c r="W22" s="849"/>
      <c r="X22" s="849"/>
    </row>
    <row r="23" customFormat="false" ht="30.75" hidden="false" customHeight="true" outlineLevel="0" collapsed="false">
      <c r="A23" s="849"/>
      <c r="B23" s="986" t="n">
        <v>0.95</v>
      </c>
      <c r="C23" s="986" t="n">
        <v>0.97</v>
      </c>
      <c r="D23" s="986" t="n">
        <v>0.98</v>
      </c>
      <c r="E23" s="986" t="n">
        <v>0.99</v>
      </c>
      <c r="F23" s="986" t="n">
        <v>0.98</v>
      </c>
      <c r="G23" s="986" t="n">
        <v>0.94</v>
      </c>
      <c r="H23" s="1000" t="n">
        <v>0.88</v>
      </c>
      <c r="I23" s="849"/>
      <c r="J23" s="849"/>
      <c r="K23" s="849"/>
      <c r="L23" s="849"/>
      <c r="M23" s="849"/>
      <c r="N23" s="849"/>
      <c r="O23" s="849"/>
      <c r="P23" s="849"/>
      <c r="Q23" s="849"/>
      <c r="R23" s="849"/>
      <c r="S23" s="849"/>
      <c r="T23" s="849"/>
      <c r="U23" s="849"/>
      <c r="V23" s="849"/>
      <c r="W23" s="849"/>
      <c r="X23" s="849"/>
    </row>
    <row r="24" customFormat="false" ht="30.75" hidden="false" customHeight="true" outlineLevel="0" collapsed="false">
      <c r="A24" s="849"/>
      <c r="B24" s="989"/>
      <c r="C24" s="988"/>
      <c r="D24" s="989"/>
      <c r="E24" s="988"/>
      <c r="F24" s="988"/>
      <c r="G24" s="988"/>
      <c r="H24" s="1001" t="s">
        <v>62</v>
      </c>
      <c r="I24" s="849"/>
      <c r="J24" s="849"/>
      <c r="K24" s="849"/>
      <c r="L24" s="849"/>
      <c r="M24" s="849"/>
      <c r="N24" s="849"/>
      <c r="O24" s="849"/>
      <c r="P24" s="849"/>
      <c r="Q24" s="849"/>
      <c r="R24" s="849"/>
      <c r="S24" s="849"/>
      <c r="T24" s="849"/>
      <c r="U24" s="849"/>
      <c r="V24" s="849"/>
      <c r="W24" s="849"/>
      <c r="X24" s="849"/>
    </row>
    <row r="25" customFormat="false" ht="30.75" hidden="false" customHeight="true" outlineLevel="0" collapsed="false">
      <c r="A25" s="849"/>
      <c r="B25" s="989" t="s">
        <v>569</v>
      </c>
      <c r="C25" s="989" t="s">
        <v>570</v>
      </c>
      <c r="D25" s="989" t="s">
        <v>571</v>
      </c>
      <c r="E25" s="989"/>
      <c r="F25" s="989" t="s">
        <v>572</v>
      </c>
      <c r="G25" s="989"/>
      <c r="H25" s="990"/>
      <c r="I25" s="849"/>
      <c r="J25" s="849"/>
      <c r="K25" s="849"/>
      <c r="L25" s="849"/>
      <c r="M25" s="849"/>
      <c r="N25" s="849"/>
      <c r="O25" s="849"/>
      <c r="P25" s="849"/>
      <c r="Q25" s="849"/>
      <c r="R25" s="849"/>
      <c r="S25" s="849"/>
      <c r="T25" s="849"/>
      <c r="U25" s="849"/>
      <c r="V25" s="849"/>
      <c r="W25" s="849"/>
      <c r="X25" s="849"/>
    </row>
    <row r="26" customFormat="false" ht="30.75" hidden="false" customHeight="true" outlineLevel="0" collapsed="false">
      <c r="A26" s="849"/>
      <c r="B26" s="994"/>
      <c r="C26" s="989"/>
      <c r="D26" s="989"/>
      <c r="E26" s="989"/>
      <c r="F26" s="989"/>
      <c r="G26" s="989"/>
      <c r="H26" s="990"/>
      <c r="I26" s="849"/>
      <c r="J26" s="849"/>
      <c r="K26" s="849"/>
      <c r="L26" s="849"/>
      <c r="M26" s="849"/>
      <c r="N26" s="849"/>
      <c r="O26" s="849"/>
      <c r="P26" s="849"/>
      <c r="Q26" s="849"/>
      <c r="R26" s="849"/>
      <c r="S26" s="849"/>
      <c r="T26" s="849"/>
      <c r="U26" s="849"/>
      <c r="V26" s="849"/>
      <c r="W26" s="849"/>
      <c r="X26" s="849"/>
    </row>
    <row r="27" customFormat="false" ht="30.75" hidden="false" customHeight="true" outlineLevel="0" collapsed="false">
      <c r="A27" s="849"/>
      <c r="B27" s="981" t="n">
        <v>28</v>
      </c>
      <c r="C27" s="981" t="n">
        <v>29</v>
      </c>
      <c r="D27" s="981" t="n">
        <v>30</v>
      </c>
      <c r="E27" s="981"/>
      <c r="F27" s="981"/>
      <c r="G27" s="981"/>
      <c r="H27" s="998"/>
      <c r="I27" s="849"/>
      <c r="J27" s="849"/>
      <c r="K27" s="849"/>
      <c r="L27" s="849"/>
      <c r="M27" s="849"/>
      <c r="N27" s="849"/>
      <c r="O27" s="849"/>
      <c r="P27" s="849"/>
      <c r="Q27" s="849"/>
      <c r="R27" s="849"/>
      <c r="S27" s="849"/>
      <c r="T27" s="849"/>
      <c r="U27" s="849"/>
      <c r="V27" s="849"/>
      <c r="W27" s="849"/>
      <c r="X27" s="849"/>
    </row>
    <row r="28" customFormat="false" ht="30.75" hidden="false" customHeight="true" outlineLevel="0" collapsed="false">
      <c r="A28" s="849"/>
      <c r="B28" s="983" t="s">
        <v>40</v>
      </c>
      <c r="C28" s="983" t="s">
        <v>352</v>
      </c>
      <c r="D28" s="983" t="s">
        <v>359</v>
      </c>
      <c r="E28" s="983"/>
      <c r="F28" s="983"/>
      <c r="G28" s="983"/>
      <c r="H28" s="999"/>
      <c r="I28" s="849"/>
      <c r="J28" s="849"/>
      <c r="K28" s="849"/>
      <c r="L28" s="849"/>
      <c r="M28" s="849"/>
      <c r="N28" s="849"/>
      <c r="O28" s="849"/>
      <c r="P28" s="849"/>
      <c r="Q28" s="849"/>
      <c r="R28" s="849"/>
      <c r="S28" s="849"/>
      <c r="T28" s="849"/>
      <c r="U28" s="849"/>
      <c r="V28" s="849"/>
      <c r="W28" s="849"/>
      <c r="X28" s="849"/>
    </row>
    <row r="29" customFormat="false" ht="30.75" hidden="false" customHeight="true" outlineLevel="0" collapsed="false">
      <c r="A29" s="849"/>
      <c r="B29" s="986" t="n">
        <v>0.8</v>
      </c>
      <c r="C29" s="986" t="n">
        <v>0.71</v>
      </c>
      <c r="D29" s="986" t="n">
        <v>0.6</v>
      </c>
      <c r="E29" s="986"/>
      <c r="F29" s="986"/>
      <c r="G29" s="986"/>
      <c r="H29" s="1000"/>
      <c r="I29" s="849"/>
      <c r="J29" s="849"/>
      <c r="K29" s="849"/>
      <c r="L29" s="849"/>
      <c r="M29" s="849"/>
      <c r="N29" s="849"/>
      <c r="O29" s="849"/>
      <c r="P29" s="849"/>
      <c r="Q29" s="849"/>
      <c r="R29" s="849"/>
      <c r="S29" s="849"/>
      <c r="T29" s="849"/>
      <c r="U29" s="849"/>
      <c r="V29" s="849"/>
      <c r="W29" s="849"/>
      <c r="X29" s="849"/>
    </row>
    <row r="30" customFormat="false" ht="30.75" hidden="false" customHeight="true" outlineLevel="0" collapsed="false">
      <c r="A30" s="849"/>
      <c r="B30" s="988" t="s">
        <v>62</v>
      </c>
      <c r="C30" s="988" t="s">
        <v>54</v>
      </c>
      <c r="D30" s="988" t="s">
        <v>169</v>
      </c>
      <c r="E30" s="988"/>
      <c r="F30" s="988"/>
      <c r="G30" s="988"/>
      <c r="H30" s="1001"/>
      <c r="I30" s="849"/>
      <c r="J30" s="849"/>
      <c r="K30" s="849"/>
      <c r="L30" s="849"/>
      <c r="M30" s="849"/>
      <c r="N30" s="849"/>
      <c r="O30" s="849"/>
      <c r="P30" s="849"/>
      <c r="Q30" s="849"/>
      <c r="R30" s="849"/>
      <c r="S30" s="849"/>
      <c r="T30" s="849"/>
      <c r="U30" s="849"/>
      <c r="V30" s="849"/>
      <c r="W30" s="849"/>
      <c r="X30" s="849"/>
    </row>
    <row r="31" customFormat="false" ht="30.75" hidden="false" customHeight="true" outlineLevel="0" collapsed="false">
      <c r="A31" s="849"/>
      <c r="B31" s="994"/>
      <c r="C31" s="994"/>
      <c r="D31" s="989" t="s">
        <v>573</v>
      </c>
      <c r="E31" s="994"/>
      <c r="F31" s="994"/>
      <c r="G31" s="994"/>
      <c r="H31" s="1011"/>
      <c r="I31" s="849"/>
      <c r="J31" s="849"/>
      <c r="K31" s="849"/>
      <c r="L31" s="849"/>
      <c r="M31" s="849"/>
      <c r="N31" s="849"/>
      <c r="O31" s="849"/>
      <c r="P31" s="849"/>
      <c r="Q31" s="849"/>
      <c r="R31" s="849"/>
      <c r="S31" s="849"/>
      <c r="T31" s="849"/>
      <c r="U31" s="849"/>
      <c r="V31" s="849"/>
      <c r="W31" s="849"/>
      <c r="X31" s="849"/>
    </row>
    <row r="32" customFormat="false" ht="30.75" hidden="false" customHeight="true" outlineLevel="0" collapsed="false">
      <c r="A32" s="849"/>
      <c r="B32" s="994"/>
      <c r="C32" s="989"/>
      <c r="D32" s="989"/>
      <c r="E32" s="989"/>
      <c r="F32" s="989"/>
      <c r="G32" s="989"/>
      <c r="H32" s="990"/>
      <c r="I32" s="849"/>
      <c r="J32" s="849"/>
      <c r="K32" s="849"/>
      <c r="L32" s="849"/>
      <c r="M32" s="849"/>
      <c r="N32" s="849"/>
      <c r="O32" s="849"/>
      <c r="P32" s="849"/>
      <c r="Q32" s="849"/>
      <c r="R32" s="849"/>
      <c r="S32" s="849"/>
      <c r="T32" s="849"/>
      <c r="U32" s="849"/>
      <c r="V32" s="849"/>
      <c r="W32" s="849"/>
      <c r="X32" s="849"/>
    </row>
    <row r="33" customFormat="false" ht="30.75" hidden="false" customHeight="true" outlineLevel="0" collapsed="false">
      <c r="A33" s="849"/>
      <c r="B33" s="981"/>
      <c r="C33" s="981"/>
      <c r="D33" s="849"/>
      <c r="E33" s="849"/>
      <c r="F33" s="849"/>
      <c r="G33" s="849"/>
      <c r="H33" s="849"/>
      <c r="I33" s="849"/>
      <c r="J33" s="849"/>
      <c r="K33" s="849"/>
      <c r="L33" s="849"/>
      <c r="M33" s="849"/>
      <c r="N33" s="849"/>
      <c r="O33" s="849"/>
      <c r="P33" s="849"/>
      <c r="Q33" s="849"/>
      <c r="R33" s="849"/>
      <c r="S33" s="849"/>
    </row>
    <row r="34" customFormat="false" ht="30.75" hidden="false" customHeight="true" outlineLevel="0" collapsed="false">
      <c r="A34" s="849"/>
      <c r="B34" s="983"/>
      <c r="C34" s="983"/>
      <c r="D34" s="849"/>
      <c r="E34" s="849"/>
      <c r="F34" s="849"/>
      <c r="G34" s="849"/>
      <c r="H34" s="849"/>
      <c r="I34" s="849"/>
      <c r="J34" s="849"/>
      <c r="K34" s="849"/>
      <c r="L34" s="849"/>
      <c r="M34" s="849"/>
      <c r="N34" s="849"/>
      <c r="O34" s="849"/>
      <c r="P34" s="849"/>
      <c r="Q34" s="849"/>
      <c r="R34" s="849"/>
      <c r="S34" s="849"/>
      <c r="T34" s="849"/>
      <c r="U34" s="849"/>
      <c r="V34" s="849"/>
    </row>
    <row r="35" customFormat="false" ht="30.75" hidden="false" customHeight="true" outlineLevel="0" collapsed="false">
      <c r="A35" s="849"/>
      <c r="B35" s="986"/>
      <c r="C35" s="986"/>
      <c r="D35" s="849"/>
      <c r="E35" s="849"/>
      <c r="F35" s="849"/>
      <c r="G35" s="849"/>
      <c r="H35" s="849"/>
      <c r="I35" s="849"/>
      <c r="J35" s="849"/>
      <c r="K35" s="849"/>
      <c r="L35" s="849"/>
      <c r="M35" s="849"/>
      <c r="N35" s="849"/>
      <c r="O35" s="849"/>
      <c r="P35" s="849"/>
      <c r="Q35" s="849"/>
      <c r="R35" s="849"/>
      <c r="S35" s="849"/>
      <c r="T35" s="849"/>
      <c r="U35" s="849"/>
      <c r="V35" s="849"/>
    </row>
    <row r="36" customFormat="false" ht="30.75" hidden="false" customHeight="true" outlineLevel="0" collapsed="false">
      <c r="A36" s="849"/>
      <c r="B36" s="988"/>
      <c r="C36" s="988"/>
      <c r="D36" s="849"/>
      <c r="E36" s="849"/>
      <c r="F36" s="849"/>
      <c r="G36" s="849"/>
      <c r="H36" s="849"/>
      <c r="I36" s="849"/>
      <c r="J36" s="849"/>
      <c r="K36" s="849"/>
      <c r="L36" s="849"/>
      <c r="M36" s="849"/>
      <c r="N36" s="849"/>
      <c r="O36" s="849"/>
      <c r="P36" s="849"/>
      <c r="Q36" s="849"/>
      <c r="R36" s="849"/>
      <c r="S36" s="849"/>
      <c r="T36" s="849"/>
      <c r="U36" s="849"/>
      <c r="V36" s="849"/>
    </row>
    <row r="37" customFormat="false" ht="30.75" hidden="false" customHeight="true" outlineLevel="0" collapsed="false">
      <c r="A37" s="849"/>
      <c r="B37" s="994"/>
      <c r="C37" s="994"/>
      <c r="D37" s="849"/>
      <c r="E37" s="849"/>
      <c r="F37" s="849"/>
      <c r="G37" s="849"/>
      <c r="H37" s="849"/>
      <c r="I37" s="849"/>
      <c r="J37" s="849"/>
      <c r="K37" s="849"/>
      <c r="L37" s="849"/>
      <c r="M37" s="849"/>
      <c r="N37" s="849"/>
      <c r="O37" s="849"/>
      <c r="P37" s="849"/>
      <c r="Q37" s="849"/>
      <c r="R37" s="849"/>
      <c r="S37" s="849"/>
      <c r="T37" s="849"/>
      <c r="U37" s="849"/>
      <c r="V37" s="849"/>
    </row>
    <row r="38" customFormat="false" ht="30.75" hidden="false" customHeight="true" outlineLevel="0" collapsed="false">
      <c r="A38" s="849"/>
      <c r="B38" s="994"/>
      <c r="C38" s="989"/>
      <c r="D38" s="849"/>
      <c r="E38" s="849"/>
      <c r="F38" s="849"/>
      <c r="G38" s="849"/>
      <c r="H38" s="849"/>
      <c r="I38" s="849"/>
      <c r="J38" s="849"/>
      <c r="K38" s="849"/>
      <c r="L38" s="849"/>
      <c r="M38" s="849"/>
      <c r="N38" s="849"/>
      <c r="O38" s="849"/>
      <c r="P38" s="849"/>
      <c r="Q38" s="849"/>
      <c r="R38" s="849"/>
      <c r="S38" s="849"/>
      <c r="T38" s="849"/>
      <c r="U38" s="849"/>
      <c r="V38" s="849"/>
    </row>
    <row r="39" customFormat="false" ht="30.75" hidden="false" customHeight="true" outlineLevel="0" collapsed="false">
      <c r="A39" s="849"/>
      <c r="B39" s="849"/>
      <c r="C39" s="849"/>
      <c r="D39" s="849"/>
      <c r="E39" s="849"/>
      <c r="F39" s="849"/>
      <c r="G39" s="849"/>
      <c r="H39" s="849"/>
      <c r="I39" s="849"/>
      <c r="J39" s="849"/>
      <c r="K39" s="849"/>
      <c r="L39" s="849"/>
      <c r="M39" s="849"/>
      <c r="N39" s="849"/>
      <c r="O39" s="849"/>
      <c r="P39" s="849"/>
      <c r="Q39" s="849"/>
      <c r="R39" s="849"/>
      <c r="S39" s="849"/>
      <c r="T39" s="849"/>
      <c r="U39" s="849"/>
      <c r="V39" s="849"/>
      <c r="W39" s="849"/>
      <c r="X39" s="849"/>
      <c r="Y39" s="849"/>
      <c r="Z39" s="849"/>
      <c r="AA39" s="849"/>
    </row>
    <row r="40" customFormat="false" ht="30.75" hidden="false" customHeight="true" outlineLevel="0" collapsed="false">
      <c r="A40" s="849"/>
      <c r="B40" s="849"/>
      <c r="C40" s="849"/>
      <c r="D40" s="849"/>
      <c r="E40" s="849"/>
      <c r="F40" s="849"/>
      <c r="G40" s="849"/>
      <c r="H40" s="849"/>
      <c r="I40" s="849"/>
      <c r="J40" s="849"/>
      <c r="K40" s="849"/>
      <c r="L40" s="849"/>
      <c r="M40" s="849"/>
      <c r="N40" s="849"/>
      <c r="O40" s="849"/>
      <c r="P40" s="849"/>
      <c r="Q40" s="849"/>
      <c r="R40" s="849"/>
      <c r="S40" s="849"/>
      <c r="T40" s="849"/>
      <c r="U40" s="849"/>
      <c r="V40" s="849"/>
    </row>
    <row r="41" customFormat="false" ht="30.75" hidden="false" customHeight="true" outlineLevel="0" collapsed="false">
      <c r="A41" s="849"/>
      <c r="B41" s="849"/>
      <c r="C41" s="849"/>
      <c r="D41" s="849"/>
      <c r="E41" s="849"/>
      <c r="F41" s="849"/>
      <c r="G41" s="849"/>
      <c r="H41" s="849"/>
      <c r="I41" s="849"/>
      <c r="J41" s="849"/>
      <c r="K41" s="849"/>
      <c r="L41" s="849"/>
      <c r="M41" s="849"/>
      <c r="N41" s="849"/>
      <c r="O41" s="849"/>
      <c r="P41" s="849"/>
      <c r="Q41" s="849"/>
      <c r="R41" s="849"/>
      <c r="S41" s="849"/>
      <c r="T41" s="849"/>
      <c r="U41" s="849"/>
      <c r="V41" s="849"/>
    </row>
    <row r="42" customFormat="false" ht="30.75" hidden="false" customHeight="true" outlineLevel="0" collapsed="false">
      <c r="A42" s="849"/>
      <c r="B42" s="849"/>
      <c r="C42" s="849"/>
      <c r="D42" s="849"/>
      <c r="E42" s="849"/>
      <c r="F42" s="849"/>
      <c r="G42" s="849"/>
      <c r="H42" s="849"/>
      <c r="I42" s="849"/>
      <c r="J42" s="849"/>
      <c r="K42" s="849"/>
      <c r="L42" s="849"/>
      <c r="M42" s="849"/>
      <c r="N42" s="849"/>
      <c r="O42" s="849"/>
      <c r="P42" s="849"/>
      <c r="Q42" s="849"/>
      <c r="R42" s="849"/>
      <c r="S42" s="849"/>
      <c r="T42" s="849"/>
      <c r="U42" s="849"/>
      <c r="V42" s="849"/>
    </row>
    <row r="43" customFormat="false" ht="30.75" hidden="false" customHeight="true" outlineLevel="0" collapsed="false">
      <c r="A43" s="849"/>
      <c r="B43" s="849"/>
      <c r="C43" s="849"/>
      <c r="D43" s="849"/>
      <c r="E43" s="849"/>
      <c r="F43" s="849"/>
      <c r="G43" s="849"/>
      <c r="H43" s="849"/>
      <c r="I43" s="849"/>
      <c r="J43" s="849"/>
      <c r="K43" s="849"/>
      <c r="L43" s="849"/>
      <c r="M43" s="849"/>
      <c r="N43" s="849"/>
      <c r="O43" s="849"/>
      <c r="P43" s="849"/>
      <c r="Q43" s="849"/>
      <c r="R43" s="849"/>
      <c r="S43" s="849"/>
      <c r="T43" s="849"/>
      <c r="U43" s="849"/>
      <c r="V43" s="849"/>
    </row>
    <row r="44" customFormat="false" ht="30.75" hidden="false" customHeight="true" outlineLevel="0" collapsed="false">
      <c r="A44" s="849"/>
      <c r="B44" s="849"/>
      <c r="C44" s="849"/>
      <c r="D44" s="849"/>
      <c r="E44" s="849"/>
      <c r="F44" s="849"/>
      <c r="G44" s="849"/>
      <c r="H44" s="849"/>
      <c r="I44" s="849"/>
      <c r="J44" s="849"/>
      <c r="K44" s="849"/>
      <c r="L44" s="849"/>
      <c r="M44" s="849"/>
      <c r="N44" s="849"/>
      <c r="O44" s="849"/>
      <c r="P44" s="849"/>
      <c r="Q44" s="849"/>
      <c r="R44" s="849"/>
      <c r="S44" s="849"/>
      <c r="T44" s="849"/>
      <c r="U44" s="849"/>
      <c r="V44" s="849"/>
    </row>
    <row r="45" customFormat="false" ht="30.75" hidden="false" customHeight="true" outlineLevel="0" collapsed="false">
      <c r="A45" s="849"/>
      <c r="B45" s="849"/>
      <c r="C45" s="849"/>
      <c r="D45" s="849"/>
      <c r="E45" s="849"/>
      <c r="F45" s="849"/>
      <c r="G45" s="849"/>
      <c r="H45" s="849"/>
      <c r="I45" s="849"/>
      <c r="J45" s="849"/>
      <c r="K45" s="849"/>
      <c r="L45" s="849"/>
      <c r="M45" s="849"/>
      <c r="N45" s="849"/>
      <c r="O45" s="849"/>
      <c r="P45" s="849"/>
      <c r="Q45" s="849"/>
      <c r="R45" s="849"/>
      <c r="S45" s="849"/>
      <c r="T45" s="849"/>
      <c r="U45" s="849"/>
      <c r="V45" s="849"/>
    </row>
    <row r="46" customFormat="false" ht="30.75" hidden="false" customHeight="true" outlineLevel="0" collapsed="false">
      <c r="A46" s="849"/>
      <c r="B46" s="849"/>
      <c r="C46" s="849"/>
      <c r="D46" s="849"/>
      <c r="E46" s="849"/>
      <c r="F46" s="849"/>
      <c r="G46" s="849"/>
      <c r="H46" s="849"/>
      <c r="I46" s="849"/>
      <c r="J46" s="849"/>
      <c r="K46" s="849"/>
      <c r="L46" s="849"/>
      <c r="M46" s="849"/>
      <c r="N46" s="849"/>
      <c r="O46" s="849"/>
      <c r="P46" s="849"/>
      <c r="Q46" s="849"/>
      <c r="R46" s="849"/>
      <c r="S46" s="849"/>
      <c r="T46" s="849"/>
      <c r="U46" s="849"/>
      <c r="V46" s="849"/>
    </row>
    <row r="47" customFormat="false" ht="30.75" hidden="false" customHeight="true" outlineLevel="0" collapsed="false">
      <c r="A47" s="849"/>
      <c r="B47" s="849"/>
      <c r="C47" s="849"/>
      <c r="D47" s="849"/>
      <c r="E47" s="849"/>
      <c r="F47" s="849"/>
      <c r="G47" s="849"/>
      <c r="H47" s="849"/>
      <c r="I47" s="849"/>
      <c r="J47" s="849"/>
      <c r="K47" s="849"/>
      <c r="L47" s="849"/>
      <c r="M47" s="849"/>
      <c r="N47" s="849"/>
      <c r="O47" s="849"/>
      <c r="P47" s="849"/>
      <c r="Q47" s="849"/>
      <c r="R47" s="849"/>
      <c r="S47" s="849"/>
      <c r="T47" s="849"/>
      <c r="U47" s="849"/>
      <c r="V47" s="849"/>
    </row>
    <row r="48" customFormat="false" ht="30.75" hidden="false" customHeight="true" outlineLevel="0" collapsed="false">
      <c r="A48" s="849"/>
      <c r="B48" s="849"/>
      <c r="C48" s="849"/>
      <c r="D48" s="849"/>
      <c r="E48" s="849"/>
      <c r="F48" s="849"/>
      <c r="G48" s="849"/>
      <c r="H48" s="849"/>
      <c r="I48" s="849"/>
      <c r="J48" s="849"/>
      <c r="K48" s="849"/>
      <c r="L48" s="849"/>
      <c r="M48" s="849"/>
      <c r="N48" s="849"/>
      <c r="O48" s="849"/>
      <c r="P48" s="849"/>
      <c r="Q48" s="849"/>
      <c r="R48" s="849"/>
      <c r="S48" s="849"/>
      <c r="T48" s="849"/>
      <c r="U48" s="849"/>
      <c r="V48" s="849"/>
    </row>
    <row r="49" customFormat="false" ht="30.75" hidden="false" customHeight="true" outlineLevel="0" collapsed="false">
      <c r="A49" s="849"/>
      <c r="B49" s="849"/>
      <c r="C49" s="849"/>
      <c r="D49" s="849"/>
      <c r="E49" s="849"/>
      <c r="F49" s="849"/>
      <c r="G49" s="849"/>
      <c r="H49" s="849"/>
      <c r="I49" s="849"/>
      <c r="J49" s="849"/>
      <c r="K49" s="849"/>
      <c r="L49" s="849"/>
      <c r="M49" s="849"/>
      <c r="N49" s="849"/>
      <c r="O49" s="849"/>
      <c r="P49" s="849"/>
      <c r="Q49" s="849"/>
      <c r="R49" s="849"/>
      <c r="S49" s="849"/>
      <c r="T49" s="849"/>
      <c r="U49" s="849"/>
      <c r="V49" s="849"/>
    </row>
    <row r="50" customFormat="false" ht="30.75" hidden="false" customHeight="true" outlineLevel="0" collapsed="false">
      <c r="A50" s="849"/>
      <c r="B50" s="849"/>
      <c r="C50" s="849"/>
      <c r="D50" s="849"/>
      <c r="E50" s="849"/>
      <c r="F50" s="849"/>
      <c r="G50" s="849"/>
      <c r="H50" s="849"/>
      <c r="I50" s="849"/>
      <c r="J50" s="849"/>
      <c r="K50" s="849"/>
      <c r="L50" s="849"/>
      <c r="M50" s="849"/>
      <c r="N50" s="849"/>
      <c r="O50" s="849"/>
      <c r="P50" s="849"/>
      <c r="Q50" s="849"/>
      <c r="R50" s="849"/>
      <c r="S50" s="849"/>
      <c r="T50" s="849"/>
      <c r="U50" s="849"/>
      <c r="V50" s="849"/>
    </row>
    <row r="51" customFormat="false" ht="30.75" hidden="false" customHeight="true" outlineLevel="0" collapsed="false">
      <c r="A51" s="849"/>
      <c r="B51" s="849"/>
      <c r="C51" s="849"/>
      <c r="D51" s="849"/>
      <c r="E51" s="849"/>
      <c r="F51" s="849"/>
      <c r="G51" s="849"/>
      <c r="H51" s="849"/>
      <c r="I51" s="849"/>
      <c r="J51" s="849"/>
      <c r="K51" s="849"/>
      <c r="L51" s="849"/>
      <c r="M51" s="849"/>
      <c r="N51" s="849"/>
      <c r="O51" s="849"/>
      <c r="P51" s="849"/>
      <c r="Q51" s="849"/>
      <c r="R51" s="849"/>
      <c r="S51" s="849"/>
      <c r="T51" s="849"/>
      <c r="U51" s="849"/>
      <c r="V51" s="849"/>
    </row>
    <row r="52" customFormat="false" ht="30.75" hidden="false" customHeight="true" outlineLevel="0" collapsed="false">
      <c r="A52" s="849"/>
      <c r="B52" s="849"/>
      <c r="C52" s="849"/>
      <c r="D52" s="849"/>
      <c r="E52" s="849"/>
      <c r="F52" s="849"/>
      <c r="G52" s="849"/>
      <c r="H52" s="849"/>
      <c r="I52" s="849"/>
      <c r="J52" s="849"/>
      <c r="K52" s="849"/>
      <c r="L52" s="849"/>
      <c r="M52" s="849"/>
      <c r="N52" s="849"/>
      <c r="O52" s="849"/>
      <c r="P52" s="849"/>
      <c r="Q52" s="849"/>
      <c r="R52" s="849"/>
      <c r="S52" s="849"/>
      <c r="T52" s="849"/>
      <c r="U52" s="849"/>
    </row>
    <row r="53" customFormat="false" ht="30.75" hidden="false" customHeight="true" outlineLevel="0" collapsed="false">
      <c r="A53" s="849"/>
      <c r="B53" s="849"/>
      <c r="C53" s="849"/>
      <c r="D53" s="849"/>
      <c r="E53" s="849"/>
      <c r="F53" s="849"/>
      <c r="G53" s="849"/>
      <c r="H53" s="849"/>
      <c r="I53" s="849"/>
      <c r="J53" s="849"/>
      <c r="K53" s="849"/>
      <c r="L53" s="849"/>
      <c r="M53" s="849"/>
      <c r="N53" s="849"/>
      <c r="O53" s="849"/>
      <c r="P53" s="849"/>
      <c r="Q53" s="849"/>
      <c r="R53" s="849"/>
      <c r="S53" s="849"/>
      <c r="T53" s="849"/>
      <c r="U53" s="849"/>
    </row>
    <row r="54" customFormat="false" ht="30.75" hidden="false" customHeight="true" outlineLevel="0" collapsed="false">
      <c r="A54" s="849"/>
      <c r="B54" s="849"/>
      <c r="C54" s="849"/>
      <c r="D54" s="849"/>
      <c r="E54" s="849"/>
      <c r="F54" s="849"/>
      <c r="G54" s="849"/>
      <c r="H54" s="849"/>
      <c r="I54" s="849"/>
      <c r="J54" s="849"/>
      <c r="K54" s="849"/>
      <c r="L54" s="849"/>
      <c r="M54" s="849"/>
      <c r="N54" s="849"/>
      <c r="O54" s="849"/>
      <c r="P54" s="849"/>
      <c r="Q54" s="849"/>
      <c r="R54" s="849"/>
      <c r="S54" s="849"/>
      <c r="T54" s="849"/>
      <c r="U54" s="849"/>
    </row>
    <row r="55" customFormat="false" ht="30.75" hidden="false" customHeight="true" outlineLevel="0" collapsed="false">
      <c r="A55" s="849"/>
      <c r="B55" s="849"/>
      <c r="C55" s="849"/>
      <c r="D55" s="849"/>
      <c r="E55" s="849"/>
      <c r="F55" s="849"/>
      <c r="G55" s="849"/>
      <c r="H55" s="849"/>
      <c r="I55" s="849"/>
      <c r="J55" s="849"/>
      <c r="K55" s="849"/>
      <c r="L55" s="849"/>
      <c r="M55" s="849"/>
      <c r="N55" s="849"/>
      <c r="O55" s="849"/>
      <c r="P55" s="849"/>
      <c r="Q55" s="849"/>
      <c r="R55" s="849"/>
      <c r="S55" s="849"/>
      <c r="T55" s="849"/>
      <c r="U55" s="849"/>
    </row>
    <row r="56" customFormat="false" ht="30.75" hidden="false" customHeight="true" outlineLevel="0" collapsed="false">
      <c r="A56" s="849"/>
      <c r="B56" s="849"/>
      <c r="C56" s="849"/>
      <c r="D56" s="849"/>
      <c r="E56" s="849"/>
      <c r="F56" s="849"/>
      <c r="G56" s="849"/>
      <c r="H56" s="849"/>
      <c r="I56" s="849"/>
      <c r="J56" s="849"/>
      <c r="K56" s="849"/>
      <c r="L56" s="849"/>
      <c r="M56" s="849"/>
      <c r="N56" s="849"/>
      <c r="O56" s="849"/>
      <c r="P56" s="849"/>
      <c r="Q56" s="849"/>
      <c r="R56" s="849"/>
      <c r="S56" s="849"/>
      <c r="T56" s="849"/>
      <c r="U56" s="849"/>
    </row>
    <row r="57" customFormat="false" ht="30.75" hidden="false" customHeight="true" outlineLevel="0" collapsed="false">
      <c r="A57" s="849"/>
      <c r="B57" s="849"/>
      <c r="C57" s="849"/>
      <c r="D57" s="849"/>
      <c r="E57" s="849"/>
      <c r="F57" s="849"/>
      <c r="G57" s="849"/>
      <c r="H57" s="849"/>
      <c r="I57" s="849"/>
      <c r="J57" s="849"/>
      <c r="K57" s="849"/>
      <c r="L57" s="849"/>
      <c r="M57" s="849"/>
      <c r="N57" s="849"/>
      <c r="O57" s="849"/>
      <c r="P57" s="849"/>
      <c r="Q57" s="849"/>
      <c r="R57" s="849"/>
      <c r="S57" s="849"/>
      <c r="T57" s="849"/>
      <c r="U57" s="849"/>
    </row>
    <row r="58" customFormat="false" ht="30.75" hidden="false" customHeight="true" outlineLevel="0" collapsed="false">
      <c r="A58" s="849"/>
      <c r="B58" s="849"/>
      <c r="C58" s="849"/>
      <c r="D58" s="849"/>
      <c r="E58" s="849"/>
      <c r="F58" s="849"/>
      <c r="G58" s="849"/>
      <c r="H58" s="849"/>
      <c r="I58" s="849"/>
      <c r="J58" s="849"/>
      <c r="K58" s="849"/>
      <c r="L58" s="849"/>
      <c r="M58" s="849"/>
      <c r="N58" s="849"/>
      <c r="O58" s="849"/>
      <c r="P58" s="849"/>
      <c r="Q58" s="849"/>
      <c r="R58" s="849"/>
      <c r="S58" s="849"/>
      <c r="T58" s="849"/>
      <c r="U58" s="849"/>
    </row>
    <row r="59" customFormat="false" ht="30.75" hidden="false" customHeight="true" outlineLevel="0" collapsed="false">
      <c r="A59" s="849"/>
      <c r="B59" s="849"/>
      <c r="C59" s="849"/>
      <c r="D59" s="849"/>
      <c r="E59" s="849"/>
      <c r="F59" s="849"/>
      <c r="G59" s="849"/>
      <c r="H59" s="849"/>
      <c r="I59" s="849"/>
      <c r="J59" s="849"/>
      <c r="K59" s="849"/>
      <c r="L59" s="849"/>
      <c r="M59" s="849"/>
      <c r="N59" s="849"/>
      <c r="O59" s="849"/>
      <c r="P59" s="849"/>
      <c r="Q59" s="849"/>
      <c r="R59" s="849"/>
      <c r="S59" s="849"/>
      <c r="T59" s="849"/>
      <c r="U59" s="849"/>
    </row>
    <row r="60" customFormat="false" ht="30.75" hidden="false" customHeight="true" outlineLevel="0" collapsed="false">
      <c r="A60" s="849"/>
      <c r="B60" s="849"/>
      <c r="C60" s="849"/>
      <c r="D60" s="849"/>
      <c r="E60" s="849"/>
      <c r="F60" s="849"/>
      <c r="G60" s="849"/>
      <c r="H60" s="849"/>
      <c r="I60" s="849"/>
      <c r="J60" s="849"/>
      <c r="K60" s="849"/>
      <c r="L60" s="849"/>
      <c r="M60" s="849"/>
      <c r="N60" s="849"/>
      <c r="O60" s="849"/>
      <c r="P60" s="849"/>
      <c r="Q60" s="849"/>
      <c r="R60" s="849"/>
      <c r="S60" s="849"/>
      <c r="T60" s="849"/>
      <c r="U60" s="849"/>
    </row>
    <row r="61" customFormat="false" ht="30.75" hidden="false" customHeight="true" outlineLevel="0" collapsed="false">
      <c r="A61" s="849"/>
      <c r="B61" s="849"/>
      <c r="C61" s="849"/>
      <c r="D61" s="849"/>
      <c r="E61" s="849"/>
      <c r="F61" s="849"/>
      <c r="G61" s="849"/>
      <c r="H61" s="849"/>
      <c r="I61" s="849"/>
      <c r="J61" s="849"/>
      <c r="K61" s="849"/>
      <c r="L61" s="849"/>
      <c r="M61" s="849"/>
      <c r="N61" s="849"/>
      <c r="O61" s="849"/>
      <c r="P61" s="849"/>
      <c r="Q61" s="849"/>
      <c r="R61" s="849"/>
      <c r="S61" s="849"/>
      <c r="T61" s="849"/>
      <c r="U61" s="849"/>
    </row>
    <row r="62" customFormat="false" ht="30.75" hidden="false" customHeight="true" outlineLevel="0" collapsed="false">
      <c r="A62" s="849"/>
      <c r="B62" s="849"/>
      <c r="C62" s="849"/>
      <c r="D62" s="849"/>
      <c r="E62" s="849"/>
      <c r="F62" s="849"/>
      <c r="G62" s="849"/>
      <c r="H62" s="849"/>
      <c r="I62" s="849"/>
      <c r="J62" s="849"/>
      <c r="K62" s="849"/>
      <c r="L62" s="849"/>
      <c r="M62" s="849"/>
      <c r="N62" s="849"/>
      <c r="O62" s="849"/>
      <c r="P62" s="849"/>
      <c r="Q62" s="849"/>
      <c r="R62" s="849"/>
      <c r="S62" s="849"/>
      <c r="T62" s="849"/>
      <c r="U62" s="849"/>
    </row>
    <row r="63" customFormat="false" ht="30.75" hidden="false" customHeight="true" outlineLevel="0" collapsed="false">
      <c r="B63" s="849"/>
      <c r="C63" s="849"/>
      <c r="D63" s="849"/>
      <c r="E63" s="849"/>
      <c r="F63" s="849"/>
      <c r="G63" s="849"/>
      <c r="H63" s="849"/>
    </row>
    <row r="64" customFormat="false" ht="30.75" hidden="false" customHeight="true" outlineLevel="0" collapsed="false">
      <c r="B64" s="849"/>
      <c r="C64" s="849"/>
      <c r="D64" s="849"/>
      <c r="E64" s="849"/>
      <c r="F64" s="849"/>
      <c r="G64" s="849"/>
      <c r="H64" s="849"/>
    </row>
    <row r="65" customFormat="false" ht="30.75" hidden="false" customHeight="true" outlineLevel="0" collapsed="false">
      <c r="B65" s="849"/>
      <c r="C65" s="849"/>
      <c r="D65" s="849"/>
      <c r="E65" s="849"/>
      <c r="F65" s="849"/>
      <c r="G65" s="849"/>
      <c r="H65" s="849"/>
    </row>
    <row r="66" customFormat="false" ht="30.75" hidden="false" customHeight="true" outlineLevel="0" collapsed="false">
      <c r="B66" s="849"/>
      <c r="C66" s="849"/>
      <c r="D66" s="849"/>
      <c r="E66" s="849"/>
      <c r="F66" s="849"/>
      <c r="G66" s="849"/>
      <c r="H66" s="849"/>
    </row>
    <row r="67" customFormat="false" ht="30.75" hidden="false" customHeight="true" outlineLevel="0" collapsed="false">
      <c r="B67" s="849"/>
      <c r="C67" s="849"/>
      <c r="D67" s="849"/>
      <c r="E67" s="849"/>
      <c r="F67" s="849"/>
      <c r="G67" s="849"/>
      <c r="H67" s="849"/>
    </row>
    <row r="68" customFormat="false" ht="30.75" hidden="false" customHeight="true" outlineLevel="0" collapsed="false">
      <c r="B68" s="849"/>
      <c r="C68" s="849"/>
      <c r="D68" s="849"/>
      <c r="E68" s="849"/>
      <c r="F68" s="849"/>
      <c r="G68" s="849"/>
      <c r="H68" s="84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8"/>
  <sheetViews>
    <sheetView showFormulas="false" showGridLines="false" showRowColHeaders="true" showZeros="true" rightToLeft="false" tabSelected="false" showOutlineSymbols="true" defaultGridColor="true" view="normal" topLeftCell="A7" colorId="64" zoomScale="140" zoomScaleNormal="140" zoomScalePageLayoutView="100" workbookViewId="0">
      <selection pane="topLeft" activeCell="G31" activeCellId="0" sqref="G31"/>
    </sheetView>
  </sheetViews>
  <sheetFormatPr defaultColWidth="19.859375" defaultRowHeight="30.75" zeroHeight="false" outlineLevelRow="0" outlineLevelCol="0"/>
  <cols>
    <col collapsed="false" customWidth="false" hidden="false" outlineLevel="0" max="16384" min="1" style="958" width="19.86"/>
  </cols>
  <sheetData>
    <row r="1" customFormat="false" ht="30.75" hidden="false" customHeight="true" outlineLevel="0" collapsed="false">
      <c r="A1" s="849"/>
      <c r="B1" s="977" t="s">
        <v>245</v>
      </c>
      <c r="C1" s="849"/>
      <c r="D1" s="849"/>
      <c r="E1" s="849"/>
      <c r="F1" s="849"/>
      <c r="G1" s="849"/>
      <c r="H1" s="849"/>
      <c r="I1" s="849"/>
      <c r="J1" s="849"/>
      <c r="K1" s="849"/>
      <c r="L1" s="849"/>
      <c r="M1" s="849"/>
      <c r="N1" s="849"/>
      <c r="O1" s="849"/>
      <c r="P1" s="849"/>
      <c r="Q1" s="849"/>
      <c r="R1" s="849"/>
      <c r="S1" s="849"/>
      <c r="T1" s="849"/>
      <c r="U1" s="849"/>
      <c r="V1" s="849"/>
      <c r="W1" s="849"/>
      <c r="X1" s="849"/>
      <c r="Y1" s="849"/>
      <c r="Z1" s="849"/>
      <c r="AA1" s="849"/>
      <c r="AB1" s="849"/>
      <c r="AC1" s="849"/>
      <c r="AD1" s="849"/>
      <c r="AE1" s="849"/>
      <c r="AF1" s="849"/>
      <c r="AG1" s="849"/>
    </row>
    <row r="2" customFormat="false" ht="30.75" hidden="false" customHeight="true" outlineLevel="0" collapsed="false">
      <c r="A2" s="1018"/>
      <c r="B2" s="979" t="s">
        <v>6</v>
      </c>
      <c r="C2" s="979" t="s">
        <v>7</v>
      </c>
      <c r="D2" s="979" t="s">
        <v>8</v>
      </c>
      <c r="E2" s="979" t="s">
        <v>9</v>
      </c>
      <c r="F2" s="979" t="s">
        <v>8</v>
      </c>
      <c r="G2" s="979" t="s">
        <v>11</v>
      </c>
      <c r="H2" s="980" t="s">
        <v>6</v>
      </c>
      <c r="I2" s="849"/>
      <c r="J2" s="849"/>
      <c r="K2" s="849"/>
      <c r="L2" s="849"/>
      <c r="M2" s="849"/>
      <c r="N2" s="849"/>
      <c r="O2" s="849"/>
      <c r="P2" s="849"/>
      <c r="Q2" s="849"/>
      <c r="R2" s="849"/>
      <c r="S2" s="849"/>
      <c r="T2" s="849"/>
      <c r="U2" s="849"/>
      <c r="V2" s="849"/>
      <c r="W2" s="849"/>
      <c r="X2" s="849"/>
      <c r="Y2" s="849"/>
      <c r="Z2" s="849"/>
      <c r="AA2" s="849"/>
      <c r="AB2" s="849"/>
      <c r="AC2" s="849"/>
      <c r="AD2" s="849"/>
      <c r="AE2" s="849"/>
      <c r="AF2" s="849"/>
      <c r="AG2" s="849"/>
    </row>
    <row r="3" customFormat="false" ht="30.75" hidden="false" customHeight="true" outlineLevel="0" collapsed="false">
      <c r="A3" s="849"/>
      <c r="B3" s="981"/>
      <c r="C3" s="981"/>
      <c r="D3" s="981"/>
      <c r="E3" s="981"/>
      <c r="F3" s="981"/>
      <c r="G3" s="981" t="n">
        <v>1</v>
      </c>
      <c r="H3" s="981" t="n">
        <v>2</v>
      </c>
      <c r="I3" s="982" t="s">
        <v>14</v>
      </c>
      <c r="J3" s="849"/>
      <c r="K3" s="849"/>
      <c r="L3" s="849"/>
      <c r="M3" s="849"/>
      <c r="N3" s="849"/>
      <c r="O3" s="849"/>
      <c r="P3" s="849"/>
      <c r="Q3" s="849"/>
      <c r="R3" s="849"/>
      <c r="S3" s="849"/>
      <c r="T3" s="849"/>
      <c r="U3" s="849"/>
      <c r="V3" s="849"/>
      <c r="W3" s="849"/>
      <c r="X3" s="849"/>
      <c r="Y3" s="849"/>
      <c r="Z3" s="849"/>
      <c r="AA3" s="849"/>
      <c r="AB3" s="849"/>
      <c r="AC3" s="849"/>
      <c r="AD3" s="849"/>
      <c r="AE3" s="849"/>
      <c r="AF3" s="849"/>
      <c r="AG3" s="849"/>
    </row>
    <row r="4" customFormat="false" ht="30.75" hidden="false" customHeight="true" outlineLevel="0" collapsed="false">
      <c r="A4" s="849"/>
      <c r="B4" s="983"/>
      <c r="C4" s="983"/>
      <c r="D4" s="983"/>
      <c r="E4" s="983"/>
      <c r="F4" s="983"/>
      <c r="G4" s="983" t="s">
        <v>54</v>
      </c>
      <c r="H4" s="983" t="s">
        <v>79</v>
      </c>
      <c r="I4" s="985" t="s">
        <v>16</v>
      </c>
      <c r="J4" s="849"/>
      <c r="K4" s="849"/>
      <c r="L4" s="849"/>
      <c r="M4" s="849"/>
      <c r="N4" s="849"/>
      <c r="O4" s="849"/>
      <c r="P4" s="849"/>
      <c r="Q4" s="849"/>
      <c r="R4" s="849"/>
      <c r="S4" s="849"/>
      <c r="T4" s="849"/>
      <c r="U4" s="849"/>
      <c r="V4" s="849"/>
      <c r="W4" s="849"/>
      <c r="X4" s="849"/>
      <c r="Y4" s="849"/>
      <c r="Z4" s="849"/>
      <c r="AA4" s="849"/>
      <c r="AB4" s="849"/>
      <c r="AC4" s="849"/>
      <c r="AD4" s="849"/>
      <c r="AE4" s="849"/>
      <c r="AF4" s="849"/>
      <c r="AG4" s="849"/>
    </row>
    <row r="5" customFormat="false" ht="30.75" hidden="false" customHeight="true" outlineLevel="0" collapsed="false">
      <c r="A5" s="849"/>
      <c r="B5" s="986"/>
      <c r="C5" s="986"/>
      <c r="D5" s="986"/>
      <c r="E5" s="986"/>
      <c r="F5" s="986"/>
      <c r="G5" s="986" t="n">
        <v>0.71</v>
      </c>
      <c r="H5" s="986" t="n">
        <v>0.61</v>
      </c>
      <c r="I5" s="987" t="s">
        <v>536</v>
      </c>
      <c r="J5" s="849"/>
      <c r="K5" s="849"/>
      <c r="L5" s="849"/>
      <c r="M5" s="849"/>
      <c r="N5" s="849"/>
      <c r="O5" s="849"/>
      <c r="P5" s="849"/>
      <c r="Q5" s="849"/>
      <c r="R5" s="849"/>
      <c r="S5" s="849"/>
      <c r="T5" s="849"/>
      <c r="U5" s="849"/>
      <c r="V5" s="849"/>
      <c r="W5" s="849"/>
      <c r="X5" s="849"/>
      <c r="Y5" s="849"/>
      <c r="Z5" s="849"/>
      <c r="AA5" s="849"/>
      <c r="AB5" s="849"/>
      <c r="AC5" s="849"/>
      <c r="AD5" s="849"/>
      <c r="AE5" s="849"/>
      <c r="AF5" s="849"/>
      <c r="AG5" s="849"/>
    </row>
    <row r="6" customFormat="false" ht="30.75" hidden="false" customHeight="true" outlineLevel="0" collapsed="false">
      <c r="A6" s="849"/>
      <c r="B6" s="988"/>
      <c r="C6" s="988"/>
      <c r="D6" s="989"/>
      <c r="E6" s="988"/>
      <c r="F6" s="989"/>
      <c r="G6" s="989"/>
      <c r="H6" s="988" t="s">
        <v>169</v>
      </c>
      <c r="I6" s="985" t="s">
        <v>19</v>
      </c>
      <c r="J6" s="849"/>
      <c r="K6" s="849"/>
      <c r="L6" s="849"/>
      <c r="M6" s="849"/>
      <c r="N6" s="849"/>
      <c r="O6" s="849"/>
      <c r="P6" s="849"/>
      <c r="Q6" s="849"/>
      <c r="R6" s="849"/>
      <c r="S6" s="849"/>
      <c r="T6" s="849"/>
      <c r="U6" s="849"/>
      <c r="V6" s="849"/>
      <c r="W6" s="849"/>
      <c r="X6" s="849"/>
      <c r="Y6" s="849"/>
      <c r="Z6" s="849"/>
      <c r="AA6" s="849"/>
      <c r="AB6" s="849"/>
      <c r="AC6" s="849"/>
      <c r="AD6" s="849"/>
      <c r="AE6" s="849"/>
      <c r="AF6" s="849"/>
      <c r="AG6" s="849"/>
    </row>
    <row r="7" customFormat="false" ht="30.75" hidden="false" customHeight="true" outlineLevel="0" collapsed="false">
      <c r="A7" s="849"/>
      <c r="B7" s="989"/>
      <c r="C7" s="989"/>
      <c r="D7" s="989"/>
      <c r="E7" s="989"/>
      <c r="F7" s="989"/>
      <c r="G7" s="989" t="s">
        <v>574</v>
      </c>
      <c r="H7" s="989" t="s">
        <v>557</v>
      </c>
      <c r="I7" s="987" t="s">
        <v>502</v>
      </c>
      <c r="J7" s="849"/>
      <c r="K7" s="849"/>
      <c r="L7" s="849"/>
      <c r="M7" s="849"/>
      <c r="N7" s="849"/>
      <c r="O7" s="849"/>
      <c r="P7" s="849"/>
      <c r="Q7" s="849"/>
      <c r="R7" s="849"/>
      <c r="S7" s="849"/>
      <c r="T7" s="849"/>
      <c r="U7" s="849"/>
      <c r="V7" s="849"/>
      <c r="W7" s="849"/>
      <c r="X7" s="849"/>
      <c r="Y7" s="849"/>
      <c r="Z7" s="849"/>
      <c r="AA7" s="849"/>
      <c r="AB7" s="849"/>
      <c r="AC7" s="849"/>
      <c r="AD7" s="849"/>
      <c r="AE7" s="849"/>
      <c r="AF7" s="849"/>
      <c r="AG7" s="849"/>
    </row>
    <row r="8" customFormat="false" ht="30.75" hidden="false" customHeight="true" outlineLevel="0" collapsed="false">
      <c r="A8" s="849"/>
      <c r="B8" s="994"/>
      <c r="C8" s="989"/>
      <c r="D8" s="989"/>
      <c r="E8" s="989"/>
      <c r="F8" s="989"/>
      <c r="G8" s="989"/>
      <c r="H8" s="989"/>
      <c r="I8" s="1019" t="s">
        <v>503</v>
      </c>
      <c r="J8" s="849"/>
      <c r="K8" s="849"/>
      <c r="L8" s="849"/>
      <c r="M8" s="849"/>
      <c r="N8" s="849"/>
      <c r="O8" s="849"/>
      <c r="P8" s="849"/>
      <c r="Q8" s="849"/>
      <c r="R8" s="849"/>
      <c r="S8" s="849"/>
      <c r="T8" s="849"/>
      <c r="U8" s="849"/>
      <c r="V8" s="849"/>
      <c r="W8" s="849"/>
      <c r="X8" s="849"/>
      <c r="Y8" s="849"/>
      <c r="Z8" s="849"/>
      <c r="AA8" s="849"/>
      <c r="AB8" s="849"/>
      <c r="AC8" s="849"/>
      <c r="AD8" s="849"/>
      <c r="AE8" s="849"/>
      <c r="AF8" s="849"/>
      <c r="AG8" s="849"/>
    </row>
    <row r="9" customFormat="false" ht="30.75" hidden="false" customHeight="true" outlineLevel="0" collapsed="false">
      <c r="A9" s="849"/>
      <c r="B9" s="981" t="n">
        <v>3</v>
      </c>
      <c r="C9" s="981" t="n">
        <v>4</v>
      </c>
      <c r="D9" s="981" t="n">
        <v>5</v>
      </c>
      <c r="E9" s="981" t="n">
        <v>6</v>
      </c>
      <c r="F9" s="981" t="n">
        <v>7</v>
      </c>
      <c r="G9" s="981" t="n">
        <v>8</v>
      </c>
      <c r="H9" s="998" t="n">
        <v>9</v>
      </c>
      <c r="I9" s="849"/>
      <c r="J9" s="849"/>
      <c r="K9" s="849"/>
      <c r="L9" s="849"/>
      <c r="M9" s="849"/>
      <c r="N9" s="849"/>
      <c r="O9" s="849"/>
      <c r="P9" s="849"/>
      <c r="Q9" s="849"/>
      <c r="R9" s="849"/>
      <c r="S9" s="849"/>
      <c r="T9" s="849"/>
      <c r="U9" s="849"/>
      <c r="V9" s="849"/>
      <c r="W9" s="849"/>
      <c r="X9" s="849"/>
      <c r="Y9" s="849"/>
      <c r="Z9" s="849"/>
      <c r="AA9" s="849"/>
      <c r="AB9" s="849"/>
      <c r="AC9" s="849"/>
      <c r="AD9" s="849"/>
      <c r="AE9" s="849"/>
      <c r="AF9" s="849"/>
      <c r="AG9" s="849"/>
    </row>
    <row r="10" customFormat="false" ht="30.75" hidden="false" customHeight="true" outlineLevel="0" collapsed="false">
      <c r="A10" s="849"/>
      <c r="B10" s="983"/>
      <c r="C10" s="983"/>
      <c r="D10" s="983" t="s">
        <v>209</v>
      </c>
      <c r="E10" s="983" t="s">
        <v>40</v>
      </c>
      <c r="F10" s="983" t="s">
        <v>209</v>
      </c>
      <c r="G10" s="983"/>
      <c r="H10" s="999" t="s">
        <v>79</v>
      </c>
      <c r="I10" s="849"/>
      <c r="J10" s="849"/>
      <c r="K10" s="849"/>
      <c r="L10" s="849"/>
      <c r="M10" s="849"/>
      <c r="N10" s="849"/>
      <c r="O10" s="849"/>
      <c r="P10" s="849"/>
      <c r="Q10" s="849"/>
      <c r="R10" s="849"/>
      <c r="S10" s="849"/>
      <c r="T10" s="849"/>
      <c r="U10" s="849"/>
      <c r="V10" s="849"/>
      <c r="W10" s="849"/>
      <c r="X10" s="849"/>
      <c r="Y10" s="849"/>
      <c r="Z10" s="849"/>
      <c r="AA10" s="849"/>
      <c r="AB10" s="849"/>
      <c r="AC10" s="849"/>
      <c r="AD10" s="849"/>
      <c r="AE10" s="849"/>
      <c r="AF10" s="849"/>
      <c r="AG10" s="849"/>
    </row>
    <row r="11" customFormat="false" ht="30.75" hidden="false" customHeight="true" outlineLevel="0" collapsed="false">
      <c r="A11" s="849"/>
      <c r="B11" s="986" t="n">
        <v>0.51</v>
      </c>
      <c r="C11" s="986" t="n">
        <v>0.4</v>
      </c>
      <c r="D11" s="986" t="n">
        <v>0.29</v>
      </c>
      <c r="E11" s="986" t="n">
        <v>0.19</v>
      </c>
      <c r="F11" s="986" t="n">
        <v>0.1</v>
      </c>
      <c r="G11" s="986" t="n">
        <v>0.04</v>
      </c>
      <c r="H11" s="1000" t="n">
        <v>0</v>
      </c>
      <c r="I11" s="849"/>
      <c r="J11" s="849"/>
      <c r="K11" s="849"/>
      <c r="L11" s="849"/>
      <c r="M11" s="849"/>
      <c r="N11" s="849"/>
      <c r="O11" s="849"/>
      <c r="P11" s="849"/>
      <c r="Q11" s="849"/>
      <c r="R11" s="849"/>
      <c r="S11" s="849"/>
      <c r="T11" s="849"/>
      <c r="U11" s="849"/>
      <c r="V11" s="849"/>
      <c r="W11" s="849"/>
      <c r="X11" s="849"/>
      <c r="Y11" s="849"/>
      <c r="Z11" s="849"/>
      <c r="AA11" s="849"/>
      <c r="AB11" s="849"/>
      <c r="AC11" s="849"/>
      <c r="AD11" s="849"/>
      <c r="AE11" s="849"/>
      <c r="AF11" s="849"/>
      <c r="AG11" s="849"/>
    </row>
    <row r="12" customFormat="false" ht="30.75" hidden="false" customHeight="true" outlineLevel="0" collapsed="false">
      <c r="A12" s="849"/>
      <c r="B12" s="989" t="s">
        <v>62</v>
      </c>
      <c r="C12" s="989" t="s">
        <v>352</v>
      </c>
      <c r="D12" s="989" t="s">
        <v>169</v>
      </c>
      <c r="E12" s="988" t="s">
        <v>541</v>
      </c>
      <c r="F12" s="989" t="s">
        <v>180</v>
      </c>
      <c r="G12" s="988" t="s">
        <v>169</v>
      </c>
      <c r="H12" s="1001" t="s">
        <v>54</v>
      </c>
      <c r="I12" s="849"/>
      <c r="J12" s="849"/>
      <c r="K12" s="849"/>
      <c r="L12" s="849"/>
      <c r="M12" s="849"/>
      <c r="N12" s="849"/>
      <c r="O12" s="849"/>
      <c r="P12" s="849"/>
      <c r="Q12" s="849"/>
      <c r="R12" s="849"/>
      <c r="S12" s="849"/>
      <c r="T12" s="849"/>
      <c r="U12" s="849"/>
      <c r="V12" s="849"/>
      <c r="W12" s="849"/>
      <c r="X12" s="849"/>
      <c r="Y12" s="849"/>
      <c r="Z12" s="849"/>
      <c r="AA12" s="849"/>
      <c r="AB12" s="849"/>
      <c r="AC12" s="849"/>
      <c r="AD12" s="849"/>
      <c r="AE12" s="849"/>
      <c r="AF12" s="849"/>
      <c r="AG12" s="849"/>
    </row>
    <row r="13" customFormat="false" ht="30.75" hidden="false" customHeight="true" outlineLevel="0" collapsed="false">
      <c r="A13" s="849"/>
      <c r="B13" s="989" t="s">
        <v>575</v>
      </c>
      <c r="C13" s="989" t="s">
        <v>575</v>
      </c>
      <c r="D13" s="989" t="s">
        <v>576</v>
      </c>
      <c r="E13" s="989" t="s">
        <v>577</v>
      </c>
      <c r="F13" s="989" t="s">
        <v>578</v>
      </c>
      <c r="G13" s="989" t="s">
        <v>557</v>
      </c>
      <c r="H13" s="990" t="s">
        <v>579</v>
      </c>
      <c r="I13" s="849"/>
      <c r="J13" s="849"/>
      <c r="K13" s="849"/>
      <c r="L13" s="849"/>
      <c r="M13" s="849"/>
      <c r="N13" s="849"/>
      <c r="O13" s="849"/>
      <c r="P13" s="849"/>
      <c r="Q13" s="849"/>
      <c r="R13" s="849"/>
      <c r="S13" s="849"/>
      <c r="T13" s="849"/>
      <c r="U13" s="849"/>
      <c r="V13" s="849"/>
      <c r="W13" s="849"/>
      <c r="X13" s="849"/>
      <c r="Y13" s="849"/>
      <c r="Z13" s="849"/>
      <c r="AA13" s="849"/>
      <c r="AB13" s="849"/>
      <c r="AC13" s="849"/>
      <c r="AD13" s="849"/>
      <c r="AE13" s="849"/>
      <c r="AF13" s="849"/>
      <c r="AG13" s="849"/>
    </row>
    <row r="14" customFormat="false" ht="30.75" hidden="false" customHeight="true" outlineLevel="0" collapsed="false">
      <c r="A14" s="849"/>
      <c r="B14" s="994"/>
      <c r="C14" s="989"/>
      <c r="D14" s="989"/>
      <c r="E14" s="989"/>
      <c r="F14" s="1002"/>
      <c r="G14" s="989"/>
      <c r="H14" s="990" t="s">
        <v>580</v>
      </c>
      <c r="I14" s="849"/>
      <c r="J14" s="849"/>
      <c r="K14" s="849"/>
      <c r="L14" s="849"/>
      <c r="M14" s="849"/>
      <c r="N14" s="849"/>
      <c r="O14" s="849"/>
      <c r="P14" s="849"/>
      <c r="Q14" s="849"/>
      <c r="R14" s="849"/>
      <c r="S14" s="849"/>
      <c r="T14" s="849"/>
      <c r="U14" s="849"/>
      <c r="V14" s="849"/>
      <c r="W14" s="849"/>
      <c r="X14" s="849"/>
      <c r="Y14" s="849"/>
      <c r="Z14" s="849"/>
      <c r="AA14" s="849"/>
      <c r="AB14" s="849"/>
      <c r="AC14" s="849"/>
      <c r="AD14" s="849"/>
      <c r="AE14" s="849"/>
      <c r="AF14" s="849"/>
      <c r="AG14" s="849"/>
    </row>
    <row r="15" customFormat="false" ht="30.75" hidden="false" customHeight="true" outlineLevel="0" collapsed="false">
      <c r="A15" s="849"/>
      <c r="B15" s="981" t="n">
        <v>10</v>
      </c>
      <c r="C15" s="981" t="n">
        <v>11</v>
      </c>
      <c r="D15" s="981" t="n">
        <v>12</v>
      </c>
      <c r="E15" s="981" t="n">
        <v>13</v>
      </c>
      <c r="F15" s="981" t="n">
        <v>14</v>
      </c>
      <c r="G15" s="981" t="n">
        <v>15</v>
      </c>
      <c r="H15" s="998" t="n">
        <v>16</v>
      </c>
      <c r="I15" s="849"/>
      <c r="J15" s="849"/>
      <c r="K15" s="849"/>
      <c r="L15" s="849"/>
      <c r="M15" s="849"/>
      <c r="N15" s="849"/>
      <c r="O15" s="849"/>
      <c r="P15" s="849"/>
      <c r="Q15" s="849"/>
      <c r="R15" s="849"/>
      <c r="S15" s="849"/>
      <c r="T15" s="849"/>
      <c r="U15" s="849"/>
      <c r="V15" s="849"/>
      <c r="W15" s="849"/>
      <c r="X15" s="849"/>
    </row>
    <row r="16" customFormat="false" ht="30.75" hidden="false" customHeight="true" outlineLevel="0" collapsed="false">
      <c r="A16" s="849"/>
      <c r="B16" s="983" t="s">
        <v>506</v>
      </c>
      <c r="C16" s="983" t="s">
        <v>180</v>
      </c>
      <c r="D16" s="983" t="s">
        <v>180</v>
      </c>
      <c r="E16" s="983" t="s">
        <v>40</v>
      </c>
      <c r="F16" s="983" t="s">
        <v>209</v>
      </c>
      <c r="G16" s="983" t="s">
        <v>54</v>
      </c>
      <c r="H16" s="999" t="s">
        <v>79</v>
      </c>
      <c r="I16" s="849"/>
      <c r="J16" s="849"/>
      <c r="K16" s="849"/>
      <c r="L16" s="849"/>
      <c r="M16" s="849"/>
      <c r="N16" s="849"/>
      <c r="O16" s="849"/>
      <c r="P16" s="849"/>
      <c r="Q16" s="849"/>
      <c r="R16" s="849"/>
      <c r="S16" s="849"/>
      <c r="T16" s="849"/>
      <c r="U16" s="849"/>
      <c r="V16" s="849"/>
      <c r="W16" s="849"/>
      <c r="X16" s="849"/>
    </row>
    <row r="17" customFormat="false" ht="30.75" hidden="false" customHeight="true" outlineLevel="0" collapsed="false">
      <c r="A17" s="849"/>
      <c r="B17" s="986" t="n">
        <v>0</v>
      </c>
      <c r="C17" s="986" t="n">
        <v>0.03</v>
      </c>
      <c r="D17" s="986" t="n">
        <v>0.09</v>
      </c>
      <c r="E17" s="986" t="n">
        <v>0.18</v>
      </c>
      <c r="F17" s="986" t="n">
        <v>0.27</v>
      </c>
      <c r="G17" s="986" t="n">
        <v>0.38</v>
      </c>
      <c r="H17" s="1000" t="n">
        <v>0.49</v>
      </c>
      <c r="I17" s="849"/>
      <c r="J17" s="849"/>
      <c r="K17" s="849"/>
      <c r="L17" s="849"/>
      <c r="M17" s="849"/>
      <c r="N17" s="849"/>
      <c r="O17" s="849"/>
      <c r="P17" s="849"/>
      <c r="Q17" s="849"/>
      <c r="R17" s="849"/>
      <c r="S17" s="849"/>
      <c r="T17" s="849"/>
      <c r="U17" s="849"/>
      <c r="V17" s="849"/>
      <c r="W17" s="849"/>
      <c r="X17" s="849"/>
    </row>
    <row r="18" customFormat="false" ht="30.75" hidden="false" customHeight="true" outlineLevel="0" collapsed="false">
      <c r="A18" s="849"/>
      <c r="B18" s="989" t="s">
        <v>62</v>
      </c>
      <c r="C18" s="988" t="s">
        <v>352</v>
      </c>
      <c r="D18" s="989" t="s">
        <v>62</v>
      </c>
      <c r="E18" s="988" t="s">
        <v>581</v>
      </c>
      <c r="F18" s="988" t="s">
        <v>62</v>
      </c>
      <c r="G18" s="988"/>
      <c r="H18" s="1001" t="s">
        <v>54</v>
      </c>
      <c r="I18" s="849"/>
      <c r="J18" s="849"/>
      <c r="K18" s="849"/>
      <c r="L18" s="849"/>
      <c r="M18" s="849"/>
      <c r="N18" s="849"/>
      <c r="O18" s="849"/>
      <c r="P18" s="849"/>
      <c r="Q18" s="849"/>
      <c r="R18" s="849"/>
      <c r="S18" s="849"/>
      <c r="T18" s="849"/>
      <c r="U18" s="849"/>
      <c r="V18" s="849"/>
      <c r="W18" s="849"/>
      <c r="X18" s="849"/>
    </row>
    <row r="19" customFormat="false" ht="30.75" hidden="false" customHeight="true" outlineLevel="0" collapsed="false">
      <c r="A19" s="849"/>
      <c r="B19" s="989" t="s">
        <v>582</v>
      </c>
      <c r="C19" s="989" t="s">
        <v>583</v>
      </c>
      <c r="D19" s="989" t="s">
        <v>584</v>
      </c>
      <c r="E19" s="989" t="s">
        <v>584</v>
      </c>
      <c r="F19" s="989" t="s">
        <v>585</v>
      </c>
      <c r="G19" s="989" t="s">
        <v>586</v>
      </c>
      <c r="H19" s="990" t="s">
        <v>586</v>
      </c>
      <c r="I19" s="849"/>
      <c r="J19" s="849"/>
      <c r="K19" s="849"/>
      <c r="L19" s="849"/>
      <c r="M19" s="849"/>
      <c r="N19" s="849"/>
      <c r="O19" s="849"/>
      <c r="P19" s="849"/>
      <c r="Q19" s="849"/>
      <c r="R19" s="849"/>
      <c r="S19" s="849"/>
      <c r="T19" s="849"/>
      <c r="U19" s="849"/>
      <c r="V19" s="849"/>
      <c r="W19" s="849"/>
      <c r="X19" s="849"/>
    </row>
    <row r="20" customFormat="false" ht="30.75" hidden="false" customHeight="true" outlineLevel="0" collapsed="false">
      <c r="A20" s="849"/>
      <c r="B20" s="1008" t="s">
        <v>580</v>
      </c>
      <c r="C20" s="989" t="s">
        <v>587</v>
      </c>
      <c r="D20" s="989"/>
      <c r="E20" s="989"/>
      <c r="F20" s="989"/>
      <c r="G20" s="989"/>
      <c r="H20" s="990"/>
      <c r="I20" s="849"/>
      <c r="J20" s="849"/>
      <c r="K20" s="849"/>
      <c r="L20" s="849"/>
      <c r="M20" s="849"/>
      <c r="N20" s="849"/>
      <c r="O20" s="849"/>
      <c r="P20" s="849"/>
      <c r="Q20" s="849"/>
      <c r="R20" s="849"/>
      <c r="S20" s="849"/>
      <c r="T20" s="849"/>
      <c r="U20" s="849"/>
      <c r="V20" s="849"/>
      <c r="W20" s="849"/>
      <c r="X20" s="849"/>
    </row>
    <row r="21" customFormat="false" ht="30.75" hidden="false" customHeight="true" outlineLevel="0" collapsed="false">
      <c r="A21" s="849"/>
      <c r="B21" s="981" t="n">
        <v>17</v>
      </c>
      <c r="C21" s="981" t="n">
        <v>18</v>
      </c>
      <c r="D21" s="981" t="n">
        <v>19</v>
      </c>
      <c r="E21" s="981" t="n">
        <v>20</v>
      </c>
      <c r="F21" s="981" t="n">
        <v>21</v>
      </c>
      <c r="G21" s="981" t="n">
        <v>22</v>
      </c>
      <c r="H21" s="998" t="n">
        <v>23</v>
      </c>
      <c r="I21" s="849"/>
      <c r="J21" s="849"/>
      <c r="K21" s="849"/>
      <c r="L21" s="849"/>
      <c r="M21" s="849"/>
      <c r="N21" s="849"/>
      <c r="O21" s="849"/>
      <c r="P21" s="849"/>
      <c r="Q21" s="849"/>
      <c r="R21" s="849"/>
      <c r="S21" s="849"/>
      <c r="T21" s="849"/>
      <c r="U21" s="849"/>
      <c r="V21" s="849"/>
      <c r="W21" s="849"/>
      <c r="X21" s="849"/>
    </row>
    <row r="22" customFormat="false" ht="30.75" hidden="false" customHeight="true" outlineLevel="0" collapsed="false">
      <c r="A22" s="849"/>
      <c r="B22" s="983" t="s">
        <v>506</v>
      </c>
      <c r="C22" s="983" t="s">
        <v>359</v>
      </c>
      <c r="D22" s="983" t="s">
        <v>506</v>
      </c>
      <c r="E22" s="983" t="s">
        <v>209</v>
      </c>
      <c r="F22" s="1005"/>
      <c r="G22" s="1005"/>
      <c r="H22" s="1006"/>
      <c r="I22" s="849"/>
      <c r="J22" s="849"/>
      <c r="K22" s="849"/>
      <c r="L22" s="849"/>
      <c r="M22" s="849"/>
      <c r="N22" s="849"/>
      <c r="O22" s="849"/>
      <c r="P22" s="849"/>
      <c r="Q22" s="849"/>
      <c r="R22" s="849"/>
      <c r="S22" s="849"/>
      <c r="T22" s="849"/>
      <c r="U22" s="849"/>
      <c r="V22" s="849"/>
      <c r="W22" s="849"/>
      <c r="X22" s="849"/>
    </row>
    <row r="23" customFormat="false" ht="30.75" hidden="false" customHeight="true" outlineLevel="0" collapsed="false">
      <c r="A23" s="849"/>
      <c r="B23" s="986" t="n">
        <v>0.6</v>
      </c>
      <c r="C23" s="986" t="n">
        <v>0.7</v>
      </c>
      <c r="D23" s="986" t="n">
        <v>0.78</v>
      </c>
      <c r="E23" s="986" t="n">
        <v>0.85</v>
      </c>
      <c r="F23" s="986" t="n">
        <v>0.91</v>
      </c>
      <c r="G23" s="986" t="n">
        <v>0.93</v>
      </c>
      <c r="H23" s="1000" t="n">
        <v>0.96</v>
      </c>
      <c r="I23" s="849"/>
      <c r="J23" s="849"/>
      <c r="K23" s="849"/>
      <c r="L23" s="849"/>
      <c r="M23" s="849"/>
      <c r="N23" s="849"/>
      <c r="O23" s="849"/>
      <c r="P23" s="849"/>
      <c r="Q23" s="849"/>
      <c r="R23" s="849"/>
      <c r="S23" s="849"/>
      <c r="T23" s="849"/>
      <c r="U23" s="849"/>
      <c r="V23" s="849"/>
      <c r="W23" s="849"/>
      <c r="X23" s="849"/>
    </row>
    <row r="24" customFormat="false" ht="30.75" hidden="false" customHeight="true" outlineLevel="0" collapsed="false">
      <c r="A24" s="849"/>
      <c r="B24" s="989" t="s">
        <v>54</v>
      </c>
      <c r="C24" s="988" t="s">
        <v>169</v>
      </c>
      <c r="D24" s="989" t="s">
        <v>169</v>
      </c>
      <c r="E24" s="988" t="s">
        <v>541</v>
      </c>
      <c r="F24" s="988"/>
      <c r="G24" s="988" t="s">
        <v>588</v>
      </c>
      <c r="H24" s="1001" t="s">
        <v>62</v>
      </c>
      <c r="I24" s="849"/>
      <c r="J24" s="849"/>
      <c r="K24" s="849"/>
      <c r="L24" s="849"/>
      <c r="M24" s="849"/>
      <c r="N24" s="849"/>
      <c r="O24" s="849"/>
      <c r="P24" s="849"/>
      <c r="Q24" s="849"/>
      <c r="R24" s="849"/>
      <c r="S24" s="849"/>
      <c r="T24" s="849"/>
      <c r="U24" s="849"/>
      <c r="V24" s="849"/>
      <c r="W24" s="849"/>
      <c r="X24" s="849"/>
    </row>
    <row r="25" customFormat="false" ht="30.75" hidden="false" customHeight="true" outlineLevel="0" collapsed="false">
      <c r="A25" s="849"/>
      <c r="B25" s="989" t="s">
        <v>589</v>
      </c>
      <c r="C25" s="989" t="s">
        <v>549</v>
      </c>
      <c r="D25" s="989" t="s">
        <v>590</v>
      </c>
      <c r="E25" s="989" t="s">
        <v>590</v>
      </c>
      <c r="F25" s="989"/>
      <c r="G25" s="989" t="s">
        <v>591</v>
      </c>
      <c r="H25" s="990" t="s">
        <v>571</v>
      </c>
      <c r="I25" s="849"/>
      <c r="J25" s="849"/>
      <c r="K25" s="849"/>
      <c r="L25" s="849"/>
      <c r="M25" s="849"/>
      <c r="N25" s="849"/>
      <c r="O25" s="849"/>
      <c r="P25" s="849"/>
      <c r="Q25" s="849"/>
      <c r="R25" s="849"/>
      <c r="S25" s="849"/>
      <c r="T25" s="849"/>
      <c r="U25" s="849"/>
      <c r="V25" s="849"/>
      <c r="W25" s="849"/>
      <c r="X25" s="849"/>
    </row>
    <row r="26" customFormat="false" ht="30.75" hidden="false" customHeight="true" outlineLevel="0" collapsed="false">
      <c r="A26" s="849"/>
      <c r="B26" s="994"/>
      <c r="C26" s="989"/>
      <c r="D26" s="989"/>
      <c r="E26" s="989"/>
      <c r="F26" s="989"/>
      <c r="G26" s="989"/>
      <c r="H26" s="990"/>
      <c r="I26" s="849"/>
      <c r="J26" s="849"/>
      <c r="K26" s="849"/>
      <c r="L26" s="849"/>
      <c r="M26" s="849"/>
      <c r="N26" s="849"/>
      <c r="O26" s="849"/>
      <c r="P26" s="849"/>
      <c r="Q26" s="849"/>
      <c r="R26" s="849"/>
      <c r="S26" s="849"/>
      <c r="T26" s="849"/>
      <c r="U26" s="849"/>
      <c r="V26" s="849"/>
      <c r="W26" s="849"/>
      <c r="X26" s="849"/>
    </row>
    <row r="27" customFormat="false" ht="30.75" hidden="false" customHeight="true" outlineLevel="0" collapsed="false">
      <c r="A27" s="849"/>
      <c r="B27" s="981" t="n">
        <v>24</v>
      </c>
      <c r="C27" s="981" t="n">
        <v>25</v>
      </c>
      <c r="D27" s="981" t="n">
        <v>26</v>
      </c>
      <c r="E27" s="981" t="n">
        <v>27</v>
      </c>
      <c r="F27" s="981" t="n">
        <v>28</v>
      </c>
      <c r="G27" s="981" t="n">
        <v>29</v>
      </c>
      <c r="H27" s="998" t="n">
        <v>30</v>
      </c>
      <c r="I27" s="849"/>
      <c r="J27" s="849"/>
      <c r="K27" s="849"/>
      <c r="L27" s="849"/>
      <c r="M27" s="849"/>
      <c r="N27" s="849"/>
      <c r="O27" s="849"/>
      <c r="P27" s="849"/>
      <c r="Q27" s="849"/>
      <c r="R27" s="849"/>
      <c r="S27" s="849"/>
      <c r="T27" s="849"/>
      <c r="U27" s="849"/>
      <c r="V27" s="849"/>
      <c r="W27" s="849"/>
      <c r="X27" s="849"/>
    </row>
    <row r="28" customFormat="false" ht="30.75" hidden="false" customHeight="true" outlineLevel="0" collapsed="false">
      <c r="A28" s="849"/>
      <c r="B28" s="1005"/>
      <c r="C28" s="1005"/>
      <c r="D28" s="1005"/>
      <c r="E28" s="1005"/>
      <c r="F28" s="1005"/>
      <c r="G28" s="983"/>
      <c r="H28" s="999" t="s">
        <v>79</v>
      </c>
      <c r="I28" s="849"/>
      <c r="J28" s="849"/>
      <c r="K28" s="849"/>
      <c r="L28" s="849"/>
      <c r="M28" s="849"/>
      <c r="N28" s="849"/>
      <c r="O28" s="849"/>
      <c r="P28" s="849"/>
      <c r="Q28" s="849"/>
      <c r="R28" s="849"/>
      <c r="S28" s="849"/>
      <c r="T28" s="849"/>
      <c r="U28" s="849"/>
      <c r="V28" s="849"/>
      <c r="W28" s="849"/>
      <c r="X28" s="849"/>
    </row>
    <row r="29" customFormat="false" ht="30.75" hidden="false" customHeight="true" outlineLevel="0" collapsed="false">
      <c r="A29" s="849"/>
      <c r="B29" s="986" t="n">
        <v>0.99</v>
      </c>
      <c r="C29" s="986" t="n">
        <v>1</v>
      </c>
      <c r="D29" s="986" t="n">
        <v>0.99</v>
      </c>
      <c r="E29" s="986" t="n">
        <v>0.96</v>
      </c>
      <c r="F29" s="986" t="n">
        <v>0.91</v>
      </c>
      <c r="G29" s="986" t="n">
        <v>0.84</v>
      </c>
      <c r="H29" s="1000" t="n">
        <v>0.76</v>
      </c>
      <c r="I29" s="849"/>
      <c r="J29" s="849"/>
      <c r="K29" s="849"/>
      <c r="L29" s="849"/>
      <c r="M29" s="849"/>
      <c r="N29" s="849"/>
      <c r="O29" s="849"/>
      <c r="P29" s="849"/>
      <c r="Q29" s="849"/>
      <c r="R29" s="849"/>
      <c r="S29" s="849"/>
      <c r="T29" s="849"/>
      <c r="U29" s="849"/>
      <c r="V29" s="849"/>
      <c r="W29" s="849"/>
      <c r="X29" s="849"/>
    </row>
    <row r="30" customFormat="false" ht="30.75" hidden="false" customHeight="true" outlineLevel="0" collapsed="false">
      <c r="A30" s="849"/>
      <c r="B30" s="988"/>
      <c r="C30" s="988" t="s">
        <v>62</v>
      </c>
      <c r="D30" s="988" t="s">
        <v>169</v>
      </c>
      <c r="E30" s="988" t="s">
        <v>54</v>
      </c>
      <c r="F30" s="988"/>
      <c r="G30" s="988" t="s">
        <v>169</v>
      </c>
      <c r="H30" s="1001" t="s">
        <v>169</v>
      </c>
      <c r="I30" s="849"/>
      <c r="J30" s="849"/>
      <c r="K30" s="849"/>
      <c r="L30" s="849"/>
      <c r="M30" s="849"/>
      <c r="N30" s="849"/>
      <c r="O30" s="849"/>
      <c r="P30" s="849"/>
      <c r="Q30" s="849"/>
      <c r="R30" s="849"/>
      <c r="S30" s="849"/>
      <c r="T30" s="849"/>
      <c r="U30" s="849"/>
      <c r="V30" s="849"/>
      <c r="W30" s="849"/>
      <c r="X30" s="849"/>
    </row>
    <row r="31" customFormat="false" ht="30.75" hidden="false" customHeight="true" outlineLevel="0" collapsed="false">
      <c r="A31" s="849"/>
      <c r="B31" s="994"/>
      <c r="C31" s="994" t="s">
        <v>592</v>
      </c>
      <c r="D31" s="994" t="s">
        <v>593</v>
      </c>
      <c r="E31" s="994" t="s">
        <v>594</v>
      </c>
      <c r="F31" s="994"/>
      <c r="G31" s="994"/>
      <c r="H31" s="1011" t="s">
        <v>586</v>
      </c>
      <c r="I31" s="849"/>
      <c r="J31" s="849"/>
      <c r="K31" s="849"/>
      <c r="L31" s="849"/>
      <c r="M31" s="849"/>
      <c r="N31" s="849"/>
      <c r="O31" s="849"/>
      <c r="P31" s="849"/>
      <c r="Q31" s="849"/>
      <c r="R31" s="849"/>
      <c r="S31" s="849"/>
      <c r="T31" s="849"/>
      <c r="U31" s="849"/>
      <c r="V31" s="849"/>
      <c r="W31" s="849"/>
      <c r="X31" s="849"/>
    </row>
    <row r="32" customFormat="false" ht="30.75" hidden="false" customHeight="true" outlineLevel="0" collapsed="false">
      <c r="A32" s="849"/>
      <c r="B32" s="994"/>
      <c r="C32" s="989"/>
      <c r="D32" s="989"/>
      <c r="E32" s="989"/>
      <c r="F32" s="989"/>
      <c r="G32" s="989"/>
      <c r="H32" s="990"/>
      <c r="I32" s="849"/>
      <c r="J32" s="849"/>
      <c r="K32" s="849"/>
      <c r="L32" s="849"/>
      <c r="M32" s="849"/>
      <c r="N32" s="849"/>
      <c r="O32" s="849"/>
      <c r="P32" s="849"/>
      <c r="Q32" s="849"/>
      <c r="R32" s="849"/>
      <c r="S32" s="849"/>
      <c r="T32" s="849"/>
      <c r="U32" s="849"/>
      <c r="V32" s="849"/>
      <c r="W32" s="849"/>
      <c r="X32" s="849"/>
    </row>
    <row r="33" customFormat="false" ht="30.75" hidden="false" customHeight="true" outlineLevel="0" collapsed="false">
      <c r="A33" s="849"/>
      <c r="B33" s="981" t="n">
        <v>31</v>
      </c>
      <c r="C33" s="981"/>
      <c r="D33" s="849"/>
      <c r="E33" s="849"/>
      <c r="F33" s="849"/>
      <c r="G33" s="849"/>
      <c r="H33" s="849"/>
      <c r="I33" s="849"/>
      <c r="J33" s="849"/>
      <c r="K33" s="849"/>
      <c r="L33" s="849"/>
      <c r="M33" s="849"/>
      <c r="N33" s="849"/>
      <c r="O33" s="849"/>
      <c r="P33" s="849"/>
      <c r="Q33" s="849"/>
      <c r="R33" s="849"/>
      <c r="S33" s="849"/>
    </row>
    <row r="34" customFormat="false" ht="30.75" hidden="false" customHeight="true" outlineLevel="0" collapsed="false">
      <c r="A34" s="849"/>
      <c r="B34" s="983" t="s">
        <v>506</v>
      </c>
      <c r="C34" s="983"/>
      <c r="D34" s="849"/>
      <c r="E34" s="849"/>
      <c r="F34" s="849"/>
      <c r="G34" s="849"/>
      <c r="H34" s="849"/>
      <c r="I34" s="849"/>
      <c r="J34" s="849"/>
      <c r="K34" s="849"/>
      <c r="L34" s="849"/>
      <c r="M34" s="849"/>
      <c r="N34" s="849"/>
      <c r="O34" s="849"/>
      <c r="P34" s="849"/>
      <c r="Q34" s="849"/>
      <c r="R34" s="849"/>
      <c r="S34" s="849"/>
      <c r="T34" s="849"/>
      <c r="U34" s="849"/>
      <c r="V34" s="849"/>
    </row>
    <row r="35" customFormat="false" ht="30.75" hidden="false" customHeight="true" outlineLevel="0" collapsed="false">
      <c r="A35" s="849"/>
      <c r="B35" s="986" t="n">
        <v>0.67</v>
      </c>
      <c r="C35" s="986"/>
      <c r="D35" s="849"/>
      <c r="E35" s="849"/>
      <c r="F35" s="849"/>
      <c r="G35" s="849"/>
      <c r="H35" s="849"/>
      <c r="I35" s="849"/>
      <c r="J35" s="849"/>
      <c r="K35" s="849"/>
      <c r="L35" s="849"/>
      <c r="M35" s="849"/>
      <c r="N35" s="849"/>
      <c r="O35" s="849"/>
      <c r="P35" s="849"/>
      <c r="Q35" s="849"/>
      <c r="R35" s="849"/>
      <c r="S35" s="849"/>
      <c r="T35" s="849"/>
      <c r="U35" s="849"/>
      <c r="V35" s="849"/>
    </row>
    <row r="36" customFormat="false" ht="30.75" hidden="false" customHeight="true" outlineLevel="0" collapsed="false">
      <c r="A36" s="849"/>
      <c r="B36" s="988" t="s">
        <v>62</v>
      </c>
      <c r="C36" s="988"/>
      <c r="D36" s="849"/>
      <c r="E36" s="849"/>
      <c r="F36" s="849"/>
      <c r="G36" s="849"/>
      <c r="H36" s="849"/>
      <c r="I36" s="849"/>
      <c r="J36" s="849"/>
      <c r="K36" s="849"/>
      <c r="L36" s="849"/>
      <c r="M36" s="849"/>
      <c r="N36" s="849"/>
      <c r="O36" s="849"/>
      <c r="P36" s="849"/>
      <c r="Q36" s="849"/>
      <c r="R36" s="849"/>
      <c r="S36" s="849"/>
      <c r="T36" s="849"/>
      <c r="U36" s="849"/>
      <c r="V36" s="849"/>
    </row>
    <row r="37" customFormat="false" ht="30.75" hidden="false" customHeight="true" outlineLevel="0" collapsed="false">
      <c r="A37" s="849"/>
      <c r="B37" s="994"/>
      <c r="C37" s="994"/>
      <c r="D37" s="849"/>
      <c r="E37" s="849"/>
      <c r="F37" s="849"/>
      <c r="G37" s="849"/>
      <c r="H37" s="849"/>
      <c r="I37" s="849"/>
      <c r="J37" s="849"/>
      <c r="K37" s="849"/>
      <c r="L37" s="849"/>
      <c r="M37" s="849"/>
      <c r="N37" s="849"/>
      <c r="O37" s="849"/>
      <c r="P37" s="849"/>
      <c r="Q37" s="849"/>
      <c r="R37" s="849"/>
      <c r="S37" s="849"/>
      <c r="T37" s="849"/>
      <c r="U37" s="849"/>
      <c r="V37" s="849"/>
    </row>
    <row r="38" customFormat="false" ht="30.75" hidden="false" customHeight="true" outlineLevel="0" collapsed="false">
      <c r="A38" s="849"/>
      <c r="B38" s="994"/>
      <c r="C38" s="989"/>
      <c r="D38" s="849"/>
      <c r="E38" s="849"/>
      <c r="F38" s="849"/>
      <c r="G38" s="849"/>
      <c r="H38" s="849"/>
      <c r="I38" s="849"/>
      <c r="J38" s="849"/>
      <c r="K38" s="849"/>
      <c r="L38" s="849"/>
      <c r="M38" s="849"/>
      <c r="N38" s="849"/>
      <c r="O38" s="849"/>
      <c r="P38" s="849"/>
      <c r="Q38" s="849"/>
      <c r="R38" s="849"/>
      <c r="S38" s="849"/>
      <c r="T38" s="849"/>
      <c r="U38" s="849"/>
      <c r="V38" s="849"/>
    </row>
    <row r="39" customFormat="false" ht="30.75" hidden="false" customHeight="true" outlineLevel="0" collapsed="false">
      <c r="A39" s="849"/>
      <c r="B39" s="849"/>
      <c r="C39" s="849"/>
      <c r="D39" s="849"/>
      <c r="E39" s="849"/>
      <c r="F39" s="849"/>
      <c r="G39" s="849"/>
      <c r="H39" s="849"/>
      <c r="I39" s="849"/>
      <c r="J39" s="849"/>
      <c r="K39" s="849"/>
      <c r="L39" s="849"/>
      <c r="M39" s="849"/>
      <c r="N39" s="849"/>
      <c r="O39" s="849"/>
      <c r="P39" s="849"/>
      <c r="Q39" s="849"/>
      <c r="R39" s="849"/>
      <c r="S39" s="849"/>
      <c r="T39" s="849"/>
      <c r="U39" s="849"/>
      <c r="V39" s="849"/>
    </row>
    <row r="40" customFormat="false" ht="30.75" hidden="false" customHeight="true" outlineLevel="0" collapsed="false">
      <c r="A40" s="849"/>
      <c r="B40" s="849"/>
      <c r="C40" s="849"/>
      <c r="D40" s="849"/>
      <c r="E40" s="849"/>
      <c r="F40" s="849"/>
      <c r="G40" s="849"/>
      <c r="H40" s="849"/>
      <c r="I40" s="849"/>
      <c r="J40" s="849"/>
      <c r="K40" s="849"/>
      <c r="L40" s="849"/>
      <c r="M40" s="849"/>
      <c r="N40" s="849"/>
      <c r="O40" s="849"/>
      <c r="P40" s="849"/>
      <c r="Q40" s="849"/>
      <c r="R40" s="849"/>
      <c r="S40" s="849"/>
      <c r="T40" s="849"/>
      <c r="U40" s="849"/>
      <c r="V40" s="849"/>
    </row>
    <row r="41" customFormat="false" ht="30.75" hidden="false" customHeight="true" outlineLevel="0" collapsed="false">
      <c r="A41" s="849"/>
      <c r="B41" s="849"/>
      <c r="C41" s="849"/>
      <c r="D41" s="849"/>
      <c r="E41" s="849"/>
      <c r="F41" s="849"/>
      <c r="G41" s="849"/>
      <c r="H41" s="849"/>
      <c r="I41" s="849"/>
      <c r="J41" s="849"/>
      <c r="K41" s="849"/>
      <c r="L41" s="849"/>
      <c r="M41" s="849"/>
      <c r="N41" s="849"/>
      <c r="O41" s="849"/>
      <c r="P41" s="849"/>
      <c r="Q41" s="849"/>
      <c r="R41" s="849"/>
      <c r="S41" s="849"/>
      <c r="T41" s="849"/>
      <c r="U41" s="849"/>
      <c r="V41" s="849"/>
    </row>
    <row r="42" customFormat="false" ht="30.75" hidden="false" customHeight="true" outlineLevel="0" collapsed="false">
      <c r="A42" s="849"/>
      <c r="B42" s="849"/>
      <c r="C42" s="849"/>
      <c r="D42" s="849"/>
      <c r="E42" s="849"/>
      <c r="F42" s="849"/>
      <c r="G42" s="849"/>
      <c r="H42" s="849"/>
      <c r="I42" s="849"/>
      <c r="J42" s="849"/>
      <c r="K42" s="849"/>
      <c r="L42" s="849"/>
      <c r="M42" s="849"/>
      <c r="N42" s="849"/>
      <c r="O42" s="849"/>
      <c r="P42" s="849"/>
      <c r="Q42" s="849"/>
      <c r="R42" s="849"/>
      <c r="S42" s="849"/>
      <c r="T42" s="849"/>
      <c r="U42" s="849"/>
      <c r="V42" s="849"/>
    </row>
    <row r="43" customFormat="false" ht="30.75" hidden="false" customHeight="true" outlineLevel="0" collapsed="false">
      <c r="A43" s="849"/>
      <c r="B43" s="849"/>
      <c r="C43" s="849"/>
      <c r="D43" s="849"/>
      <c r="E43" s="849"/>
      <c r="F43" s="849"/>
      <c r="G43" s="849"/>
      <c r="H43" s="849"/>
      <c r="I43" s="849"/>
      <c r="J43" s="849"/>
      <c r="K43" s="849"/>
      <c r="L43" s="849"/>
      <c r="M43" s="849"/>
      <c r="N43" s="849"/>
      <c r="O43" s="849"/>
      <c r="P43" s="849"/>
      <c r="Q43" s="849"/>
      <c r="R43" s="849"/>
      <c r="S43" s="849"/>
      <c r="T43" s="849"/>
      <c r="U43" s="849"/>
      <c r="V43" s="849"/>
    </row>
    <row r="44" customFormat="false" ht="30.75" hidden="false" customHeight="true" outlineLevel="0" collapsed="false">
      <c r="A44" s="849"/>
      <c r="B44" s="849"/>
      <c r="C44" s="849"/>
      <c r="D44" s="849"/>
      <c r="E44" s="849"/>
      <c r="F44" s="849"/>
      <c r="G44" s="849"/>
      <c r="H44" s="849"/>
      <c r="I44" s="849"/>
      <c r="J44" s="849"/>
      <c r="K44" s="849"/>
      <c r="L44" s="849"/>
      <c r="M44" s="849"/>
      <c r="N44" s="849"/>
      <c r="O44" s="849"/>
      <c r="P44" s="849"/>
      <c r="Q44" s="849"/>
      <c r="R44" s="849"/>
      <c r="S44" s="849"/>
      <c r="T44" s="849"/>
      <c r="U44" s="849"/>
      <c r="V44" s="849"/>
    </row>
    <row r="45" customFormat="false" ht="30.75" hidden="false" customHeight="true" outlineLevel="0" collapsed="false">
      <c r="A45" s="849"/>
      <c r="B45" s="849"/>
      <c r="C45" s="849"/>
      <c r="D45" s="849"/>
      <c r="E45" s="849"/>
      <c r="F45" s="849"/>
      <c r="G45" s="849"/>
      <c r="H45" s="849"/>
      <c r="I45" s="849"/>
      <c r="J45" s="849"/>
      <c r="K45" s="849"/>
      <c r="L45" s="849"/>
      <c r="M45" s="849"/>
      <c r="N45" s="849"/>
      <c r="O45" s="849"/>
      <c r="P45" s="849"/>
      <c r="Q45" s="849"/>
      <c r="R45" s="849"/>
      <c r="S45" s="849"/>
      <c r="T45" s="849"/>
      <c r="U45" s="849"/>
      <c r="V45" s="849"/>
    </row>
    <row r="46" customFormat="false" ht="30.75" hidden="false" customHeight="true" outlineLevel="0" collapsed="false">
      <c r="A46" s="849"/>
      <c r="B46" s="849"/>
      <c r="C46" s="849"/>
      <c r="D46" s="849"/>
      <c r="E46" s="849"/>
      <c r="F46" s="849"/>
      <c r="G46" s="849"/>
      <c r="H46" s="849"/>
      <c r="I46" s="849"/>
      <c r="J46" s="849"/>
      <c r="K46" s="849"/>
      <c r="L46" s="849"/>
      <c r="M46" s="849"/>
      <c r="N46" s="849"/>
      <c r="O46" s="849"/>
      <c r="P46" s="849"/>
      <c r="Q46" s="849"/>
      <c r="R46" s="849"/>
      <c r="S46" s="849"/>
      <c r="T46" s="849"/>
      <c r="U46" s="849"/>
      <c r="V46" s="849"/>
    </row>
    <row r="47" customFormat="false" ht="30.75" hidden="false" customHeight="true" outlineLevel="0" collapsed="false">
      <c r="A47" s="849"/>
      <c r="B47" s="849"/>
      <c r="C47" s="849"/>
      <c r="D47" s="849"/>
      <c r="E47" s="849"/>
      <c r="F47" s="849"/>
      <c r="G47" s="849"/>
      <c r="H47" s="849"/>
      <c r="I47" s="849"/>
      <c r="J47" s="849"/>
      <c r="K47" s="849"/>
      <c r="L47" s="849"/>
      <c r="M47" s="849"/>
      <c r="N47" s="849"/>
      <c r="O47" s="849"/>
      <c r="P47" s="849"/>
      <c r="Q47" s="849"/>
      <c r="R47" s="849"/>
      <c r="S47" s="849"/>
      <c r="T47" s="849"/>
      <c r="U47" s="849"/>
      <c r="V47" s="849"/>
    </row>
    <row r="48" customFormat="false" ht="30.75" hidden="false" customHeight="true" outlineLevel="0" collapsed="false">
      <c r="A48" s="849"/>
      <c r="B48" s="849"/>
      <c r="C48" s="849"/>
      <c r="D48" s="849"/>
      <c r="E48" s="849"/>
      <c r="F48" s="849"/>
      <c r="G48" s="849"/>
      <c r="H48" s="849"/>
      <c r="I48" s="849"/>
      <c r="J48" s="849"/>
      <c r="K48" s="849"/>
      <c r="L48" s="849"/>
      <c r="M48" s="849"/>
      <c r="N48" s="849"/>
      <c r="O48" s="849"/>
      <c r="P48" s="849"/>
      <c r="Q48" s="849"/>
      <c r="R48" s="849"/>
      <c r="S48" s="849"/>
      <c r="T48" s="849"/>
      <c r="U48" s="849"/>
      <c r="V48" s="849"/>
    </row>
    <row r="49" customFormat="false" ht="30.75" hidden="false" customHeight="true" outlineLevel="0" collapsed="false">
      <c r="A49" s="849"/>
      <c r="B49" s="849"/>
      <c r="C49" s="849"/>
      <c r="D49" s="849"/>
      <c r="E49" s="849"/>
      <c r="F49" s="849"/>
      <c r="G49" s="849"/>
      <c r="H49" s="849"/>
      <c r="I49" s="849"/>
      <c r="J49" s="849"/>
      <c r="K49" s="849"/>
      <c r="L49" s="849"/>
      <c r="M49" s="849"/>
      <c r="N49" s="849"/>
      <c r="O49" s="849"/>
      <c r="P49" s="849"/>
      <c r="Q49" s="849"/>
      <c r="R49" s="849"/>
      <c r="S49" s="849"/>
      <c r="T49" s="849"/>
      <c r="U49" s="849"/>
      <c r="V49" s="849"/>
    </row>
    <row r="50" customFormat="false" ht="30.75" hidden="false" customHeight="true" outlineLevel="0" collapsed="false">
      <c r="A50" s="849"/>
      <c r="B50" s="849"/>
      <c r="C50" s="849"/>
      <c r="D50" s="849"/>
      <c r="E50" s="849"/>
      <c r="F50" s="849"/>
      <c r="G50" s="849"/>
      <c r="H50" s="849"/>
      <c r="I50" s="849"/>
      <c r="J50" s="849"/>
      <c r="K50" s="849"/>
      <c r="L50" s="849"/>
      <c r="M50" s="849"/>
      <c r="N50" s="849"/>
      <c r="O50" s="849"/>
      <c r="P50" s="849"/>
      <c r="Q50" s="849"/>
      <c r="R50" s="849"/>
      <c r="S50" s="849"/>
      <c r="T50" s="849"/>
      <c r="U50" s="849"/>
      <c r="V50" s="849"/>
    </row>
    <row r="51" customFormat="false" ht="30.75" hidden="false" customHeight="true" outlineLevel="0" collapsed="false">
      <c r="A51" s="849"/>
      <c r="B51" s="849"/>
      <c r="C51" s="849"/>
      <c r="D51" s="849"/>
      <c r="E51" s="849"/>
      <c r="F51" s="849"/>
      <c r="G51" s="849"/>
      <c r="H51" s="849"/>
      <c r="I51" s="849"/>
      <c r="J51" s="849"/>
      <c r="K51" s="849"/>
      <c r="L51" s="849"/>
      <c r="M51" s="849"/>
      <c r="N51" s="849"/>
      <c r="O51" s="849"/>
      <c r="P51" s="849"/>
      <c r="Q51" s="849"/>
      <c r="R51" s="849"/>
      <c r="S51" s="849"/>
      <c r="T51" s="849"/>
      <c r="U51" s="849"/>
      <c r="V51" s="849"/>
    </row>
    <row r="52" customFormat="false" ht="30.75" hidden="false" customHeight="true" outlineLevel="0" collapsed="false">
      <c r="A52" s="849"/>
      <c r="B52" s="849"/>
      <c r="C52" s="849"/>
      <c r="D52" s="849"/>
      <c r="E52" s="849"/>
      <c r="F52" s="849"/>
      <c r="G52" s="849"/>
      <c r="H52" s="849"/>
      <c r="I52" s="849"/>
      <c r="J52" s="849"/>
      <c r="K52" s="849"/>
      <c r="L52" s="849"/>
      <c r="M52" s="849"/>
      <c r="N52" s="849"/>
      <c r="O52" s="849"/>
      <c r="P52" s="849"/>
      <c r="Q52" s="849"/>
      <c r="R52" s="849"/>
      <c r="S52" s="849"/>
      <c r="T52" s="849"/>
      <c r="U52" s="849"/>
    </row>
    <row r="53" customFormat="false" ht="30.75" hidden="false" customHeight="true" outlineLevel="0" collapsed="false">
      <c r="A53" s="849"/>
      <c r="B53" s="849"/>
      <c r="C53" s="849"/>
      <c r="D53" s="849"/>
      <c r="E53" s="849"/>
      <c r="F53" s="849"/>
      <c r="G53" s="849"/>
      <c r="H53" s="849"/>
      <c r="I53" s="849"/>
      <c r="J53" s="849"/>
      <c r="K53" s="849"/>
      <c r="L53" s="849"/>
      <c r="M53" s="849"/>
      <c r="N53" s="849"/>
      <c r="O53" s="849"/>
      <c r="P53" s="849"/>
      <c r="Q53" s="849"/>
      <c r="R53" s="849"/>
      <c r="S53" s="849"/>
      <c r="T53" s="849"/>
      <c r="U53" s="849"/>
    </row>
    <row r="54" customFormat="false" ht="30.75" hidden="false" customHeight="true" outlineLevel="0" collapsed="false">
      <c r="A54" s="849"/>
      <c r="B54" s="849"/>
      <c r="C54" s="849"/>
      <c r="D54" s="849"/>
      <c r="E54" s="849"/>
      <c r="F54" s="849"/>
      <c r="G54" s="849"/>
      <c r="H54" s="849"/>
      <c r="I54" s="849"/>
      <c r="J54" s="849"/>
      <c r="K54" s="849"/>
      <c r="L54" s="849"/>
      <c r="M54" s="849"/>
      <c r="N54" s="849"/>
      <c r="O54" s="849"/>
      <c r="P54" s="849"/>
      <c r="Q54" s="849"/>
      <c r="R54" s="849"/>
      <c r="S54" s="849"/>
      <c r="T54" s="849"/>
      <c r="U54" s="849"/>
    </row>
    <row r="55" customFormat="false" ht="30.75" hidden="false" customHeight="true" outlineLevel="0" collapsed="false">
      <c r="A55" s="849"/>
      <c r="B55" s="849"/>
      <c r="C55" s="849"/>
      <c r="D55" s="849"/>
      <c r="E55" s="849"/>
      <c r="F55" s="849"/>
      <c r="G55" s="849"/>
      <c r="H55" s="849"/>
      <c r="I55" s="849"/>
      <c r="J55" s="849"/>
      <c r="K55" s="849"/>
      <c r="L55" s="849"/>
      <c r="M55" s="849"/>
      <c r="N55" s="849"/>
      <c r="O55" s="849"/>
      <c r="P55" s="849"/>
      <c r="Q55" s="849"/>
      <c r="R55" s="849"/>
      <c r="S55" s="849"/>
      <c r="T55" s="849"/>
      <c r="U55" s="849"/>
    </row>
    <row r="56" customFormat="false" ht="30.75" hidden="false" customHeight="true" outlineLevel="0" collapsed="false">
      <c r="A56" s="849"/>
      <c r="B56" s="849"/>
      <c r="C56" s="849"/>
      <c r="D56" s="849"/>
      <c r="E56" s="849"/>
      <c r="F56" s="849"/>
      <c r="G56" s="849"/>
      <c r="H56" s="849"/>
      <c r="I56" s="849"/>
      <c r="J56" s="849"/>
      <c r="K56" s="849"/>
      <c r="L56" s="849"/>
      <c r="M56" s="849"/>
      <c r="N56" s="849"/>
      <c r="O56" s="849"/>
      <c r="P56" s="849"/>
      <c r="Q56" s="849"/>
      <c r="R56" s="849"/>
      <c r="S56" s="849"/>
      <c r="T56" s="849"/>
      <c r="U56" s="849"/>
    </row>
    <row r="57" customFormat="false" ht="30.75" hidden="false" customHeight="true" outlineLevel="0" collapsed="false">
      <c r="A57" s="849"/>
      <c r="B57" s="849"/>
      <c r="C57" s="849"/>
      <c r="D57" s="849"/>
      <c r="E57" s="849"/>
      <c r="F57" s="849"/>
      <c r="G57" s="849"/>
      <c r="H57" s="849"/>
      <c r="I57" s="849"/>
      <c r="J57" s="849"/>
      <c r="K57" s="849"/>
      <c r="L57" s="849"/>
      <c r="M57" s="849"/>
      <c r="N57" s="849"/>
      <c r="O57" s="849"/>
      <c r="P57" s="849"/>
      <c r="Q57" s="849"/>
      <c r="R57" s="849"/>
      <c r="S57" s="849"/>
      <c r="T57" s="849"/>
      <c r="U57" s="849"/>
    </row>
    <row r="58" customFormat="false" ht="30.75" hidden="false" customHeight="true" outlineLevel="0" collapsed="false">
      <c r="A58" s="849"/>
      <c r="B58" s="849"/>
      <c r="C58" s="849"/>
      <c r="D58" s="849"/>
      <c r="E58" s="849"/>
      <c r="F58" s="849"/>
      <c r="G58" s="849"/>
      <c r="H58" s="849"/>
      <c r="I58" s="849"/>
      <c r="J58" s="849"/>
      <c r="K58" s="849"/>
      <c r="L58" s="849"/>
      <c r="M58" s="849"/>
      <c r="N58" s="849"/>
      <c r="O58" s="849"/>
      <c r="P58" s="849"/>
      <c r="Q58" s="849"/>
      <c r="R58" s="849"/>
      <c r="S58" s="849"/>
      <c r="T58" s="849"/>
      <c r="U58" s="849"/>
    </row>
    <row r="59" customFormat="false" ht="30.75" hidden="false" customHeight="true" outlineLevel="0" collapsed="false">
      <c r="A59" s="849"/>
      <c r="B59" s="849"/>
      <c r="C59" s="849"/>
      <c r="D59" s="849"/>
      <c r="E59" s="849"/>
      <c r="F59" s="849"/>
      <c r="G59" s="849"/>
      <c r="H59" s="849"/>
      <c r="I59" s="849"/>
      <c r="J59" s="849"/>
      <c r="K59" s="849"/>
      <c r="L59" s="849"/>
      <c r="M59" s="849"/>
      <c r="N59" s="849"/>
      <c r="O59" s="849"/>
      <c r="P59" s="849"/>
      <c r="Q59" s="849"/>
      <c r="R59" s="849"/>
      <c r="S59" s="849"/>
      <c r="T59" s="849"/>
      <c r="U59" s="849"/>
    </row>
    <row r="60" customFormat="false" ht="30.75" hidden="false" customHeight="true" outlineLevel="0" collapsed="false">
      <c r="A60" s="849"/>
      <c r="B60" s="849"/>
      <c r="C60" s="849"/>
      <c r="D60" s="849"/>
      <c r="E60" s="849"/>
      <c r="F60" s="849"/>
      <c r="G60" s="849"/>
      <c r="H60" s="849"/>
      <c r="I60" s="849"/>
      <c r="J60" s="849"/>
      <c r="K60" s="849"/>
      <c r="L60" s="849"/>
      <c r="M60" s="849"/>
      <c r="N60" s="849"/>
      <c r="O60" s="849"/>
      <c r="P60" s="849"/>
      <c r="Q60" s="849"/>
      <c r="R60" s="849"/>
      <c r="S60" s="849"/>
      <c r="T60" s="849"/>
      <c r="U60" s="849"/>
    </row>
    <row r="61" customFormat="false" ht="30.75" hidden="false" customHeight="true" outlineLevel="0" collapsed="false">
      <c r="A61" s="849"/>
      <c r="B61" s="849"/>
      <c r="C61" s="849"/>
      <c r="D61" s="849"/>
      <c r="E61" s="849"/>
      <c r="F61" s="849"/>
      <c r="G61" s="849"/>
      <c r="H61" s="849"/>
      <c r="I61" s="849"/>
      <c r="J61" s="849"/>
      <c r="K61" s="849"/>
      <c r="L61" s="849"/>
      <c r="M61" s="849"/>
      <c r="N61" s="849"/>
      <c r="O61" s="849"/>
      <c r="P61" s="849"/>
      <c r="Q61" s="849"/>
      <c r="R61" s="849"/>
      <c r="S61" s="849"/>
      <c r="T61" s="849"/>
      <c r="U61" s="849"/>
    </row>
    <row r="62" customFormat="false" ht="30.75" hidden="false" customHeight="true" outlineLevel="0" collapsed="false">
      <c r="A62" s="849"/>
      <c r="B62" s="849"/>
      <c r="C62" s="849"/>
      <c r="D62" s="849"/>
      <c r="E62" s="849"/>
      <c r="F62" s="849"/>
      <c r="G62" s="849"/>
      <c r="H62" s="849"/>
      <c r="I62" s="849"/>
      <c r="J62" s="849"/>
      <c r="K62" s="849"/>
      <c r="L62" s="849"/>
      <c r="M62" s="849"/>
      <c r="N62" s="849"/>
      <c r="O62" s="849"/>
      <c r="P62" s="849"/>
      <c r="Q62" s="849"/>
      <c r="R62" s="849"/>
      <c r="S62" s="849"/>
      <c r="T62" s="849"/>
      <c r="U62" s="849"/>
    </row>
    <row r="63" customFormat="false" ht="30.75" hidden="false" customHeight="true" outlineLevel="0" collapsed="false">
      <c r="B63" s="849"/>
      <c r="C63" s="849"/>
      <c r="D63" s="849"/>
      <c r="E63" s="849"/>
      <c r="F63" s="849"/>
      <c r="G63" s="849"/>
      <c r="H63" s="849"/>
    </row>
    <row r="64" customFormat="false" ht="30.75" hidden="false" customHeight="true" outlineLevel="0" collapsed="false">
      <c r="B64" s="849"/>
      <c r="C64" s="849"/>
      <c r="D64" s="849"/>
      <c r="E64" s="849"/>
      <c r="F64" s="849"/>
      <c r="G64" s="849"/>
      <c r="H64" s="849"/>
    </row>
    <row r="65" customFormat="false" ht="30.75" hidden="false" customHeight="true" outlineLevel="0" collapsed="false">
      <c r="B65" s="849"/>
      <c r="C65" s="849"/>
      <c r="D65" s="849"/>
      <c r="E65" s="849"/>
      <c r="F65" s="849"/>
      <c r="G65" s="849"/>
      <c r="H65" s="849"/>
    </row>
    <row r="66" customFormat="false" ht="30.75" hidden="false" customHeight="true" outlineLevel="0" collapsed="false">
      <c r="B66" s="849"/>
      <c r="C66" s="849"/>
      <c r="D66" s="849"/>
      <c r="E66" s="849"/>
      <c r="F66" s="849"/>
      <c r="G66" s="849"/>
      <c r="H66" s="849"/>
    </row>
    <row r="67" customFormat="false" ht="30.75" hidden="false" customHeight="true" outlineLevel="0" collapsed="false">
      <c r="B67" s="849"/>
      <c r="C67" s="849"/>
      <c r="D67" s="849"/>
      <c r="E67" s="849"/>
      <c r="F67" s="849"/>
      <c r="G67" s="849"/>
      <c r="H67" s="849"/>
    </row>
    <row r="68" customFormat="false" ht="30.75" hidden="false" customHeight="true" outlineLevel="0" collapsed="false">
      <c r="B68" s="849"/>
      <c r="C68" s="849"/>
      <c r="D68" s="849"/>
      <c r="E68" s="849"/>
      <c r="F68" s="849"/>
      <c r="G68" s="849"/>
      <c r="H68" s="84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8"/>
  <sheetViews>
    <sheetView showFormulas="false" showGridLines="false" showRowColHeaders="true" showZeros="true" rightToLeft="false" tabSelected="false" showOutlineSymbols="true" defaultGridColor="true" view="normal" topLeftCell="E13" colorId="64" zoomScale="140" zoomScaleNormal="140" zoomScalePageLayoutView="100" workbookViewId="0">
      <selection pane="topLeft" activeCell="E13" activeCellId="0" sqref="E13"/>
    </sheetView>
  </sheetViews>
  <sheetFormatPr defaultColWidth="19.859375" defaultRowHeight="30.75" zeroHeight="false" outlineLevelRow="0" outlineLevelCol="0"/>
  <cols>
    <col collapsed="false" customWidth="false" hidden="false" outlineLevel="0" max="16384" min="1" style="958" width="19.86"/>
  </cols>
  <sheetData>
    <row r="1" customFormat="false" ht="30.75" hidden="false" customHeight="true" outlineLevel="0" collapsed="false">
      <c r="A1" s="849"/>
      <c r="B1" s="977" t="s">
        <v>281</v>
      </c>
      <c r="C1" s="849"/>
      <c r="D1" s="849"/>
      <c r="E1" s="849"/>
      <c r="F1" s="849"/>
      <c r="G1" s="849"/>
      <c r="H1" s="849"/>
      <c r="I1" s="849"/>
      <c r="J1" s="849"/>
      <c r="K1" s="849"/>
      <c r="L1" s="849"/>
      <c r="M1" s="849"/>
      <c r="N1" s="849"/>
      <c r="O1" s="849"/>
      <c r="P1" s="849"/>
      <c r="Q1" s="849"/>
      <c r="R1" s="849"/>
      <c r="S1" s="849"/>
      <c r="T1" s="849"/>
      <c r="U1" s="849"/>
      <c r="V1" s="849"/>
      <c r="W1" s="849"/>
      <c r="X1" s="849"/>
      <c r="Y1" s="849"/>
      <c r="Z1" s="849"/>
      <c r="AA1" s="849"/>
      <c r="AB1" s="849"/>
      <c r="AC1" s="849"/>
      <c r="AD1" s="849"/>
      <c r="AE1" s="849"/>
      <c r="AF1" s="849"/>
      <c r="AG1" s="849"/>
    </row>
    <row r="2" customFormat="false" ht="30.75" hidden="false" customHeight="true" outlineLevel="0" collapsed="false">
      <c r="A2" s="1018"/>
      <c r="B2" s="979" t="s">
        <v>6</v>
      </c>
      <c r="C2" s="979" t="s">
        <v>7</v>
      </c>
      <c r="D2" s="979" t="s">
        <v>8</v>
      </c>
      <c r="E2" s="979" t="s">
        <v>9</v>
      </c>
      <c r="F2" s="979" t="s">
        <v>8</v>
      </c>
      <c r="G2" s="979" t="s">
        <v>11</v>
      </c>
      <c r="H2" s="980" t="s">
        <v>6</v>
      </c>
      <c r="I2" s="849"/>
      <c r="J2" s="849"/>
      <c r="K2" s="849"/>
      <c r="L2" s="849"/>
      <c r="M2" s="849"/>
      <c r="N2" s="849"/>
      <c r="O2" s="849"/>
      <c r="P2" s="849"/>
      <c r="Q2" s="849"/>
      <c r="R2" s="849"/>
      <c r="S2" s="849"/>
      <c r="T2" s="849"/>
      <c r="U2" s="849"/>
      <c r="V2" s="849"/>
      <c r="W2" s="849"/>
      <c r="X2" s="849"/>
      <c r="Y2" s="849"/>
      <c r="Z2" s="849"/>
      <c r="AA2" s="849"/>
      <c r="AB2" s="849"/>
      <c r="AC2" s="849"/>
      <c r="AD2" s="849"/>
      <c r="AE2" s="849"/>
      <c r="AF2" s="849"/>
      <c r="AG2" s="849"/>
    </row>
    <row r="3" customFormat="false" ht="30.75" hidden="false" customHeight="true" outlineLevel="0" collapsed="false">
      <c r="A3" s="849"/>
      <c r="B3" s="981"/>
      <c r="C3" s="981"/>
      <c r="D3" s="981"/>
      <c r="E3" s="981"/>
      <c r="F3" s="981" t="n">
        <v>1</v>
      </c>
      <c r="G3" s="981" t="n">
        <v>2</v>
      </c>
      <c r="H3" s="981" t="n">
        <v>3</v>
      </c>
      <c r="I3" s="982" t="s">
        <v>14</v>
      </c>
      <c r="J3" s="849"/>
      <c r="K3" s="849"/>
      <c r="L3" s="849"/>
      <c r="M3" s="849"/>
      <c r="N3" s="849"/>
      <c r="O3" s="849"/>
      <c r="P3" s="849"/>
      <c r="Q3" s="849"/>
      <c r="R3" s="849"/>
      <c r="S3" s="849"/>
      <c r="T3" s="849"/>
      <c r="U3" s="849"/>
      <c r="V3" s="849"/>
      <c r="W3" s="849"/>
      <c r="X3" s="849"/>
      <c r="Y3" s="849"/>
      <c r="Z3" s="849"/>
      <c r="AA3" s="849"/>
      <c r="AB3" s="849"/>
      <c r="AC3" s="849"/>
      <c r="AD3" s="849"/>
      <c r="AE3" s="849"/>
      <c r="AF3" s="849"/>
      <c r="AG3" s="849"/>
    </row>
    <row r="4" customFormat="false" ht="30.75" hidden="false" customHeight="true" outlineLevel="0" collapsed="false">
      <c r="A4" s="849"/>
      <c r="B4" s="983"/>
      <c r="C4" s="983"/>
      <c r="D4" s="983"/>
      <c r="E4" s="983"/>
      <c r="F4" s="983" t="s">
        <v>209</v>
      </c>
      <c r="G4" s="983" t="s">
        <v>40</v>
      </c>
      <c r="H4" s="983" t="s">
        <v>79</v>
      </c>
      <c r="I4" s="985" t="s">
        <v>16</v>
      </c>
      <c r="J4" s="849"/>
      <c r="K4" s="849"/>
      <c r="L4" s="849"/>
      <c r="M4" s="849"/>
      <c r="N4" s="849"/>
      <c r="O4" s="849"/>
      <c r="P4" s="849"/>
      <c r="Q4" s="849"/>
      <c r="R4" s="849"/>
      <c r="S4" s="849"/>
      <c r="T4" s="849"/>
      <c r="U4" s="849"/>
      <c r="V4" s="849"/>
      <c r="W4" s="849"/>
      <c r="X4" s="849"/>
      <c r="Y4" s="849"/>
      <c r="Z4" s="849"/>
      <c r="AA4" s="849"/>
      <c r="AB4" s="849"/>
      <c r="AC4" s="849"/>
      <c r="AD4" s="849"/>
      <c r="AE4" s="849"/>
      <c r="AF4" s="849"/>
      <c r="AG4" s="849"/>
    </row>
    <row r="5" customFormat="false" ht="30.75" hidden="false" customHeight="true" outlineLevel="0" collapsed="false">
      <c r="A5" s="849"/>
      <c r="B5" s="986"/>
      <c r="C5" s="986"/>
      <c r="D5" s="986"/>
      <c r="E5" s="986"/>
      <c r="F5" s="986" t="n">
        <v>0.64</v>
      </c>
      <c r="G5" s="986" t="n">
        <v>0.54</v>
      </c>
      <c r="H5" s="986" t="n">
        <v>0.44</v>
      </c>
      <c r="I5" s="987" t="s">
        <v>536</v>
      </c>
      <c r="J5" s="849"/>
      <c r="K5" s="849"/>
      <c r="L5" s="849"/>
      <c r="M5" s="849"/>
      <c r="N5" s="849"/>
      <c r="O5" s="849"/>
      <c r="P5" s="849"/>
      <c r="Q5" s="849"/>
      <c r="R5" s="849"/>
      <c r="S5" s="849"/>
      <c r="T5" s="849"/>
      <c r="U5" s="849"/>
      <c r="V5" s="849"/>
      <c r="W5" s="849"/>
      <c r="X5" s="849"/>
      <c r="Y5" s="849"/>
      <c r="Z5" s="849"/>
      <c r="AA5" s="849"/>
      <c r="AB5" s="849"/>
      <c r="AC5" s="849"/>
      <c r="AD5" s="849"/>
      <c r="AE5" s="849"/>
      <c r="AF5" s="849"/>
      <c r="AG5" s="849"/>
    </row>
    <row r="6" customFormat="false" ht="30.75" hidden="false" customHeight="true" outlineLevel="0" collapsed="false">
      <c r="A6" s="849"/>
      <c r="B6" s="988"/>
      <c r="C6" s="988"/>
      <c r="D6" s="989"/>
      <c r="E6" s="988"/>
      <c r="F6" s="989" t="s">
        <v>54</v>
      </c>
      <c r="G6" s="989" t="s">
        <v>54</v>
      </c>
      <c r="H6" s="988" t="s">
        <v>54</v>
      </c>
      <c r="I6" s="985" t="s">
        <v>19</v>
      </c>
      <c r="J6" s="849"/>
      <c r="K6" s="849"/>
      <c r="L6" s="849"/>
      <c r="M6" s="849"/>
      <c r="N6" s="849"/>
      <c r="O6" s="849"/>
      <c r="P6" s="849"/>
      <c r="Q6" s="849"/>
      <c r="R6" s="849"/>
      <c r="S6" s="849"/>
      <c r="T6" s="849"/>
      <c r="U6" s="849"/>
      <c r="V6" s="849"/>
      <c r="W6" s="849"/>
      <c r="X6" s="849"/>
      <c r="Y6" s="849"/>
      <c r="Z6" s="849"/>
      <c r="AA6" s="849"/>
      <c r="AB6" s="849"/>
      <c r="AC6" s="849"/>
      <c r="AD6" s="849"/>
      <c r="AE6" s="849"/>
      <c r="AF6" s="849"/>
      <c r="AG6" s="849"/>
    </row>
    <row r="7" customFormat="false" ht="30.75" hidden="false" customHeight="true" outlineLevel="0" collapsed="false">
      <c r="A7" s="849"/>
      <c r="B7" s="989"/>
      <c r="C7" s="989"/>
      <c r="D7" s="989"/>
      <c r="E7" s="989"/>
      <c r="F7" s="989" t="s">
        <v>584</v>
      </c>
      <c r="G7" s="989" t="s">
        <v>584</v>
      </c>
      <c r="H7" s="989" t="s">
        <v>595</v>
      </c>
      <c r="I7" s="987" t="s">
        <v>502</v>
      </c>
      <c r="J7" s="849"/>
      <c r="K7" s="849"/>
      <c r="L7" s="849"/>
      <c r="M7" s="849"/>
      <c r="N7" s="849"/>
      <c r="O7" s="849"/>
      <c r="P7" s="849"/>
      <c r="Q7" s="849"/>
      <c r="R7" s="849"/>
      <c r="S7" s="849"/>
      <c r="T7" s="849"/>
      <c r="U7" s="849"/>
      <c r="V7" s="849"/>
      <c r="W7" s="849"/>
      <c r="X7" s="849"/>
      <c r="Y7" s="849"/>
      <c r="Z7" s="849"/>
      <c r="AA7" s="849"/>
      <c r="AB7" s="849"/>
      <c r="AC7" s="849"/>
      <c r="AD7" s="849"/>
      <c r="AE7" s="849"/>
      <c r="AF7" s="849"/>
      <c r="AG7" s="849"/>
    </row>
    <row r="8" customFormat="false" ht="30.75" hidden="false" customHeight="true" outlineLevel="0" collapsed="false">
      <c r="A8" s="849"/>
      <c r="B8" s="994"/>
      <c r="C8" s="989"/>
      <c r="D8" s="989"/>
      <c r="E8" s="989"/>
      <c r="F8" s="989" t="s">
        <v>551</v>
      </c>
      <c r="G8" s="989" t="s">
        <v>551</v>
      </c>
      <c r="H8" s="989" t="s">
        <v>596</v>
      </c>
      <c r="I8" s="1019" t="s">
        <v>503</v>
      </c>
      <c r="J8" s="849"/>
      <c r="K8" s="849"/>
      <c r="L8" s="849"/>
      <c r="M8" s="849"/>
      <c r="N8" s="849"/>
      <c r="O8" s="849"/>
      <c r="P8" s="849"/>
      <c r="Q8" s="849"/>
      <c r="R8" s="849"/>
      <c r="S8" s="849"/>
      <c r="T8" s="849"/>
      <c r="U8" s="849"/>
      <c r="V8" s="849"/>
      <c r="W8" s="849"/>
      <c r="X8" s="849"/>
      <c r="Y8" s="849"/>
      <c r="Z8" s="849"/>
      <c r="AA8" s="849"/>
      <c r="AB8" s="849"/>
      <c r="AC8" s="849"/>
      <c r="AD8" s="849"/>
      <c r="AE8" s="849"/>
      <c r="AF8" s="849"/>
      <c r="AG8" s="849"/>
    </row>
    <row r="9" customFormat="false" ht="30.75" hidden="false" customHeight="true" outlineLevel="0" collapsed="false">
      <c r="A9" s="849"/>
      <c r="B9" s="981" t="n">
        <v>4</v>
      </c>
      <c r="C9" s="981" t="n">
        <v>5</v>
      </c>
      <c r="D9" s="981" t="n">
        <v>6</v>
      </c>
      <c r="E9" s="981" t="n">
        <v>7</v>
      </c>
      <c r="F9" s="981" t="n">
        <v>8</v>
      </c>
      <c r="G9" s="981" t="n">
        <v>9</v>
      </c>
      <c r="H9" s="998" t="n">
        <v>10</v>
      </c>
      <c r="I9" s="849"/>
      <c r="J9" s="849"/>
      <c r="K9" s="849"/>
      <c r="L9" s="849"/>
      <c r="M9" s="849"/>
      <c r="N9" s="849"/>
      <c r="O9" s="849"/>
      <c r="P9" s="849"/>
      <c r="Q9" s="849"/>
      <c r="R9" s="849"/>
      <c r="S9" s="849"/>
      <c r="T9" s="849"/>
      <c r="U9" s="849"/>
      <c r="V9" s="849"/>
      <c r="W9" s="849"/>
      <c r="X9" s="849"/>
      <c r="Y9" s="849"/>
      <c r="Z9" s="849"/>
      <c r="AA9" s="849"/>
      <c r="AB9" s="849"/>
      <c r="AC9" s="849"/>
      <c r="AD9" s="849"/>
      <c r="AE9" s="849"/>
      <c r="AF9" s="849"/>
      <c r="AG9" s="849"/>
    </row>
    <row r="10" customFormat="false" ht="30.75" hidden="false" customHeight="true" outlineLevel="0" collapsed="false">
      <c r="A10" s="849"/>
      <c r="B10" s="983" t="s">
        <v>506</v>
      </c>
      <c r="C10" s="983" t="s">
        <v>352</v>
      </c>
      <c r="D10" s="983" t="s">
        <v>62</v>
      </c>
      <c r="E10" s="983"/>
      <c r="F10" s="983" t="s">
        <v>209</v>
      </c>
      <c r="G10" s="983" t="s">
        <v>359</v>
      </c>
      <c r="H10" s="999" t="s">
        <v>79</v>
      </c>
      <c r="I10" s="849"/>
      <c r="J10" s="849"/>
      <c r="K10" s="849"/>
      <c r="L10" s="849"/>
      <c r="M10" s="849"/>
      <c r="N10" s="849"/>
      <c r="O10" s="849"/>
      <c r="P10" s="849"/>
      <c r="Q10" s="849"/>
      <c r="R10" s="849"/>
      <c r="S10" s="849"/>
      <c r="T10" s="849"/>
      <c r="U10" s="849"/>
      <c r="V10" s="849"/>
      <c r="W10" s="849"/>
      <c r="X10" s="849"/>
      <c r="Y10" s="849"/>
      <c r="Z10" s="849"/>
      <c r="AA10" s="849"/>
      <c r="AB10" s="849"/>
      <c r="AC10" s="849"/>
      <c r="AD10" s="849"/>
      <c r="AE10" s="849"/>
      <c r="AF10" s="849"/>
      <c r="AG10" s="849"/>
    </row>
    <row r="11" customFormat="false" ht="30.75" hidden="false" customHeight="true" outlineLevel="0" collapsed="false">
      <c r="A11" s="849"/>
      <c r="B11" s="986" t="n">
        <v>0.33</v>
      </c>
      <c r="C11" s="986" t="n">
        <v>0.23</v>
      </c>
      <c r="D11" s="986" t="n">
        <v>0.14</v>
      </c>
      <c r="E11" s="986" t="n">
        <v>0.07</v>
      </c>
      <c r="F11" s="986" t="n">
        <v>0.02</v>
      </c>
      <c r="G11" s="986" t="n">
        <v>0</v>
      </c>
      <c r="H11" s="1000" t="n">
        <v>0.01</v>
      </c>
      <c r="I11" s="849"/>
      <c r="J11" s="849"/>
      <c r="K11" s="849"/>
      <c r="L11" s="849"/>
      <c r="M11" s="849"/>
      <c r="N11" s="849"/>
      <c r="O11" s="849"/>
      <c r="P11" s="849"/>
      <c r="Q11" s="849"/>
      <c r="R11" s="849"/>
      <c r="S11" s="849"/>
      <c r="T11" s="849"/>
      <c r="U11" s="849"/>
      <c r="V11" s="849"/>
      <c r="W11" s="849"/>
      <c r="X11" s="849"/>
      <c r="Y11" s="849"/>
      <c r="Z11" s="849"/>
      <c r="AA11" s="849"/>
      <c r="AB11" s="849"/>
      <c r="AC11" s="849"/>
      <c r="AD11" s="849"/>
      <c r="AE11" s="849"/>
      <c r="AF11" s="849"/>
      <c r="AG11" s="849"/>
    </row>
    <row r="12" customFormat="false" ht="30.75" hidden="false" customHeight="true" outlineLevel="0" collapsed="false">
      <c r="A12" s="849"/>
      <c r="B12" s="989" t="s">
        <v>62</v>
      </c>
      <c r="C12" s="989" t="s">
        <v>169</v>
      </c>
      <c r="D12" s="989" t="s">
        <v>180</v>
      </c>
      <c r="E12" s="988" t="s">
        <v>541</v>
      </c>
      <c r="F12" s="989" t="s">
        <v>62</v>
      </c>
      <c r="G12" s="988" t="s">
        <v>169</v>
      </c>
      <c r="H12" s="1001" t="s">
        <v>169</v>
      </c>
      <c r="I12" s="849"/>
      <c r="J12" s="849"/>
      <c r="K12" s="849"/>
      <c r="L12" s="849"/>
      <c r="M12" s="849"/>
      <c r="N12" s="849"/>
      <c r="O12" s="849"/>
      <c r="P12" s="849"/>
      <c r="Q12" s="849"/>
      <c r="R12" s="849"/>
      <c r="S12" s="849"/>
      <c r="T12" s="849"/>
      <c r="U12" s="849"/>
      <c r="V12" s="849"/>
      <c r="W12" s="849"/>
      <c r="X12" s="849"/>
      <c r="Y12" s="849"/>
      <c r="Z12" s="849"/>
      <c r="AA12" s="849"/>
      <c r="AB12" s="849"/>
      <c r="AC12" s="849"/>
      <c r="AD12" s="849"/>
      <c r="AE12" s="849"/>
      <c r="AF12" s="849"/>
      <c r="AG12" s="849"/>
    </row>
    <row r="13" customFormat="false" ht="30.75" hidden="false" customHeight="true" outlineLevel="0" collapsed="false">
      <c r="A13" s="849"/>
      <c r="B13" s="989" t="s">
        <v>597</v>
      </c>
      <c r="C13" s="989" t="s">
        <v>584</v>
      </c>
      <c r="D13" s="989" t="s">
        <v>584</v>
      </c>
      <c r="E13" s="989" t="s">
        <v>598</v>
      </c>
      <c r="F13" s="989" t="s">
        <v>598</v>
      </c>
      <c r="G13" s="989" t="s">
        <v>598</v>
      </c>
      <c r="H13" s="989" t="s">
        <v>598</v>
      </c>
      <c r="I13" s="849"/>
      <c r="J13" s="849"/>
      <c r="K13" s="849"/>
      <c r="L13" s="849"/>
      <c r="M13" s="849"/>
      <c r="N13" s="849"/>
      <c r="O13" s="849"/>
      <c r="P13" s="849"/>
      <c r="Q13" s="849"/>
      <c r="R13" s="849"/>
      <c r="S13" s="849"/>
      <c r="T13" s="849"/>
      <c r="U13" s="849"/>
      <c r="V13" s="849"/>
      <c r="W13" s="849"/>
      <c r="X13" s="849"/>
      <c r="Y13" s="849"/>
      <c r="Z13" s="849"/>
      <c r="AA13" s="849"/>
      <c r="AB13" s="849"/>
      <c r="AC13" s="849"/>
      <c r="AD13" s="849"/>
      <c r="AE13" s="849"/>
      <c r="AF13" s="849"/>
      <c r="AG13" s="849"/>
    </row>
    <row r="14" customFormat="false" ht="30.75" hidden="false" customHeight="true" outlineLevel="0" collapsed="false">
      <c r="A14" s="849"/>
      <c r="B14" s="1008" t="n">
        <v>45292</v>
      </c>
      <c r="C14" s="989" t="s">
        <v>551</v>
      </c>
      <c r="D14" s="989" t="s">
        <v>551</v>
      </c>
      <c r="E14" s="989"/>
      <c r="F14" s="1002"/>
      <c r="G14" s="989"/>
      <c r="H14" s="990"/>
      <c r="I14" s="849"/>
      <c r="J14" s="849"/>
      <c r="K14" s="849"/>
      <c r="L14" s="849"/>
      <c r="M14" s="849"/>
      <c r="N14" s="849"/>
      <c r="O14" s="849"/>
      <c r="P14" s="849"/>
      <c r="Q14" s="849"/>
      <c r="R14" s="849"/>
      <c r="S14" s="849"/>
      <c r="T14" s="849"/>
      <c r="U14" s="849"/>
      <c r="V14" s="849"/>
      <c r="W14" s="849"/>
      <c r="X14" s="849"/>
      <c r="Y14" s="849"/>
      <c r="Z14" s="849"/>
      <c r="AA14" s="849"/>
      <c r="AB14" s="849"/>
      <c r="AC14" s="849"/>
      <c r="AD14" s="849"/>
      <c r="AE14" s="849"/>
      <c r="AF14" s="849"/>
      <c r="AG14" s="849"/>
    </row>
    <row r="15" customFormat="false" ht="30.75" hidden="false" customHeight="true" outlineLevel="0" collapsed="false">
      <c r="A15" s="849"/>
      <c r="B15" s="981" t="n">
        <v>11</v>
      </c>
      <c r="C15" s="981" t="n">
        <v>12</v>
      </c>
      <c r="D15" s="981" t="n">
        <v>13</v>
      </c>
      <c r="E15" s="981" t="n">
        <v>14</v>
      </c>
      <c r="F15" s="981" t="n">
        <v>15</v>
      </c>
      <c r="G15" s="981" t="n">
        <v>16</v>
      </c>
      <c r="H15" s="998" t="n">
        <v>17</v>
      </c>
      <c r="I15" s="849"/>
      <c r="J15" s="849"/>
      <c r="K15" s="849"/>
      <c r="L15" s="849"/>
      <c r="M15" s="849"/>
      <c r="N15" s="849"/>
      <c r="O15" s="849"/>
      <c r="P15" s="849"/>
      <c r="Q15" s="849"/>
      <c r="R15" s="849"/>
      <c r="S15" s="849"/>
      <c r="T15" s="849"/>
      <c r="U15" s="849"/>
      <c r="V15" s="849"/>
      <c r="W15" s="849"/>
      <c r="X15" s="849"/>
    </row>
    <row r="16" customFormat="false" ht="30.75" hidden="false" customHeight="true" outlineLevel="0" collapsed="false">
      <c r="A16" s="849"/>
      <c r="B16" s="983" t="s">
        <v>506</v>
      </c>
      <c r="C16" s="983" t="s">
        <v>352</v>
      </c>
      <c r="D16" s="983"/>
      <c r="E16" s="983" t="s">
        <v>169</v>
      </c>
      <c r="F16" s="983" t="s">
        <v>209</v>
      </c>
      <c r="G16" s="983" t="s">
        <v>359</v>
      </c>
      <c r="H16" s="999" t="s">
        <v>79</v>
      </c>
      <c r="I16" s="849"/>
      <c r="J16" s="849"/>
      <c r="K16" s="849"/>
      <c r="L16" s="849"/>
      <c r="M16" s="849"/>
      <c r="N16" s="849"/>
      <c r="O16" s="849"/>
      <c r="P16" s="849"/>
      <c r="Q16" s="849"/>
      <c r="R16" s="849"/>
      <c r="S16" s="849"/>
      <c r="T16" s="849"/>
      <c r="U16" s="849"/>
      <c r="V16" s="849"/>
      <c r="W16" s="849"/>
      <c r="X16" s="849"/>
    </row>
    <row r="17" customFormat="false" ht="30.75" hidden="false" customHeight="true" outlineLevel="0" collapsed="false">
      <c r="A17" s="849"/>
      <c r="B17" s="986" t="n">
        <v>0.06</v>
      </c>
      <c r="C17" s="986" t="n">
        <v>0.13</v>
      </c>
      <c r="D17" s="986" t="n">
        <v>0.22</v>
      </c>
      <c r="E17" s="986" t="n">
        <v>0.33</v>
      </c>
      <c r="F17" s="986" t="n">
        <v>0.44</v>
      </c>
      <c r="G17" s="986" t="n">
        <v>0.55</v>
      </c>
      <c r="H17" s="1000" t="n">
        <v>0.66</v>
      </c>
      <c r="I17" s="849"/>
      <c r="J17" s="849"/>
      <c r="K17" s="849"/>
      <c r="L17" s="849"/>
      <c r="M17" s="849"/>
      <c r="N17" s="849"/>
      <c r="O17" s="849"/>
      <c r="P17" s="849"/>
      <c r="Q17" s="849"/>
      <c r="R17" s="849"/>
      <c r="S17" s="849"/>
      <c r="T17" s="849"/>
      <c r="U17" s="849"/>
      <c r="V17" s="849"/>
      <c r="W17" s="849"/>
      <c r="X17" s="849"/>
    </row>
    <row r="18" customFormat="false" ht="30.75" hidden="false" customHeight="true" outlineLevel="0" collapsed="false">
      <c r="A18" s="849"/>
      <c r="B18" s="989" t="s">
        <v>352</v>
      </c>
      <c r="C18" s="988" t="s">
        <v>169</v>
      </c>
      <c r="D18" s="989" t="s">
        <v>62</v>
      </c>
      <c r="E18" s="988" t="s">
        <v>541</v>
      </c>
      <c r="F18" s="988" t="s">
        <v>352</v>
      </c>
      <c r="G18" s="988" t="s">
        <v>169</v>
      </c>
      <c r="H18" s="1001" t="s">
        <v>169</v>
      </c>
      <c r="I18" s="849"/>
      <c r="J18" s="849"/>
      <c r="K18" s="849"/>
      <c r="L18" s="849"/>
      <c r="M18" s="849"/>
      <c r="N18" s="849"/>
      <c r="O18" s="849"/>
      <c r="P18" s="849"/>
      <c r="Q18" s="849"/>
      <c r="R18" s="849"/>
      <c r="S18" s="849"/>
      <c r="T18" s="849"/>
      <c r="U18" s="849"/>
      <c r="V18" s="849"/>
      <c r="W18" s="849"/>
      <c r="X18" s="849"/>
    </row>
    <row r="19" customFormat="false" ht="30.75" hidden="false" customHeight="true" outlineLevel="0" collapsed="false">
      <c r="A19" s="849"/>
      <c r="B19" s="989" t="s">
        <v>598</v>
      </c>
      <c r="C19" s="989" t="s">
        <v>598</v>
      </c>
      <c r="D19" s="989" t="s">
        <v>598</v>
      </c>
      <c r="E19" s="989" t="s">
        <v>598</v>
      </c>
      <c r="F19" s="989" t="s">
        <v>598</v>
      </c>
      <c r="G19" s="989" t="s">
        <v>598</v>
      </c>
      <c r="H19" s="989" t="s">
        <v>598</v>
      </c>
      <c r="I19" s="849"/>
      <c r="J19" s="849"/>
      <c r="K19" s="849"/>
      <c r="L19" s="849"/>
      <c r="M19" s="849"/>
      <c r="N19" s="849"/>
      <c r="O19" s="849"/>
      <c r="P19" s="849"/>
      <c r="Q19" s="849"/>
      <c r="R19" s="849"/>
      <c r="S19" s="849"/>
      <c r="T19" s="849"/>
      <c r="U19" s="849"/>
      <c r="V19" s="849"/>
      <c r="W19" s="849"/>
      <c r="X19" s="849"/>
    </row>
    <row r="20" customFormat="false" ht="30.75" hidden="false" customHeight="true" outlineLevel="0" collapsed="false">
      <c r="A20" s="849"/>
      <c r="B20" s="1008"/>
      <c r="C20" s="989"/>
      <c r="D20" s="989"/>
      <c r="E20" s="989"/>
      <c r="F20" s="989"/>
      <c r="G20" s="989"/>
      <c r="H20" s="990"/>
      <c r="I20" s="849"/>
      <c r="J20" s="849"/>
      <c r="K20" s="849"/>
      <c r="L20" s="849"/>
      <c r="M20" s="849"/>
      <c r="N20" s="849"/>
      <c r="O20" s="849"/>
      <c r="P20" s="849"/>
      <c r="Q20" s="849"/>
      <c r="R20" s="849"/>
      <c r="S20" s="849"/>
      <c r="T20" s="849"/>
      <c r="U20" s="849"/>
      <c r="V20" s="849"/>
      <c r="W20" s="849"/>
      <c r="X20" s="849"/>
    </row>
    <row r="21" customFormat="false" ht="30.75" hidden="false" customHeight="true" outlineLevel="0" collapsed="false">
      <c r="A21" s="849"/>
      <c r="B21" s="981" t="n">
        <v>18</v>
      </c>
      <c r="C21" s="981" t="n">
        <v>19</v>
      </c>
      <c r="D21" s="981" t="n">
        <v>20</v>
      </c>
      <c r="E21" s="981" t="n">
        <v>21</v>
      </c>
      <c r="F21" s="981" t="n">
        <v>22</v>
      </c>
      <c r="G21" s="981" t="n">
        <v>23</v>
      </c>
      <c r="H21" s="998" t="n">
        <v>24</v>
      </c>
      <c r="I21" s="849"/>
      <c r="J21" s="849"/>
      <c r="K21" s="849"/>
      <c r="L21" s="849"/>
      <c r="M21" s="849"/>
      <c r="N21" s="849"/>
      <c r="O21" s="849"/>
      <c r="P21" s="849"/>
      <c r="Q21" s="849"/>
      <c r="R21" s="849"/>
      <c r="S21" s="849"/>
      <c r="T21" s="849"/>
      <c r="U21" s="849"/>
      <c r="V21" s="849"/>
      <c r="W21" s="849"/>
      <c r="X21" s="849"/>
    </row>
    <row r="22" customFormat="false" ht="30.75" hidden="false" customHeight="true" outlineLevel="0" collapsed="false">
      <c r="A22" s="849"/>
      <c r="B22" s="983" t="s">
        <v>506</v>
      </c>
      <c r="C22" s="983" t="s">
        <v>352</v>
      </c>
      <c r="D22" s="1005"/>
      <c r="E22" s="1005"/>
      <c r="F22" s="1005"/>
      <c r="G22" s="1005"/>
      <c r="H22" s="1006"/>
      <c r="I22" s="849"/>
      <c r="J22" s="849"/>
      <c r="K22" s="849"/>
      <c r="L22" s="849"/>
      <c r="M22" s="849"/>
      <c r="N22" s="849"/>
      <c r="O22" s="849"/>
      <c r="P22" s="849"/>
      <c r="Q22" s="849"/>
      <c r="R22" s="849"/>
      <c r="S22" s="849"/>
      <c r="T22" s="849"/>
      <c r="U22" s="849"/>
      <c r="V22" s="849"/>
      <c r="W22" s="849"/>
      <c r="X22" s="849"/>
    </row>
    <row r="23" customFormat="false" ht="30.75" hidden="false" customHeight="true" outlineLevel="0" collapsed="false">
      <c r="A23" s="849"/>
      <c r="B23" s="986" t="n">
        <v>0.75</v>
      </c>
      <c r="C23" s="986" t="n">
        <v>0.83</v>
      </c>
      <c r="D23" s="986" t="n">
        <v>0.9</v>
      </c>
      <c r="E23" s="986" t="n">
        <v>0.95</v>
      </c>
      <c r="F23" s="986" t="n">
        <v>0.98</v>
      </c>
      <c r="G23" s="986" t="n">
        <v>0.98</v>
      </c>
      <c r="H23" s="1000" t="n">
        <v>1</v>
      </c>
      <c r="I23" s="849"/>
      <c r="J23" s="849"/>
      <c r="K23" s="849"/>
      <c r="L23" s="849"/>
      <c r="M23" s="849"/>
      <c r="N23" s="849"/>
      <c r="O23" s="849"/>
      <c r="P23" s="849"/>
      <c r="Q23" s="849"/>
      <c r="R23" s="849"/>
      <c r="S23" s="849"/>
      <c r="T23" s="849"/>
      <c r="U23" s="849"/>
      <c r="V23" s="849"/>
      <c r="W23" s="849"/>
      <c r="X23" s="849"/>
    </row>
    <row r="24" customFormat="false" ht="30.75" hidden="false" customHeight="true" outlineLevel="0" collapsed="false">
      <c r="A24" s="849"/>
      <c r="B24" s="989" t="s">
        <v>62</v>
      </c>
      <c r="C24" s="988" t="s">
        <v>54</v>
      </c>
      <c r="D24" s="989"/>
      <c r="E24" s="988"/>
      <c r="F24" s="988"/>
      <c r="G24" s="988"/>
      <c r="H24" s="1001"/>
      <c r="I24" s="849"/>
      <c r="J24" s="849"/>
      <c r="K24" s="849"/>
      <c r="L24" s="849"/>
      <c r="M24" s="849"/>
      <c r="N24" s="849"/>
      <c r="O24" s="849"/>
      <c r="P24" s="849"/>
      <c r="Q24" s="849"/>
      <c r="R24" s="849"/>
      <c r="S24" s="849"/>
      <c r="T24" s="849"/>
      <c r="U24" s="849"/>
      <c r="V24" s="849"/>
      <c r="W24" s="849"/>
      <c r="X24" s="849"/>
    </row>
    <row r="25" customFormat="false" ht="30.75" hidden="false" customHeight="true" outlineLevel="0" collapsed="false">
      <c r="A25" s="849"/>
      <c r="B25" s="989" t="s">
        <v>598</v>
      </c>
      <c r="C25" s="989" t="s">
        <v>598</v>
      </c>
      <c r="D25" s="989" t="s">
        <v>598</v>
      </c>
      <c r="E25" s="989" t="s">
        <v>598</v>
      </c>
      <c r="F25" s="989" t="s">
        <v>598</v>
      </c>
      <c r="G25" s="989" t="s">
        <v>598</v>
      </c>
      <c r="H25" s="990" t="s">
        <v>598</v>
      </c>
      <c r="I25" s="849"/>
      <c r="J25" s="849"/>
      <c r="K25" s="849"/>
      <c r="L25" s="849"/>
      <c r="M25" s="849"/>
      <c r="N25" s="849"/>
      <c r="O25" s="849"/>
      <c r="P25" s="849"/>
      <c r="Q25" s="849"/>
      <c r="R25" s="849"/>
      <c r="S25" s="849"/>
      <c r="T25" s="849"/>
      <c r="U25" s="849"/>
      <c r="V25" s="849"/>
      <c r="W25" s="849"/>
      <c r="X25" s="849"/>
    </row>
    <row r="26" customFormat="false" ht="30.75" hidden="false" customHeight="true" outlineLevel="0" collapsed="false">
      <c r="A26" s="849"/>
      <c r="B26" s="994"/>
      <c r="C26" s="989"/>
      <c r="D26" s="989"/>
      <c r="E26" s="989"/>
      <c r="F26" s="989"/>
      <c r="G26" s="989"/>
      <c r="H26" s="990"/>
      <c r="I26" s="849"/>
      <c r="J26" s="849"/>
      <c r="K26" s="849"/>
      <c r="L26" s="849"/>
      <c r="M26" s="849"/>
      <c r="N26" s="849"/>
      <c r="O26" s="849"/>
      <c r="P26" s="849"/>
      <c r="Q26" s="849"/>
      <c r="R26" s="849"/>
      <c r="S26" s="849"/>
      <c r="T26" s="849"/>
      <c r="U26" s="849"/>
      <c r="V26" s="849"/>
      <c r="W26" s="849"/>
      <c r="X26" s="849"/>
    </row>
    <row r="27" customFormat="false" ht="30.75" hidden="false" customHeight="true" outlineLevel="0" collapsed="false">
      <c r="A27" s="849"/>
      <c r="B27" s="981" t="n">
        <v>25</v>
      </c>
      <c r="C27" s="981" t="n">
        <v>26</v>
      </c>
      <c r="D27" s="981" t="n">
        <v>27</v>
      </c>
      <c r="E27" s="981" t="n">
        <v>28</v>
      </c>
      <c r="F27" s="981" t="n">
        <v>29</v>
      </c>
      <c r="G27" s="981"/>
      <c r="H27" s="998"/>
      <c r="I27" s="849"/>
      <c r="J27" s="849"/>
      <c r="K27" s="849"/>
      <c r="L27" s="849"/>
      <c r="M27" s="849"/>
      <c r="N27" s="849"/>
      <c r="O27" s="849"/>
      <c r="P27" s="849"/>
      <c r="Q27" s="849"/>
      <c r="R27" s="849"/>
      <c r="S27" s="849"/>
      <c r="T27" s="849"/>
      <c r="U27" s="849"/>
      <c r="V27" s="849"/>
      <c r="W27" s="849"/>
      <c r="X27" s="849"/>
    </row>
    <row r="28" customFormat="false" ht="30.75" hidden="false" customHeight="true" outlineLevel="0" collapsed="false">
      <c r="A28" s="849"/>
      <c r="B28" s="1005"/>
      <c r="C28" s="983" t="s">
        <v>581</v>
      </c>
      <c r="D28" s="983" t="s">
        <v>62</v>
      </c>
      <c r="E28" s="983" t="s">
        <v>62</v>
      </c>
      <c r="F28" s="983" t="s">
        <v>209</v>
      </c>
      <c r="G28" s="983"/>
      <c r="H28" s="999"/>
      <c r="I28" s="849"/>
      <c r="J28" s="849"/>
      <c r="K28" s="849"/>
      <c r="L28" s="849"/>
      <c r="M28" s="849"/>
      <c r="N28" s="849"/>
      <c r="O28" s="849"/>
      <c r="P28" s="849"/>
      <c r="Q28" s="849"/>
      <c r="R28" s="849"/>
      <c r="S28" s="849"/>
      <c r="T28" s="849"/>
      <c r="U28" s="849"/>
      <c r="V28" s="849"/>
      <c r="W28" s="849"/>
      <c r="X28" s="849"/>
    </row>
    <row r="29" customFormat="false" ht="30.75" hidden="false" customHeight="true" outlineLevel="0" collapsed="false">
      <c r="A29" s="849"/>
      <c r="B29" s="986" t="n">
        <v>0.99</v>
      </c>
      <c r="C29" s="986" t="n">
        <v>0.97</v>
      </c>
      <c r="D29" s="986" t="n">
        <v>0.93</v>
      </c>
      <c r="E29" s="986" t="n">
        <v>0.87</v>
      </c>
      <c r="F29" s="986" t="n">
        <v>0.8</v>
      </c>
      <c r="G29" s="986"/>
      <c r="H29" s="1000"/>
      <c r="I29" s="849"/>
      <c r="J29" s="849"/>
      <c r="K29" s="849"/>
      <c r="L29" s="849"/>
      <c r="M29" s="849"/>
      <c r="N29" s="849"/>
      <c r="O29" s="849"/>
      <c r="P29" s="849"/>
      <c r="Q29" s="849"/>
      <c r="R29" s="849"/>
      <c r="S29" s="849"/>
      <c r="T29" s="849"/>
      <c r="U29" s="849"/>
      <c r="V29" s="849"/>
      <c r="W29" s="849"/>
      <c r="X29" s="849"/>
    </row>
    <row r="30" customFormat="false" ht="30.75" hidden="false" customHeight="true" outlineLevel="0" collapsed="false">
      <c r="A30" s="849"/>
      <c r="B30" s="988"/>
      <c r="C30" s="988" t="s">
        <v>180</v>
      </c>
      <c r="D30" s="988"/>
      <c r="E30" s="988"/>
      <c r="F30" s="988"/>
      <c r="G30" s="988"/>
      <c r="H30" s="1001"/>
      <c r="I30" s="849"/>
      <c r="J30" s="849"/>
      <c r="K30" s="849"/>
      <c r="L30" s="849"/>
      <c r="M30" s="849"/>
      <c r="N30" s="849"/>
      <c r="O30" s="849"/>
      <c r="P30" s="849"/>
      <c r="Q30" s="849"/>
      <c r="R30" s="849"/>
      <c r="S30" s="849"/>
      <c r="T30" s="849"/>
      <c r="U30" s="849"/>
      <c r="V30" s="849"/>
      <c r="W30" s="849"/>
      <c r="X30" s="849"/>
    </row>
    <row r="31" customFormat="false" ht="30.75" hidden="false" customHeight="true" outlineLevel="0" collapsed="false">
      <c r="A31" s="849"/>
      <c r="B31" s="989" t="s">
        <v>598</v>
      </c>
      <c r="C31" s="988" t="s">
        <v>599</v>
      </c>
      <c r="D31" s="988" t="s">
        <v>599</v>
      </c>
      <c r="E31" s="988" t="s">
        <v>599</v>
      </c>
      <c r="F31" s="988" t="s">
        <v>600</v>
      </c>
      <c r="G31" s="994"/>
      <c r="H31" s="1011"/>
      <c r="I31" s="849"/>
      <c r="J31" s="849"/>
      <c r="K31" s="849"/>
      <c r="L31" s="849"/>
      <c r="M31" s="849"/>
      <c r="N31" s="849"/>
      <c r="O31" s="849"/>
      <c r="P31" s="849"/>
      <c r="Q31" s="849"/>
      <c r="R31" s="849"/>
      <c r="S31" s="849"/>
      <c r="T31" s="849"/>
      <c r="U31" s="849"/>
      <c r="V31" s="849"/>
      <c r="W31" s="849"/>
      <c r="X31" s="849"/>
    </row>
    <row r="32" customFormat="false" ht="30.75" hidden="false" customHeight="true" outlineLevel="0" collapsed="false">
      <c r="A32" s="849"/>
      <c r="B32" s="994"/>
      <c r="C32" s="989"/>
      <c r="D32" s="989"/>
      <c r="E32" s="989"/>
      <c r="F32" s="989"/>
      <c r="G32" s="989"/>
      <c r="H32" s="990"/>
      <c r="I32" s="849"/>
      <c r="J32" s="849"/>
      <c r="K32" s="849"/>
      <c r="L32" s="849"/>
      <c r="M32" s="849"/>
      <c r="N32" s="849"/>
      <c r="O32" s="849"/>
      <c r="P32" s="849"/>
      <c r="Q32" s="849"/>
      <c r="R32" s="849"/>
      <c r="S32" s="849"/>
      <c r="T32" s="849"/>
      <c r="U32" s="849"/>
      <c r="V32" s="849"/>
      <c r="W32" s="849"/>
      <c r="X32" s="849"/>
    </row>
    <row r="33" customFormat="false" ht="30.75" hidden="false" customHeight="true" outlineLevel="0" collapsed="false">
      <c r="A33" s="849"/>
      <c r="B33" s="849"/>
      <c r="C33" s="849"/>
      <c r="D33" s="849"/>
      <c r="E33" s="849"/>
      <c r="F33" s="849"/>
      <c r="G33" s="849"/>
      <c r="H33" s="849"/>
      <c r="I33" s="849"/>
      <c r="J33" s="849"/>
      <c r="K33" s="849"/>
      <c r="L33" s="849"/>
      <c r="M33" s="849"/>
      <c r="N33" s="849"/>
      <c r="O33" s="849"/>
      <c r="P33" s="849"/>
      <c r="Q33" s="849"/>
      <c r="R33" s="849"/>
      <c r="S33" s="849"/>
    </row>
    <row r="34" customFormat="false" ht="30.75" hidden="false" customHeight="true" outlineLevel="0" collapsed="false">
      <c r="A34" s="849"/>
      <c r="B34" s="849"/>
      <c r="C34" s="849"/>
      <c r="D34" s="849"/>
      <c r="E34" s="849"/>
      <c r="F34" s="849"/>
      <c r="G34" s="849"/>
      <c r="H34" s="849"/>
      <c r="I34" s="849"/>
      <c r="J34" s="849"/>
      <c r="K34" s="849"/>
      <c r="L34" s="849"/>
      <c r="M34" s="849"/>
      <c r="N34" s="849"/>
      <c r="O34" s="849"/>
      <c r="P34" s="849"/>
      <c r="Q34" s="849"/>
      <c r="R34" s="849"/>
      <c r="S34" s="849"/>
      <c r="T34" s="849"/>
      <c r="U34" s="849"/>
      <c r="V34" s="849"/>
    </row>
    <row r="35" customFormat="false" ht="30.75" hidden="false" customHeight="true" outlineLevel="0" collapsed="false">
      <c r="A35" s="849"/>
      <c r="B35" s="849"/>
      <c r="C35" s="849"/>
      <c r="D35" s="849"/>
      <c r="E35" s="849"/>
      <c r="F35" s="849"/>
      <c r="G35" s="849"/>
      <c r="H35" s="849"/>
      <c r="I35" s="849"/>
      <c r="J35" s="849"/>
      <c r="K35" s="849"/>
      <c r="L35" s="849"/>
      <c r="M35" s="849"/>
      <c r="N35" s="849"/>
      <c r="O35" s="849"/>
      <c r="P35" s="849"/>
      <c r="Q35" s="849"/>
      <c r="R35" s="849"/>
      <c r="S35" s="849"/>
      <c r="T35" s="849"/>
      <c r="U35" s="849"/>
      <c r="V35" s="849"/>
    </row>
    <row r="36" customFormat="false" ht="30.75" hidden="false" customHeight="true" outlineLevel="0" collapsed="false">
      <c r="A36" s="849"/>
      <c r="B36" s="849"/>
      <c r="C36" s="849"/>
      <c r="D36" s="849"/>
      <c r="E36" s="849"/>
      <c r="F36" s="849"/>
      <c r="G36" s="849"/>
      <c r="H36" s="849"/>
      <c r="I36" s="849"/>
      <c r="J36" s="849"/>
      <c r="K36" s="849"/>
      <c r="L36" s="849"/>
      <c r="M36" s="849"/>
      <c r="N36" s="849"/>
      <c r="O36" s="849"/>
      <c r="P36" s="849"/>
      <c r="Q36" s="849"/>
      <c r="R36" s="849"/>
      <c r="S36" s="849"/>
      <c r="T36" s="849"/>
      <c r="U36" s="849"/>
      <c r="V36" s="849"/>
    </row>
    <row r="37" customFormat="false" ht="30.75" hidden="false" customHeight="true" outlineLevel="0" collapsed="false">
      <c r="A37" s="849"/>
      <c r="B37" s="849"/>
      <c r="C37" s="849"/>
      <c r="D37" s="849"/>
      <c r="E37" s="849"/>
      <c r="F37" s="849"/>
      <c r="G37" s="849"/>
      <c r="H37" s="849"/>
      <c r="I37" s="849"/>
      <c r="J37" s="849"/>
      <c r="K37" s="849"/>
      <c r="L37" s="849"/>
      <c r="M37" s="849"/>
      <c r="N37" s="849"/>
      <c r="O37" s="849"/>
      <c r="P37" s="849"/>
      <c r="Q37" s="849"/>
      <c r="R37" s="849"/>
      <c r="S37" s="849"/>
      <c r="T37" s="849"/>
      <c r="U37" s="849"/>
      <c r="V37" s="849"/>
    </row>
    <row r="38" customFormat="false" ht="30.75" hidden="false" customHeight="true" outlineLevel="0" collapsed="false">
      <c r="A38" s="849"/>
      <c r="B38" s="849"/>
      <c r="C38" s="849"/>
      <c r="D38" s="849"/>
      <c r="E38" s="849"/>
      <c r="F38" s="849"/>
      <c r="G38" s="849"/>
      <c r="H38" s="849"/>
      <c r="I38" s="849"/>
      <c r="J38" s="849"/>
      <c r="K38" s="849"/>
      <c r="L38" s="849"/>
      <c r="M38" s="849"/>
      <c r="N38" s="849"/>
      <c r="O38" s="849"/>
      <c r="P38" s="849"/>
      <c r="Q38" s="849"/>
      <c r="R38" s="849"/>
      <c r="S38" s="849"/>
      <c r="T38" s="849"/>
      <c r="U38" s="849"/>
      <c r="V38" s="849"/>
    </row>
    <row r="39" customFormat="false" ht="30.75" hidden="false" customHeight="true" outlineLevel="0" collapsed="false">
      <c r="A39" s="849"/>
      <c r="B39" s="849"/>
      <c r="C39" s="849"/>
      <c r="D39" s="849"/>
      <c r="E39" s="849"/>
      <c r="F39" s="849"/>
      <c r="G39" s="849"/>
      <c r="H39" s="849"/>
      <c r="I39" s="849"/>
      <c r="J39" s="849"/>
      <c r="K39" s="849"/>
      <c r="L39" s="849"/>
      <c r="M39" s="849"/>
      <c r="N39" s="849"/>
      <c r="O39" s="849"/>
      <c r="P39" s="849"/>
      <c r="Q39" s="849"/>
      <c r="R39" s="849"/>
      <c r="S39" s="849"/>
      <c r="T39" s="849"/>
      <c r="U39" s="849"/>
      <c r="V39" s="849"/>
    </row>
    <row r="40" customFormat="false" ht="30.75" hidden="false" customHeight="true" outlineLevel="0" collapsed="false">
      <c r="A40" s="849"/>
      <c r="B40" s="849"/>
      <c r="C40" s="849"/>
      <c r="D40" s="849"/>
      <c r="E40" s="849"/>
      <c r="F40" s="849"/>
      <c r="G40" s="849"/>
      <c r="H40" s="849"/>
      <c r="I40" s="849"/>
      <c r="J40" s="849"/>
      <c r="K40" s="849"/>
      <c r="L40" s="849"/>
      <c r="M40" s="849"/>
      <c r="N40" s="849"/>
      <c r="O40" s="849"/>
      <c r="P40" s="849"/>
      <c r="Q40" s="849"/>
      <c r="R40" s="849"/>
      <c r="S40" s="849"/>
      <c r="T40" s="849"/>
      <c r="U40" s="849"/>
      <c r="V40" s="849"/>
    </row>
    <row r="41" customFormat="false" ht="30.75" hidden="false" customHeight="true" outlineLevel="0" collapsed="false">
      <c r="A41" s="849"/>
      <c r="B41" s="849"/>
      <c r="C41" s="849"/>
      <c r="D41" s="849"/>
      <c r="E41" s="849"/>
      <c r="F41" s="849"/>
      <c r="G41" s="849"/>
      <c r="H41" s="849"/>
      <c r="I41" s="849"/>
      <c r="J41" s="849"/>
      <c r="K41" s="849"/>
      <c r="L41" s="849"/>
      <c r="M41" s="849"/>
      <c r="N41" s="849"/>
      <c r="O41" s="849"/>
      <c r="P41" s="849"/>
      <c r="Q41" s="849"/>
      <c r="R41" s="849"/>
      <c r="S41" s="849"/>
      <c r="T41" s="849"/>
      <c r="U41" s="849"/>
      <c r="V41" s="849"/>
    </row>
    <row r="42" customFormat="false" ht="30.75" hidden="false" customHeight="true" outlineLevel="0" collapsed="false">
      <c r="A42" s="849"/>
      <c r="B42" s="849"/>
      <c r="C42" s="849"/>
      <c r="D42" s="849"/>
      <c r="E42" s="849"/>
      <c r="F42" s="849"/>
      <c r="G42" s="849"/>
      <c r="H42" s="849"/>
      <c r="I42" s="849"/>
      <c r="J42" s="849"/>
      <c r="K42" s="849"/>
      <c r="L42" s="849"/>
      <c r="M42" s="849"/>
      <c r="N42" s="849"/>
      <c r="O42" s="849"/>
      <c r="P42" s="849"/>
      <c r="Q42" s="849"/>
      <c r="R42" s="849"/>
      <c r="S42" s="849"/>
      <c r="T42" s="849"/>
      <c r="U42" s="849"/>
      <c r="V42" s="849"/>
    </row>
    <row r="43" customFormat="false" ht="30.75" hidden="false" customHeight="true" outlineLevel="0" collapsed="false">
      <c r="A43" s="849"/>
      <c r="B43" s="849"/>
      <c r="C43" s="849"/>
      <c r="D43" s="849"/>
      <c r="E43" s="849"/>
      <c r="F43" s="849"/>
      <c r="G43" s="849"/>
      <c r="H43" s="849"/>
      <c r="I43" s="849"/>
      <c r="J43" s="849"/>
      <c r="K43" s="849"/>
      <c r="L43" s="849"/>
      <c r="M43" s="849"/>
      <c r="N43" s="849"/>
      <c r="O43" s="849"/>
      <c r="P43" s="849"/>
      <c r="Q43" s="849"/>
      <c r="R43" s="849"/>
      <c r="S43" s="849"/>
      <c r="T43" s="849"/>
      <c r="U43" s="849"/>
      <c r="V43" s="849"/>
    </row>
    <row r="44" customFormat="false" ht="30.75" hidden="false" customHeight="true" outlineLevel="0" collapsed="false">
      <c r="A44" s="849"/>
      <c r="B44" s="849"/>
      <c r="C44" s="849"/>
      <c r="D44" s="849"/>
      <c r="E44" s="849"/>
      <c r="F44" s="849"/>
      <c r="G44" s="849"/>
      <c r="H44" s="849"/>
      <c r="I44" s="849"/>
      <c r="J44" s="849"/>
      <c r="K44" s="849"/>
      <c r="L44" s="849"/>
      <c r="M44" s="849"/>
      <c r="N44" s="849"/>
      <c r="O44" s="849"/>
      <c r="P44" s="849"/>
      <c r="Q44" s="849"/>
      <c r="R44" s="849"/>
      <c r="S44" s="849"/>
      <c r="T44" s="849"/>
      <c r="U44" s="849"/>
      <c r="V44" s="849"/>
    </row>
    <row r="45" customFormat="false" ht="30.75" hidden="false" customHeight="true" outlineLevel="0" collapsed="false">
      <c r="A45" s="849"/>
      <c r="B45" s="849"/>
      <c r="C45" s="849"/>
      <c r="D45" s="849"/>
      <c r="E45" s="849"/>
      <c r="F45" s="849"/>
      <c r="G45" s="849"/>
      <c r="H45" s="849"/>
      <c r="I45" s="849"/>
      <c r="J45" s="849"/>
      <c r="K45" s="849"/>
      <c r="L45" s="849"/>
      <c r="M45" s="849"/>
      <c r="N45" s="849"/>
      <c r="O45" s="849"/>
      <c r="P45" s="849"/>
      <c r="Q45" s="849"/>
      <c r="R45" s="849"/>
      <c r="S45" s="849"/>
      <c r="T45" s="849"/>
      <c r="U45" s="849"/>
      <c r="V45" s="849"/>
    </row>
    <row r="46" customFormat="false" ht="30.75" hidden="false" customHeight="true" outlineLevel="0" collapsed="false">
      <c r="A46" s="849"/>
      <c r="B46" s="849"/>
      <c r="C46" s="849"/>
      <c r="D46" s="849"/>
      <c r="E46" s="849"/>
      <c r="F46" s="849"/>
      <c r="G46" s="849"/>
      <c r="H46" s="849"/>
      <c r="I46" s="849"/>
      <c r="J46" s="849"/>
      <c r="K46" s="849"/>
      <c r="L46" s="849"/>
      <c r="M46" s="849"/>
      <c r="N46" s="849"/>
      <c r="O46" s="849"/>
      <c r="P46" s="849"/>
      <c r="Q46" s="849"/>
      <c r="R46" s="849"/>
      <c r="S46" s="849"/>
      <c r="T46" s="849"/>
      <c r="U46" s="849"/>
      <c r="V46" s="849"/>
    </row>
    <row r="47" customFormat="false" ht="30.75" hidden="false" customHeight="true" outlineLevel="0" collapsed="false">
      <c r="A47" s="849"/>
      <c r="B47" s="849"/>
      <c r="C47" s="849"/>
      <c r="D47" s="849"/>
      <c r="E47" s="849"/>
      <c r="F47" s="849"/>
      <c r="G47" s="849"/>
      <c r="H47" s="849"/>
      <c r="I47" s="849"/>
      <c r="J47" s="849"/>
      <c r="K47" s="849"/>
      <c r="L47" s="849"/>
      <c r="M47" s="849"/>
      <c r="N47" s="849"/>
      <c r="O47" s="849"/>
      <c r="P47" s="849"/>
      <c r="Q47" s="849"/>
      <c r="R47" s="849"/>
      <c r="S47" s="849"/>
      <c r="T47" s="849"/>
      <c r="U47" s="849"/>
      <c r="V47" s="849"/>
    </row>
    <row r="48" customFormat="false" ht="30.75" hidden="false" customHeight="true" outlineLevel="0" collapsed="false">
      <c r="A48" s="849"/>
      <c r="B48" s="849"/>
      <c r="C48" s="849"/>
      <c r="D48" s="849"/>
      <c r="E48" s="849"/>
      <c r="F48" s="849"/>
      <c r="G48" s="849"/>
      <c r="H48" s="849"/>
      <c r="I48" s="849"/>
      <c r="J48" s="849"/>
      <c r="K48" s="849"/>
      <c r="L48" s="849"/>
      <c r="M48" s="849"/>
      <c r="N48" s="849"/>
      <c r="O48" s="849"/>
      <c r="P48" s="849"/>
      <c r="Q48" s="849"/>
      <c r="R48" s="849"/>
      <c r="S48" s="849"/>
      <c r="T48" s="849"/>
      <c r="U48" s="849"/>
      <c r="V48" s="849"/>
    </row>
    <row r="49" customFormat="false" ht="30.75" hidden="false" customHeight="true" outlineLevel="0" collapsed="false">
      <c r="A49" s="849"/>
      <c r="B49" s="849"/>
      <c r="C49" s="849"/>
      <c r="D49" s="849"/>
      <c r="E49" s="849"/>
      <c r="F49" s="849"/>
      <c r="G49" s="849"/>
      <c r="H49" s="849"/>
      <c r="I49" s="849"/>
      <c r="J49" s="849"/>
      <c r="K49" s="849"/>
      <c r="L49" s="849"/>
      <c r="M49" s="849"/>
      <c r="N49" s="849"/>
      <c r="O49" s="849"/>
      <c r="P49" s="849"/>
      <c r="Q49" s="849"/>
      <c r="R49" s="849"/>
      <c r="S49" s="849"/>
      <c r="T49" s="849"/>
      <c r="U49" s="849"/>
      <c r="V49" s="849"/>
    </row>
    <row r="50" customFormat="false" ht="30.75" hidden="false" customHeight="true" outlineLevel="0" collapsed="false">
      <c r="A50" s="849"/>
      <c r="B50" s="849"/>
      <c r="C50" s="849"/>
      <c r="D50" s="849"/>
      <c r="E50" s="849"/>
      <c r="F50" s="849"/>
      <c r="G50" s="849"/>
      <c r="H50" s="849"/>
      <c r="I50" s="849"/>
      <c r="J50" s="849"/>
      <c r="K50" s="849"/>
      <c r="L50" s="849"/>
      <c r="M50" s="849"/>
      <c r="N50" s="849"/>
      <c r="O50" s="849"/>
      <c r="P50" s="849"/>
      <c r="Q50" s="849"/>
      <c r="R50" s="849"/>
      <c r="S50" s="849"/>
      <c r="T50" s="849"/>
      <c r="U50" s="849"/>
      <c r="V50" s="849"/>
    </row>
    <row r="51" customFormat="false" ht="30.75" hidden="false" customHeight="true" outlineLevel="0" collapsed="false">
      <c r="A51" s="849"/>
      <c r="B51" s="849"/>
      <c r="C51" s="849"/>
      <c r="D51" s="849"/>
      <c r="E51" s="849"/>
      <c r="F51" s="849"/>
      <c r="G51" s="849"/>
      <c r="H51" s="849"/>
      <c r="I51" s="849"/>
      <c r="J51" s="849"/>
      <c r="K51" s="849"/>
      <c r="L51" s="849"/>
      <c r="M51" s="849"/>
      <c r="N51" s="849"/>
      <c r="O51" s="849"/>
      <c r="P51" s="849"/>
      <c r="Q51" s="849"/>
      <c r="R51" s="849"/>
      <c r="S51" s="849"/>
      <c r="T51" s="849"/>
      <c r="U51" s="849"/>
      <c r="V51" s="849"/>
    </row>
    <row r="52" customFormat="false" ht="30.75" hidden="false" customHeight="true" outlineLevel="0" collapsed="false">
      <c r="A52" s="849"/>
      <c r="B52" s="849"/>
      <c r="C52" s="849"/>
      <c r="D52" s="849"/>
      <c r="E52" s="849"/>
      <c r="F52" s="849"/>
      <c r="G52" s="849"/>
      <c r="H52" s="849"/>
      <c r="I52" s="849"/>
      <c r="J52" s="849"/>
      <c r="K52" s="849"/>
      <c r="L52" s="849"/>
      <c r="M52" s="849"/>
      <c r="N52" s="849"/>
      <c r="O52" s="849"/>
      <c r="P52" s="849"/>
      <c r="Q52" s="849"/>
      <c r="R52" s="849"/>
      <c r="S52" s="849"/>
      <c r="T52" s="849"/>
      <c r="U52" s="849"/>
    </row>
    <row r="53" customFormat="false" ht="30.75" hidden="false" customHeight="true" outlineLevel="0" collapsed="false">
      <c r="A53" s="849"/>
      <c r="B53" s="849"/>
      <c r="C53" s="849"/>
      <c r="D53" s="849"/>
      <c r="E53" s="849"/>
      <c r="F53" s="849"/>
      <c r="G53" s="849"/>
      <c r="H53" s="849"/>
      <c r="I53" s="849"/>
      <c r="J53" s="849"/>
      <c r="K53" s="849"/>
      <c r="L53" s="849"/>
      <c r="M53" s="849"/>
      <c r="N53" s="849"/>
      <c r="O53" s="849"/>
      <c r="P53" s="849"/>
      <c r="Q53" s="849"/>
      <c r="R53" s="849"/>
      <c r="S53" s="849"/>
      <c r="T53" s="849"/>
      <c r="U53" s="849"/>
    </row>
    <row r="54" customFormat="false" ht="30.75" hidden="false" customHeight="true" outlineLevel="0" collapsed="false">
      <c r="A54" s="849"/>
      <c r="B54" s="849"/>
      <c r="C54" s="849"/>
      <c r="D54" s="849"/>
      <c r="E54" s="849"/>
      <c r="F54" s="849"/>
      <c r="G54" s="849"/>
      <c r="H54" s="849"/>
      <c r="I54" s="849"/>
      <c r="J54" s="849"/>
      <c r="K54" s="849"/>
      <c r="L54" s="849"/>
      <c r="M54" s="849"/>
      <c r="N54" s="849"/>
      <c r="O54" s="849"/>
      <c r="P54" s="849"/>
      <c r="Q54" s="849"/>
      <c r="R54" s="849"/>
      <c r="S54" s="849"/>
      <c r="T54" s="849"/>
      <c r="U54" s="849"/>
    </row>
    <row r="55" customFormat="false" ht="30.75" hidden="false" customHeight="true" outlineLevel="0" collapsed="false">
      <c r="A55" s="849"/>
      <c r="B55" s="849"/>
      <c r="C55" s="849"/>
      <c r="D55" s="849"/>
      <c r="E55" s="849"/>
      <c r="F55" s="849"/>
      <c r="G55" s="849"/>
      <c r="H55" s="849"/>
      <c r="I55" s="849"/>
      <c r="J55" s="849"/>
      <c r="K55" s="849"/>
      <c r="L55" s="849"/>
      <c r="M55" s="849"/>
      <c r="N55" s="849"/>
      <c r="O55" s="849"/>
      <c r="P55" s="849"/>
      <c r="Q55" s="849"/>
      <c r="R55" s="849"/>
      <c r="S55" s="849"/>
      <c r="T55" s="849"/>
      <c r="U55" s="849"/>
    </row>
    <row r="56" customFormat="false" ht="30.75" hidden="false" customHeight="true" outlineLevel="0" collapsed="false">
      <c r="A56" s="849"/>
      <c r="B56" s="849"/>
      <c r="C56" s="849"/>
      <c r="D56" s="849"/>
      <c r="E56" s="849"/>
      <c r="F56" s="849"/>
      <c r="G56" s="849"/>
      <c r="H56" s="849"/>
      <c r="I56" s="849"/>
      <c r="J56" s="849"/>
      <c r="K56" s="849"/>
      <c r="L56" s="849"/>
      <c r="M56" s="849"/>
      <c r="N56" s="849"/>
      <c r="O56" s="849"/>
      <c r="P56" s="849"/>
      <c r="Q56" s="849"/>
      <c r="R56" s="849"/>
      <c r="S56" s="849"/>
      <c r="T56" s="849"/>
      <c r="U56" s="849"/>
    </row>
    <row r="57" customFormat="false" ht="30.75" hidden="false" customHeight="true" outlineLevel="0" collapsed="false">
      <c r="A57" s="849"/>
      <c r="B57" s="849"/>
      <c r="C57" s="849"/>
      <c r="D57" s="849"/>
      <c r="E57" s="849"/>
      <c r="F57" s="849"/>
      <c r="G57" s="849"/>
      <c r="H57" s="849"/>
      <c r="I57" s="849"/>
      <c r="J57" s="849"/>
      <c r="K57" s="849"/>
      <c r="L57" s="849"/>
      <c r="M57" s="849"/>
      <c r="N57" s="849"/>
      <c r="O57" s="849"/>
      <c r="P57" s="849"/>
      <c r="Q57" s="849"/>
      <c r="R57" s="849"/>
      <c r="S57" s="849"/>
      <c r="T57" s="849"/>
      <c r="U57" s="849"/>
    </row>
    <row r="58" customFormat="false" ht="30.75" hidden="false" customHeight="true" outlineLevel="0" collapsed="false">
      <c r="A58" s="849"/>
      <c r="B58" s="849"/>
      <c r="C58" s="849"/>
      <c r="D58" s="849"/>
      <c r="E58" s="849"/>
      <c r="F58" s="849"/>
      <c r="G58" s="849"/>
      <c r="H58" s="849"/>
      <c r="I58" s="849"/>
      <c r="J58" s="849"/>
      <c r="K58" s="849"/>
      <c r="L58" s="849"/>
      <c r="M58" s="849"/>
      <c r="N58" s="849"/>
      <c r="O58" s="849"/>
      <c r="P58" s="849"/>
      <c r="Q58" s="849"/>
      <c r="R58" s="849"/>
      <c r="S58" s="849"/>
      <c r="T58" s="849"/>
      <c r="U58" s="849"/>
    </row>
    <row r="59" customFormat="false" ht="30.75" hidden="false" customHeight="true" outlineLevel="0" collapsed="false">
      <c r="A59" s="849"/>
      <c r="B59" s="849"/>
      <c r="C59" s="849"/>
      <c r="D59" s="849"/>
      <c r="E59" s="849"/>
      <c r="F59" s="849"/>
      <c r="G59" s="849"/>
      <c r="H59" s="849"/>
      <c r="I59" s="849"/>
      <c r="J59" s="849"/>
      <c r="K59" s="849"/>
      <c r="L59" s="849"/>
      <c r="M59" s="849"/>
      <c r="N59" s="849"/>
      <c r="O59" s="849"/>
      <c r="P59" s="849"/>
      <c r="Q59" s="849"/>
      <c r="R59" s="849"/>
      <c r="S59" s="849"/>
      <c r="T59" s="849"/>
      <c r="U59" s="849"/>
    </row>
    <row r="60" customFormat="false" ht="30.75" hidden="false" customHeight="true" outlineLevel="0" collapsed="false">
      <c r="A60" s="849"/>
      <c r="B60" s="849"/>
      <c r="C60" s="849"/>
      <c r="D60" s="849"/>
      <c r="E60" s="849"/>
      <c r="F60" s="849"/>
      <c r="G60" s="849"/>
      <c r="H60" s="849"/>
      <c r="I60" s="849"/>
      <c r="J60" s="849"/>
      <c r="K60" s="849"/>
      <c r="L60" s="849"/>
      <c r="M60" s="849"/>
      <c r="N60" s="849"/>
      <c r="O60" s="849"/>
      <c r="P60" s="849"/>
      <c r="Q60" s="849"/>
      <c r="R60" s="849"/>
      <c r="S60" s="849"/>
      <c r="T60" s="849"/>
      <c r="U60" s="849"/>
    </row>
    <row r="61" customFormat="false" ht="30.75" hidden="false" customHeight="true" outlineLevel="0" collapsed="false">
      <c r="A61" s="849"/>
      <c r="B61" s="849"/>
      <c r="C61" s="849"/>
      <c r="D61" s="849"/>
      <c r="E61" s="849"/>
      <c r="F61" s="849"/>
      <c r="G61" s="849"/>
      <c r="H61" s="849"/>
      <c r="I61" s="849"/>
      <c r="J61" s="849"/>
      <c r="K61" s="849"/>
      <c r="L61" s="849"/>
      <c r="M61" s="849"/>
      <c r="N61" s="849"/>
      <c r="O61" s="849"/>
      <c r="P61" s="849"/>
      <c r="Q61" s="849"/>
      <c r="R61" s="849"/>
      <c r="S61" s="849"/>
      <c r="T61" s="849"/>
      <c r="U61" s="849"/>
    </row>
    <row r="62" customFormat="false" ht="30.75" hidden="false" customHeight="true" outlineLevel="0" collapsed="false">
      <c r="A62" s="849"/>
      <c r="B62" s="849"/>
      <c r="C62" s="849"/>
      <c r="D62" s="849"/>
      <c r="E62" s="849"/>
      <c r="F62" s="849"/>
      <c r="G62" s="849"/>
      <c r="H62" s="849"/>
      <c r="I62" s="849"/>
      <c r="J62" s="849"/>
      <c r="K62" s="849"/>
      <c r="L62" s="849"/>
      <c r="M62" s="849"/>
      <c r="N62" s="849"/>
      <c r="O62" s="849"/>
      <c r="P62" s="849"/>
      <c r="Q62" s="849"/>
      <c r="R62" s="849"/>
      <c r="S62" s="849"/>
      <c r="T62" s="849"/>
      <c r="U62" s="849"/>
    </row>
    <row r="63" customFormat="false" ht="30.75" hidden="false" customHeight="true" outlineLevel="0" collapsed="false">
      <c r="B63" s="849"/>
      <c r="C63" s="849"/>
      <c r="D63" s="849"/>
      <c r="E63" s="849"/>
      <c r="F63" s="849"/>
      <c r="G63" s="849"/>
      <c r="H63" s="849"/>
    </row>
    <row r="64" customFormat="false" ht="30.75" hidden="false" customHeight="true" outlineLevel="0" collapsed="false">
      <c r="B64" s="849"/>
      <c r="C64" s="849"/>
      <c r="D64" s="849"/>
      <c r="E64" s="849"/>
      <c r="F64" s="849"/>
      <c r="G64" s="849"/>
      <c r="H64" s="849"/>
    </row>
    <row r="65" customFormat="false" ht="30.75" hidden="false" customHeight="true" outlineLevel="0" collapsed="false">
      <c r="B65" s="849"/>
      <c r="C65" s="849"/>
      <c r="D65" s="849"/>
      <c r="E65" s="849"/>
      <c r="F65" s="849"/>
      <c r="G65" s="849"/>
      <c r="H65" s="849"/>
    </row>
    <row r="66" customFormat="false" ht="30.75" hidden="false" customHeight="true" outlineLevel="0" collapsed="false">
      <c r="B66" s="849"/>
      <c r="C66" s="849"/>
      <c r="D66" s="849"/>
      <c r="E66" s="849"/>
      <c r="F66" s="849"/>
      <c r="G66" s="849"/>
      <c r="H66" s="849"/>
    </row>
    <row r="67" customFormat="false" ht="30.75" hidden="false" customHeight="true" outlineLevel="0" collapsed="false">
      <c r="B67" s="849"/>
      <c r="C67" s="849"/>
      <c r="D67" s="849"/>
      <c r="E67" s="849"/>
      <c r="F67" s="849"/>
      <c r="G67" s="849"/>
      <c r="H67" s="849"/>
    </row>
    <row r="68" customFormat="false" ht="30.75" hidden="false" customHeight="true" outlineLevel="0" collapsed="false">
      <c r="B68" s="849"/>
      <c r="C68" s="849"/>
      <c r="D68" s="849"/>
      <c r="E68" s="849"/>
      <c r="F68" s="849"/>
      <c r="G68" s="849"/>
      <c r="H68" s="84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8"/>
  <sheetViews>
    <sheetView showFormulas="false" showGridLines="false" showRowColHeaders="true" showZeros="true" rightToLeft="false" tabSelected="false" showOutlineSymbols="true" defaultGridColor="true" view="normal" topLeftCell="A16" colorId="64" zoomScale="140" zoomScaleNormal="140" zoomScalePageLayoutView="100" workbookViewId="0">
      <selection pane="topLeft" activeCell="H19" activeCellId="0" sqref="H19"/>
    </sheetView>
  </sheetViews>
  <sheetFormatPr defaultColWidth="19.859375" defaultRowHeight="30.75" zeroHeight="false" outlineLevelRow="0" outlineLevelCol="0"/>
  <cols>
    <col collapsed="false" customWidth="false" hidden="false" outlineLevel="0" max="16384" min="1" style="958" width="19.86"/>
  </cols>
  <sheetData>
    <row r="1" customFormat="false" ht="30.75" hidden="false" customHeight="true" outlineLevel="0" collapsed="false">
      <c r="A1" s="849"/>
      <c r="B1" s="977" t="s">
        <v>315</v>
      </c>
      <c r="C1" s="849"/>
      <c r="D1" s="849"/>
      <c r="E1" s="849"/>
      <c r="F1" s="849"/>
      <c r="G1" s="849"/>
      <c r="H1" s="849"/>
      <c r="I1" s="849"/>
      <c r="J1" s="849"/>
      <c r="K1" s="849"/>
      <c r="L1" s="849"/>
      <c r="M1" s="849"/>
      <c r="N1" s="849"/>
      <c r="O1" s="849"/>
      <c r="P1" s="849"/>
      <c r="Q1" s="849"/>
      <c r="R1" s="849"/>
      <c r="S1" s="849"/>
      <c r="T1" s="849"/>
      <c r="U1" s="849"/>
      <c r="V1" s="849"/>
      <c r="W1" s="849"/>
      <c r="X1" s="849"/>
      <c r="Y1" s="849"/>
      <c r="Z1" s="849"/>
      <c r="AA1" s="849"/>
      <c r="AB1" s="849"/>
      <c r="AC1" s="849"/>
      <c r="AD1" s="849"/>
      <c r="AE1" s="849"/>
      <c r="AF1" s="849"/>
      <c r="AG1" s="849"/>
    </row>
    <row r="2" customFormat="false" ht="30.75" hidden="false" customHeight="true" outlineLevel="0" collapsed="false">
      <c r="A2" s="1018"/>
      <c r="B2" s="979" t="s">
        <v>6</v>
      </c>
      <c r="C2" s="979" t="s">
        <v>7</v>
      </c>
      <c r="D2" s="979" t="s">
        <v>8</v>
      </c>
      <c r="E2" s="979" t="s">
        <v>9</v>
      </c>
      <c r="F2" s="979" t="s">
        <v>8</v>
      </c>
      <c r="G2" s="979" t="s">
        <v>11</v>
      </c>
      <c r="H2" s="980" t="s">
        <v>6</v>
      </c>
      <c r="I2" s="849"/>
      <c r="J2" s="849"/>
      <c r="K2" s="849"/>
      <c r="L2" s="849"/>
      <c r="M2" s="849"/>
      <c r="N2" s="849"/>
      <c r="O2" s="849"/>
      <c r="P2" s="849"/>
      <c r="Q2" s="849"/>
      <c r="R2" s="849"/>
      <c r="S2" s="849"/>
      <c r="T2" s="849"/>
      <c r="U2" s="849"/>
      <c r="V2" s="849"/>
      <c r="W2" s="849"/>
      <c r="X2" s="849"/>
      <c r="Y2" s="849"/>
      <c r="Z2" s="849"/>
      <c r="AA2" s="849"/>
      <c r="AB2" s="849"/>
      <c r="AC2" s="849"/>
      <c r="AD2" s="849"/>
      <c r="AE2" s="849"/>
      <c r="AF2" s="849"/>
      <c r="AG2" s="849"/>
    </row>
    <row r="3" customFormat="false" ht="30.75" hidden="false" customHeight="true" outlineLevel="0" collapsed="false">
      <c r="A3" s="849"/>
      <c r="B3" s="981"/>
      <c r="C3" s="981" t="n">
        <v>1</v>
      </c>
      <c r="D3" s="981" t="n">
        <v>2</v>
      </c>
      <c r="E3" s="981" t="n">
        <v>3</v>
      </c>
      <c r="F3" s="981" t="n">
        <v>4</v>
      </c>
      <c r="G3" s="981" t="n">
        <v>5</v>
      </c>
      <c r="H3" s="981" t="n">
        <v>6</v>
      </c>
      <c r="I3" s="982" t="s">
        <v>14</v>
      </c>
      <c r="J3" s="849"/>
      <c r="K3" s="849"/>
      <c r="L3" s="849"/>
      <c r="M3" s="849"/>
      <c r="N3" s="849"/>
      <c r="O3" s="849"/>
      <c r="P3" s="849"/>
      <c r="Q3" s="849"/>
      <c r="R3" s="849"/>
      <c r="S3" s="849"/>
      <c r="T3" s="849"/>
      <c r="U3" s="849"/>
      <c r="V3" s="849"/>
      <c r="W3" s="849"/>
      <c r="X3" s="849"/>
      <c r="Y3" s="849"/>
      <c r="Z3" s="849"/>
      <c r="AA3" s="849"/>
      <c r="AB3" s="849"/>
      <c r="AC3" s="849"/>
      <c r="AD3" s="849"/>
      <c r="AE3" s="849"/>
      <c r="AF3" s="849"/>
      <c r="AG3" s="849"/>
    </row>
    <row r="4" customFormat="false" ht="30.75" hidden="false" customHeight="true" outlineLevel="0" collapsed="false">
      <c r="A4" s="849"/>
      <c r="B4" s="983"/>
      <c r="C4" s="983" t="s">
        <v>601</v>
      </c>
      <c r="D4" s="983" t="s">
        <v>359</v>
      </c>
      <c r="E4" s="983" t="s">
        <v>352</v>
      </c>
      <c r="F4" s="983" t="s">
        <v>359</v>
      </c>
      <c r="G4" s="983" t="s">
        <v>54</v>
      </c>
      <c r="H4" s="983" t="s">
        <v>62</v>
      </c>
      <c r="I4" s="985" t="s">
        <v>16</v>
      </c>
      <c r="J4" s="849"/>
      <c r="K4" s="849"/>
      <c r="L4" s="849"/>
      <c r="M4" s="849"/>
      <c r="N4" s="849"/>
      <c r="O4" s="849"/>
      <c r="P4" s="849"/>
      <c r="Q4" s="849"/>
      <c r="R4" s="849"/>
      <c r="S4" s="849"/>
      <c r="T4" s="849"/>
      <c r="U4" s="849"/>
      <c r="V4" s="849"/>
      <c r="W4" s="849"/>
      <c r="X4" s="849"/>
      <c r="Y4" s="849"/>
      <c r="Z4" s="849"/>
      <c r="AA4" s="849"/>
      <c r="AB4" s="849"/>
      <c r="AC4" s="849"/>
      <c r="AD4" s="849"/>
      <c r="AE4" s="849"/>
      <c r="AF4" s="849"/>
      <c r="AG4" s="849"/>
    </row>
    <row r="5" customFormat="false" ht="30.75" hidden="false" customHeight="true" outlineLevel="0" collapsed="false">
      <c r="A5" s="849"/>
      <c r="B5" s="986"/>
      <c r="C5" s="986" t="n">
        <v>0.74</v>
      </c>
      <c r="D5" s="986" t="n">
        <v>0.66</v>
      </c>
      <c r="E5" s="986" t="n">
        <v>0.55</v>
      </c>
      <c r="F5" s="986" t="n">
        <v>0.46</v>
      </c>
      <c r="G5" s="986" t="n">
        <v>0.36</v>
      </c>
      <c r="H5" s="986" t="n">
        <v>0.26</v>
      </c>
      <c r="I5" s="987" t="s">
        <v>536</v>
      </c>
      <c r="J5" s="849"/>
      <c r="K5" s="849"/>
      <c r="L5" s="849"/>
      <c r="M5" s="849"/>
      <c r="N5" s="849"/>
      <c r="O5" s="849"/>
      <c r="P5" s="849"/>
      <c r="Q5" s="849"/>
      <c r="R5" s="849"/>
      <c r="S5" s="849"/>
      <c r="T5" s="849"/>
      <c r="U5" s="849"/>
      <c r="V5" s="849"/>
      <c r="W5" s="849"/>
      <c r="X5" s="849"/>
      <c r="Y5" s="849"/>
      <c r="Z5" s="849"/>
      <c r="AA5" s="849"/>
      <c r="AB5" s="849"/>
      <c r="AC5" s="849"/>
      <c r="AD5" s="849"/>
      <c r="AE5" s="849"/>
      <c r="AF5" s="849"/>
      <c r="AG5" s="849"/>
    </row>
    <row r="6" customFormat="false" ht="30.75" hidden="false" customHeight="true" outlineLevel="0" collapsed="false">
      <c r="A6" s="849"/>
      <c r="B6" s="988"/>
      <c r="C6" s="988" t="s">
        <v>180</v>
      </c>
      <c r="D6" s="989" t="s">
        <v>54</v>
      </c>
      <c r="E6" s="988" t="s">
        <v>169</v>
      </c>
      <c r="F6" s="989" t="s">
        <v>54</v>
      </c>
      <c r="G6" s="989" t="s">
        <v>180</v>
      </c>
      <c r="H6" s="988" t="s">
        <v>180</v>
      </c>
      <c r="I6" s="985" t="s">
        <v>19</v>
      </c>
      <c r="J6" s="849"/>
      <c r="K6" s="849"/>
      <c r="L6" s="849"/>
      <c r="M6" s="849"/>
      <c r="N6" s="849"/>
      <c r="O6" s="849"/>
      <c r="P6" s="849"/>
      <c r="Q6" s="849"/>
      <c r="R6" s="849"/>
      <c r="S6" s="849"/>
      <c r="T6" s="849"/>
      <c r="U6" s="849"/>
      <c r="V6" s="849"/>
      <c r="W6" s="849"/>
      <c r="X6" s="849"/>
      <c r="Y6" s="849"/>
      <c r="Z6" s="849"/>
      <c r="AA6" s="849"/>
      <c r="AB6" s="849"/>
      <c r="AC6" s="849"/>
      <c r="AD6" s="849"/>
      <c r="AE6" s="849"/>
      <c r="AF6" s="849"/>
      <c r="AG6" s="849"/>
    </row>
    <row r="7" customFormat="false" ht="30.75" hidden="false" customHeight="true" outlineLevel="0" collapsed="false">
      <c r="A7" s="849"/>
      <c r="B7" s="989"/>
      <c r="C7" s="989" t="s">
        <v>602</v>
      </c>
      <c r="D7" s="989" t="s">
        <v>603</v>
      </c>
      <c r="E7" s="989" t="s">
        <v>584</v>
      </c>
      <c r="F7" s="989" t="s">
        <v>584</v>
      </c>
      <c r="G7" s="989" t="s">
        <v>604</v>
      </c>
      <c r="H7" s="989" t="s">
        <v>605</v>
      </c>
      <c r="I7" s="987" t="s">
        <v>502</v>
      </c>
      <c r="J7" s="849"/>
      <c r="K7" s="849"/>
      <c r="L7" s="849"/>
      <c r="M7" s="849"/>
      <c r="N7" s="849"/>
      <c r="O7" s="849"/>
      <c r="P7" s="849"/>
      <c r="Q7" s="849"/>
      <c r="R7" s="849"/>
      <c r="S7" s="849"/>
      <c r="T7" s="849"/>
      <c r="U7" s="849"/>
      <c r="V7" s="849"/>
      <c r="W7" s="849"/>
      <c r="X7" s="849"/>
      <c r="Y7" s="849"/>
      <c r="Z7" s="849"/>
      <c r="AA7" s="849"/>
      <c r="AB7" s="849"/>
      <c r="AC7" s="849"/>
      <c r="AD7" s="849"/>
      <c r="AE7" s="849"/>
      <c r="AF7" s="849"/>
      <c r="AG7" s="849"/>
    </row>
    <row r="8" customFormat="false" ht="30.75" hidden="false" customHeight="true" outlineLevel="0" collapsed="false">
      <c r="A8" s="849"/>
      <c r="B8" s="994"/>
      <c r="C8" s="989" t="n">
        <v>0</v>
      </c>
      <c r="D8" s="989" t="n">
        <v>0</v>
      </c>
      <c r="E8" s="989" t="n">
        <v>0</v>
      </c>
      <c r="F8" s="989" t="n">
        <v>0</v>
      </c>
      <c r="G8" s="989" t="n">
        <v>0</v>
      </c>
      <c r="H8" s="989" t="n">
        <v>0</v>
      </c>
      <c r="I8" s="1019" t="s">
        <v>503</v>
      </c>
      <c r="J8" s="849"/>
      <c r="K8" s="849"/>
      <c r="L8" s="849"/>
      <c r="M8" s="849"/>
      <c r="N8" s="849"/>
      <c r="O8" s="849"/>
      <c r="P8" s="849"/>
      <c r="Q8" s="849"/>
      <c r="R8" s="849"/>
      <c r="S8" s="849"/>
      <c r="T8" s="849"/>
      <c r="U8" s="849"/>
      <c r="V8" s="849"/>
      <c r="W8" s="849"/>
      <c r="X8" s="849"/>
      <c r="Y8" s="849"/>
      <c r="Z8" s="849"/>
      <c r="AA8" s="849"/>
      <c r="AB8" s="849"/>
      <c r="AC8" s="849"/>
      <c r="AD8" s="849"/>
      <c r="AE8" s="849"/>
      <c r="AF8" s="849"/>
      <c r="AG8" s="849"/>
    </row>
    <row r="9" customFormat="false" ht="30.75" hidden="false" customHeight="true" outlineLevel="0" collapsed="false">
      <c r="A9" s="849"/>
      <c r="B9" s="981" t="n">
        <v>7</v>
      </c>
      <c r="C9" s="981" t="n">
        <v>8</v>
      </c>
      <c r="D9" s="981" t="n">
        <v>9</v>
      </c>
      <c r="E9" s="981" t="n">
        <v>10</v>
      </c>
      <c r="F9" s="981" t="n">
        <v>11</v>
      </c>
      <c r="G9" s="981" t="n">
        <v>12</v>
      </c>
      <c r="H9" s="998" t="n">
        <v>13</v>
      </c>
      <c r="I9" s="849"/>
      <c r="J9" s="849"/>
      <c r="K9" s="849"/>
      <c r="L9" s="849"/>
      <c r="M9" s="849"/>
      <c r="N9" s="849"/>
      <c r="O9" s="849"/>
      <c r="P9" s="849"/>
      <c r="Q9" s="849"/>
      <c r="R9" s="849"/>
      <c r="S9" s="849"/>
      <c r="T9" s="849"/>
      <c r="U9" s="849"/>
      <c r="V9" s="849"/>
      <c r="W9" s="849"/>
      <c r="X9" s="849"/>
      <c r="Y9" s="849"/>
      <c r="Z9" s="849"/>
      <c r="AA9" s="849"/>
      <c r="AB9" s="849"/>
      <c r="AC9" s="849"/>
      <c r="AD9" s="849"/>
      <c r="AE9" s="849"/>
      <c r="AF9" s="849"/>
      <c r="AG9" s="849"/>
    </row>
    <row r="10" customFormat="false" ht="30.75" hidden="false" customHeight="true" outlineLevel="0" collapsed="false">
      <c r="A10" s="849"/>
      <c r="B10" s="983" t="s">
        <v>54</v>
      </c>
      <c r="C10" s="983" t="s">
        <v>352</v>
      </c>
      <c r="D10" s="983" t="s">
        <v>62</v>
      </c>
      <c r="E10" s="983" t="s">
        <v>352</v>
      </c>
      <c r="F10" s="983" t="s">
        <v>62</v>
      </c>
      <c r="G10" s="983" t="s">
        <v>54</v>
      </c>
      <c r="H10" s="999" t="s">
        <v>506</v>
      </c>
      <c r="I10" s="849"/>
      <c r="J10" s="849"/>
      <c r="K10" s="849"/>
      <c r="L10" s="849"/>
      <c r="M10" s="849"/>
      <c r="N10" s="849"/>
      <c r="O10" s="849"/>
      <c r="P10" s="849"/>
      <c r="Q10" s="849"/>
      <c r="R10" s="849"/>
      <c r="S10" s="849"/>
      <c r="T10" s="849"/>
      <c r="U10" s="849"/>
      <c r="V10" s="849"/>
      <c r="W10" s="849"/>
      <c r="X10" s="849"/>
      <c r="Y10" s="849"/>
      <c r="Z10" s="849"/>
      <c r="AA10" s="849"/>
      <c r="AB10" s="849"/>
      <c r="AC10" s="849"/>
      <c r="AD10" s="849"/>
      <c r="AE10" s="849"/>
      <c r="AF10" s="849"/>
      <c r="AG10" s="849"/>
    </row>
    <row r="11" customFormat="false" ht="30.75" hidden="false" customHeight="true" outlineLevel="0" collapsed="false">
      <c r="A11" s="849"/>
      <c r="B11" s="986" t="n">
        <v>0.17</v>
      </c>
      <c r="C11" s="986" t="n">
        <v>0.1</v>
      </c>
      <c r="D11" s="986" t="n">
        <v>0.05</v>
      </c>
      <c r="E11" s="986" t="n">
        <v>0.01</v>
      </c>
      <c r="F11" s="986" t="n">
        <v>0</v>
      </c>
      <c r="G11" s="986" t="n">
        <v>0.03</v>
      </c>
      <c r="H11" s="1000" t="n">
        <v>0.09</v>
      </c>
      <c r="I11" s="849"/>
      <c r="J11" s="849"/>
      <c r="K11" s="849"/>
      <c r="L11" s="849"/>
      <c r="M11" s="849"/>
      <c r="N11" s="849"/>
      <c r="O11" s="849"/>
      <c r="P11" s="849"/>
      <c r="Q11" s="849"/>
      <c r="R11" s="849"/>
      <c r="S11" s="849"/>
      <c r="T11" s="849"/>
      <c r="U11" s="849"/>
      <c r="V11" s="849"/>
      <c r="W11" s="849"/>
      <c r="X11" s="849"/>
      <c r="Y11" s="849"/>
      <c r="Z11" s="849"/>
      <c r="AA11" s="849"/>
      <c r="AB11" s="849"/>
      <c r="AC11" s="849"/>
      <c r="AD11" s="849"/>
      <c r="AE11" s="849"/>
      <c r="AF11" s="849"/>
      <c r="AG11" s="849"/>
    </row>
    <row r="12" customFormat="false" ht="30.75" hidden="false" customHeight="true" outlineLevel="0" collapsed="false">
      <c r="A12" s="849"/>
      <c r="B12" s="989" t="s">
        <v>180</v>
      </c>
      <c r="C12" s="989" t="s">
        <v>54</v>
      </c>
      <c r="D12" s="989"/>
      <c r="E12" s="988" t="s">
        <v>169</v>
      </c>
      <c r="F12" s="989" t="s">
        <v>606</v>
      </c>
      <c r="G12" s="988" t="s">
        <v>180</v>
      </c>
      <c r="H12" s="988" t="s">
        <v>169</v>
      </c>
      <c r="I12" s="849"/>
      <c r="J12" s="849"/>
      <c r="K12" s="849"/>
      <c r="L12" s="849"/>
      <c r="M12" s="849"/>
      <c r="N12" s="849"/>
      <c r="O12" s="849"/>
      <c r="P12" s="849"/>
      <c r="Q12" s="849"/>
      <c r="R12" s="849"/>
      <c r="S12" s="849"/>
      <c r="T12" s="849"/>
      <c r="U12" s="849"/>
      <c r="V12" s="849"/>
      <c r="W12" s="849"/>
      <c r="X12" s="849"/>
      <c r="Y12" s="849"/>
      <c r="Z12" s="849"/>
      <c r="AA12" s="849"/>
      <c r="AB12" s="849"/>
      <c r="AC12" s="849"/>
      <c r="AD12" s="849"/>
      <c r="AE12" s="849"/>
      <c r="AF12" s="849"/>
      <c r="AG12" s="849"/>
    </row>
    <row r="13" customFormat="false" ht="30.75" hidden="false" customHeight="true" outlineLevel="0" collapsed="false">
      <c r="A13" s="849"/>
      <c r="B13" s="989" t="s">
        <v>607</v>
      </c>
      <c r="C13" s="989" t="s">
        <v>608</v>
      </c>
      <c r="D13" s="989" t="s">
        <v>609</v>
      </c>
      <c r="E13" s="989" t="s">
        <v>609</v>
      </c>
      <c r="F13" s="989" t="s">
        <v>610</v>
      </c>
      <c r="G13" s="989" t="s">
        <v>611</v>
      </c>
      <c r="H13" s="990" t="s">
        <v>538</v>
      </c>
      <c r="I13" s="849"/>
      <c r="J13" s="849"/>
      <c r="K13" s="849"/>
      <c r="L13" s="849"/>
      <c r="M13" s="849"/>
      <c r="N13" s="849"/>
      <c r="O13" s="849"/>
      <c r="P13" s="849"/>
      <c r="Q13" s="849"/>
      <c r="R13" s="849"/>
      <c r="S13" s="849"/>
      <c r="T13" s="849"/>
      <c r="U13" s="849"/>
      <c r="V13" s="849"/>
      <c r="W13" s="849"/>
      <c r="X13" s="849"/>
      <c r="Y13" s="849"/>
      <c r="Z13" s="849"/>
      <c r="AA13" s="849"/>
      <c r="AB13" s="849"/>
      <c r="AC13" s="849"/>
      <c r="AD13" s="849"/>
      <c r="AE13" s="849"/>
      <c r="AF13" s="849"/>
      <c r="AG13" s="849"/>
    </row>
    <row r="14" customFormat="false" ht="30.75" hidden="false" customHeight="true" outlineLevel="0" collapsed="false">
      <c r="A14" s="849"/>
      <c r="B14" s="994" t="s">
        <v>580</v>
      </c>
      <c r="C14" s="989"/>
      <c r="D14" s="989"/>
      <c r="E14" s="989"/>
      <c r="F14" s="1002" t="s">
        <v>580</v>
      </c>
      <c r="G14" s="989" t="s">
        <v>612</v>
      </c>
      <c r="H14" s="990"/>
      <c r="I14" s="849"/>
      <c r="J14" s="849"/>
      <c r="K14" s="849"/>
      <c r="L14" s="849"/>
      <c r="M14" s="849"/>
      <c r="N14" s="849"/>
      <c r="O14" s="849"/>
      <c r="P14" s="849"/>
      <c r="Q14" s="849"/>
      <c r="R14" s="849"/>
      <c r="S14" s="849"/>
      <c r="T14" s="849"/>
      <c r="U14" s="849"/>
      <c r="V14" s="849"/>
      <c r="W14" s="849"/>
      <c r="X14" s="849"/>
      <c r="Y14" s="849"/>
      <c r="Z14" s="849"/>
      <c r="AA14" s="849"/>
      <c r="AB14" s="849"/>
      <c r="AC14" s="849"/>
      <c r="AD14" s="849"/>
      <c r="AE14" s="849"/>
      <c r="AF14" s="849"/>
      <c r="AG14" s="849"/>
    </row>
    <row r="15" customFormat="false" ht="30.75" hidden="false" customHeight="true" outlineLevel="0" collapsed="false">
      <c r="A15" s="849"/>
      <c r="B15" s="981" t="n">
        <v>14</v>
      </c>
      <c r="C15" s="981" t="n">
        <v>15</v>
      </c>
      <c r="D15" s="981" t="n">
        <v>16</v>
      </c>
      <c r="E15" s="981" t="n">
        <v>17</v>
      </c>
      <c r="F15" s="981" t="n">
        <v>18</v>
      </c>
      <c r="G15" s="981" t="n">
        <v>19</v>
      </c>
      <c r="H15" s="998" t="n">
        <v>20</v>
      </c>
      <c r="I15" s="849"/>
      <c r="J15" s="849"/>
      <c r="K15" s="849"/>
      <c r="L15" s="849"/>
      <c r="M15" s="849"/>
      <c r="N15" s="849"/>
      <c r="O15" s="849"/>
      <c r="P15" s="849"/>
      <c r="Q15" s="849"/>
      <c r="R15" s="849"/>
      <c r="S15" s="849"/>
      <c r="T15" s="849"/>
      <c r="U15" s="849"/>
      <c r="V15" s="849"/>
      <c r="W15" s="849"/>
      <c r="X15" s="849"/>
    </row>
    <row r="16" customFormat="false" ht="30.75" hidden="false" customHeight="true" outlineLevel="0" collapsed="false">
      <c r="A16" s="849"/>
      <c r="B16" s="983" t="s">
        <v>613</v>
      </c>
      <c r="C16" s="983" t="s">
        <v>352</v>
      </c>
      <c r="D16" s="983" t="s">
        <v>541</v>
      </c>
      <c r="E16" s="983" t="s">
        <v>352</v>
      </c>
      <c r="F16" s="983" t="s">
        <v>62</v>
      </c>
      <c r="G16" s="983" t="s">
        <v>54</v>
      </c>
      <c r="H16" s="999" t="s">
        <v>79</v>
      </c>
      <c r="I16" s="849"/>
      <c r="J16" s="849"/>
      <c r="K16" s="849"/>
      <c r="L16" s="849"/>
      <c r="M16" s="849"/>
      <c r="N16" s="849"/>
      <c r="O16" s="849"/>
      <c r="P16" s="849"/>
      <c r="Q16" s="849"/>
      <c r="R16" s="849"/>
      <c r="S16" s="849"/>
      <c r="T16" s="849"/>
      <c r="U16" s="849"/>
      <c r="V16" s="849"/>
      <c r="W16" s="849"/>
      <c r="X16" s="849"/>
    </row>
    <row r="17" customFormat="false" ht="30.75" hidden="false" customHeight="true" outlineLevel="0" collapsed="false">
      <c r="A17" s="849"/>
      <c r="B17" s="986" t="n">
        <v>0.17</v>
      </c>
      <c r="C17" s="986" t="n">
        <v>0.27</v>
      </c>
      <c r="D17" s="986" t="n">
        <v>0.37</v>
      </c>
      <c r="E17" s="986" t="n">
        <v>0.49</v>
      </c>
      <c r="F17" s="986" t="n">
        <v>0.6</v>
      </c>
      <c r="G17" s="986" t="n">
        <v>0.7</v>
      </c>
      <c r="H17" s="1000" t="n">
        <v>0.8</v>
      </c>
      <c r="I17" s="849"/>
      <c r="J17" s="849"/>
      <c r="K17" s="849"/>
      <c r="L17" s="849"/>
      <c r="M17" s="849"/>
      <c r="N17" s="849"/>
      <c r="O17" s="849"/>
      <c r="P17" s="849"/>
      <c r="Q17" s="849"/>
      <c r="R17" s="849"/>
      <c r="S17" s="849"/>
      <c r="T17" s="849"/>
      <c r="U17" s="849"/>
      <c r="V17" s="849"/>
      <c r="W17" s="849"/>
      <c r="X17" s="849"/>
    </row>
    <row r="18" customFormat="false" ht="30.75" hidden="false" customHeight="true" outlineLevel="0" collapsed="false">
      <c r="A18" s="849"/>
      <c r="B18" s="989" t="s">
        <v>169</v>
      </c>
      <c r="C18" s="988" t="s">
        <v>169</v>
      </c>
      <c r="D18" s="989" t="s">
        <v>62</v>
      </c>
      <c r="E18" s="988" t="s">
        <v>169</v>
      </c>
      <c r="F18" s="988" t="s">
        <v>180</v>
      </c>
      <c r="G18" s="988" t="s">
        <v>180</v>
      </c>
      <c r="H18" s="1001" t="s">
        <v>169</v>
      </c>
      <c r="I18" s="849"/>
      <c r="J18" s="849"/>
      <c r="K18" s="849"/>
      <c r="L18" s="849"/>
      <c r="M18" s="849"/>
      <c r="N18" s="849"/>
      <c r="O18" s="849"/>
      <c r="P18" s="849"/>
      <c r="Q18" s="849"/>
      <c r="R18" s="849"/>
      <c r="S18" s="849"/>
      <c r="T18" s="849"/>
      <c r="U18" s="849"/>
      <c r="V18" s="849"/>
      <c r="W18" s="849"/>
      <c r="X18" s="849"/>
    </row>
    <row r="19" customFormat="false" ht="30.75" hidden="false" customHeight="true" outlineLevel="0" collapsed="false">
      <c r="A19" s="849"/>
      <c r="B19" s="989" t="s">
        <v>614</v>
      </c>
      <c r="C19" s="989" t="s">
        <v>615</v>
      </c>
      <c r="D19" s="989" t="s">
        <v>616</v>
      </c>
      <c r="E19" s="989" t="s">
        <v>597</v>
      </c>
      <c r="F19" s="989" t="s">
        <v>617</v>
      </c>
      <c r="G19" s="989" t="s">
        <v>618</v>
      </c>
      <c r="H19" s="990" t="n">
        <v>0</v>
      </c>
      <c r="I19" s="849"/>
      <c r="J19" s="849"/>
      <c r="K19" s="849"/>
      <c r="L19" s="849"/>
      <c r="M19" s="849"/>
      <c r="N19" s="849"/>
      <c r="O19" s="849"/>
      <c r="P19" s="849"/>
      <c r="Q19" s="849"/>
      <c r="R19" s="849"/>
      <c r="S19" s="849"/>
      <c r="T19" s="849"/>
      <c r="U19" s="849"/>
      <c r="V19" s="849"/>
      <c r="W19" s="849"/>
      <c r="X19" s="849"/>
    </row>
    <row r="20" customFormat="false" ht="30.75" hidden="false" customHeight="true" outlineLevel="0" collapsed="false">
      <c r="A20" s="849"/>
      <c r="B20" s="1008" t="s">
        <v>580</v>
      </c>
      <c r="C20" s="989" t="s">
        <v>612</v>
      </c>
      <c r="D20" s="989" t="s">
        <v>580</v>
      </c>
      <c r="E20" s="989"/>
      <c r="F20" s="989" t="s">
        <v>619</v>
      </c>
      <c r="G20" s="989" t="s">
        <v>620</v>
      </c>
      <c r="H20" s="990" t="n">
        <v>0</v>
      </c>
      <c r="I20" s="849"/>
      <c r="J20" s="849"/>
      <c r="K20" s="849"/>
      <c r="L20" s="849"/>
      <c r="M20" s="849"/>
      <c r="N20" s="849"/>
      <c r="O20" s="849"/>
      <c r="P20" s="849"/>
      <c r="Q20" s="849"/>
      <c r="R20" s="849"/>
      <c r="S20" s="849"/>
      <c r="T20" s="849"/>
      <c r="U20" s="849"/>
      <c r="V20" s="849"/>
      <c r="W20" s="849"/>
      <c r="X20" s="849"/>
    </row>
    <row r="21" customFormat="false" ht="30.75" hidden="false" customHeight="true" outlineLevel="0" collapsed="false">
      <c r="A21" s="849"/>
      <c r="B21" s="981" t="n">
        <v>21</v>
      </c>
      <c r="C21" s="981" t="n">
        <v>22</v>
      </c>
      <c r="D21" s="981" t="n">
        <v>23</v>
      </c>
      <c r="E21" s="981" t="n">
        <v>24</v>
      </c>
      <c r="F21" s="981" t="n">
        <v>25</v>
      </c>
      <c r="G21" s="981" t="n">
        <v>26</v>
      </c>
      <c r="H21" s="998" t="n">
        <v>27</v>
      </c>
      <c r="I21" s="849"/>
      <c r="J21" s="849"/>
      <c r="K21" s="849"/>
      <c r="L21" s="849"/>
      <c r="M21" s="849"/>
      <c r="N21" s="849"/>
      <c r="O21" s="849"/>
      <c r="P21" s="849"/>
      <c r="Q21" s="849"/>
      <c r="R21" s="849"/>
      <c r="S21" s="849"/>
      <c r="T21" s="849"/>
      <c r="U21" s="849"/>
      <c r="V21" s="849"/>
      <c r="W21" s="849"/>
      <c r="X21" s="849"/>
    </row>
    <row r="22" customFormat="false" ht="30.75" hidden="false" customHeight="true" outlineLevel="0" collapsed="false">
      <c r="A22" s="849"/>
      <c r="B22" s="983" t="s">
        <v>62</v>
      </c>
      <c r="C22" s="1005"/>
      <c r="D22" s="1005"/>
      <c r="E22" s="1005"/>
      <c r="F22" s="1005"/>
      <c r="G22" s="1005"/>
      <c r="H22" s="1006"/>
      <c r="I22" s="849"/>
      <c r="J22" s="849"/>
      <c r="K22" s="849"/>
      <c r="L22" s="849"/>
      <c r="M22" s="849"/>
      <c r="N22" s="849"/>
      <c r="O22" s="849"/>
      <c r="P22" s="849"/>
      <c r="Q22" s="849"/>
      <c r="R22" s="849"/>
      <c r="S22" s="849"/>
      <c r="T22" s="849"/>
      <c r="U22" s="849"/>
      <c r="V22" s="849"/>
      <c r="W22" s="849"/>
      <c r="X22" s="849"/>
    </row>
    <row r="23" customFormat="false" ht="30.75" hidden="false" customHeight="true" outlineLevel="0" collapsed="false">
      <c r="A23" s="849"/>
      <c r="B23" s="986" t="n">
        <v>0.87</v>
      </c>
      <c r="C23" s="986" t="n">
        <v>0.94</v>
      </c>
      <c r="D23" s="986" t="n">
        <v>0.97</v>
      </c>
      <c r="E23" s="986" t="n">
        <v>1</v>
      </c>
      <c r="F23" s="986" t="n">
        <v>1</v>
      </c>
      <c r="G23" s="986" t="n">
        <v>1</v>
      </c>
      <c r="H23" s="1000" t="n">
        <v>0.97</v>
      </c>
      <c r="I23" s="849"/>
      <c r="J23" s="849"/>
      <c r="K23" s="849"/>
      <c r="L23" s="849"/>
      <c r="M23" s="849"/>
      <c r="N23" s="849"/>
      <c r="O23" s="849"/>
      <c r="P23" s="849"/>
      <c r="Q23" s="849"/>
      <c r="R23" s="849"/>
      <c r="S23" s="849"/>
      <c r="T23" s="849"/>
      <c r="U23" s="849"/>
      <c r="V23" s="849"/>
      <c r="W23" s="849"/>
      <c r="X23" s="849"/>
    </row>
    <row r="24" customFormat="false" ht="30.75" hidden="false" customHeight="true" outlineLevel="0" collapsed="false">
      <c r="A24" s="849"/>
      <c r="B24" s="989" t="s">
        <v>180</v>
      </c>
      <c r="C24" s="988" t="s">
        <v>180</v>
      </c>
      <c r="D24" s="989" t="s">
        <v>180</v>
      </c>
      <c r="E24" s="988" t="s">
        <v>180</v>
      </c>
      <c r="F24" s="988" t="s">
        <v>180</v>
      </c>
      <c r="G24" s="988" t="s">
        <v>180</v>
      </c>
      <c r="H24" s="1001" t="s">
        <v>180</v>
      </c>
      <c r="I24" s="849"/>
      <c r="J24" s="849"/>
      <c r="K24" s="849"/>
      <c r="L24" s="849"/>
      <c r="M24" s="849"/>
      <c r="N24" s="849"/>
      <c r="O24" s="849"/>
      <c r="P24" s="849"/>
      <c r="Q24" s="849"/>
      <c r="R24" s="849"/>
      <c r="S24" s="849"/>
      <c r="T24" s="849"/>
      <c r="U24" s="849"/>
      <c r="V24" s="849"/>
      <c r="W24" s="849"/>
      <c r="X24" s="849"/>
    </row>
    <row r="25" customFormat="false" ht="30.75" hidden="false" customHeight="true" outlineLevel="0" collapsed="false">
      <c r="A25" s="849"/>
      <c r="B25" s="989" t="s">
        <v>210</v>
      </c>
      <c r="C25" s="989"/>
      <c r="D25" s="989"/>
      <c r="E25" s="989"/>
      <c r="F25" s="989"/>
      <c r="G25" s="989"/>
      <c r="H25" s="990"/>
      <c r="I25" s="849"/>
      <c r="J25" s="849"/>
      <c r="K25" s="849"/>
      <c r="L25" s="849"/>
      <c r="M25" s="849"/>
      <c r="N25" s="849"/>
      <c r="O25" s="849"/>
      <c r="P25" s="849"/>
      <c r="Q25" s="849"/>
      <c r="R25" s="849"/>
      <c r="S25" s="849"/>
      <c r="T25" s="849"/>
      <c r="U25" s="849"/>
      <c r="V25" s="849"/>
      <c r="W25" s="849"/>
      <c r="X25" s="849"/>
    </row>
    <row r="26" customFormat="false" ht="30.75" hidden="false" customHeight="true" outlineLevel="0" collapsed="false">
      <c r="A26" s="849"/>
      <c r="B26" s="994"/>
      <c r="C26" s="989"/>
      <c r="D26" s="989"/>
      <c r="E26" s="989"/>
      <c r="F26" s="989"/>
      <c r="G26" s="989"/>
      <c r="H26" s="990"/>
      <c r="I26" s="849"/>
      <c r="J26" s="849"/>
      <c r="K26" s="849"/>
      <c r="L26" s="849"/>
      <c r="M26" s="849"/>
      <c r="N26" s="849"/>
      <c r="O26" s="849"/>
      <c r="P26" s="849"/>
      <c r="Q26" s="849"/>
      <c r="R26" s="849"/>
      <c r="S26" s="849"/>
      <c r="T26" s="849"/>
      <c r="U26" s="849"/>
      <c r="V26" s="849"/>
      <c r="W26" s="849"/>
      <c r="X26" s="849"/>
    </row>
    <row r="27" customFormat="false" ht="30.75" hidden="false" customHeight="true" outlineLevel="0" collapsed="false">
      <c r="A27" s="849"/>
      <c r="B27" s="981" t="n">
        <v>28</v>
      </c>
      <c r="C27" s="981" t="n">
        <v>29</v>
      </c>
      <c r="D27" s="981" t="n">
        <v>30</v>
      </c>
      <c r="E27" s="981" t="n">
        <v>31</v>
      </c>
      <c r="F27" s="981"/>
      <c r="G27" s="981"/>
      <c r="H27" s="998"/>
      <c r="I27" s="849"/>
      <c r="J27" s="849"/>
      <c r="K27" s="849"/>
      <c r="L27" s="849"/>
      <c r="M27" s="849"/>
      <c r="N27" s="849"/>
      <c r="O27" s="849"/>
      <c r="P27" s="849"/>
      <c r="Q27" s="849"/>
      <c r="R27" s="849"/>
      <c r="S27" s="849"/>
      <c r="T27" s="849"/>
      <c r="U27" s="849"/>
      <c r="V27" s="849"/>
      <c r="W27" s="849"/>
      <c r="X27" s="849"/>
    </row>
    <row r="28" customFormat="false" ht="30.75" hidden="false" customHeight="true" outlineLevel="0" collapsed="false">
      <c r="A28" s="849"/>
      <c r="B28" s="1005"/>
      <c r="C28" s="983" t="s">
        <v>40</v>
      </c>
      <c r="D28" s="983" t="s">
        <v>541</v>
      </c>
      <c r="E28" s="983" t="s">
        <v>40</v>
      </c>
      <c r="F28" s="983"/>
      <c r="G28" s="983"/>
      <c r="H28" s="999"/>
      <c r="I28" s="849"/>
      <c r="J28" s="849"/>
      <c r="K28" s="849"/>
      <c r="L28" s="849"/>
      <c r="M28" s="849"/>
      <c r="N28" s="849"/>
      <c r="O28" s="849"/>
      <c r="P28" s="849"/>
      <c r="Q28" s="849"/>
      <c r="R28" s="849"/>
      <c r="S28" s="849"/>
      <c r="T28" s="849"/>
      <c r="U28" s="849"/>
      <c r="V28" s="849"/>
      <c r="W28" s="849"/>
      <c r="X28" s="849"/>
    </row>
    <row r="29" customFormat="false" ht="30.75" hidden="false" customHeight="true" outlineLevel="0" collapsed="false">
      <c r="A29" s="849"/>
      <c r="B29" s="986" t="n">
        <v>0.93</v>
      </c>
      <c r="C29" s="986" t="n">
        <v>0.88</v>
      </c>
      <c r="D29" s="986" t="n">
        <v>0.81</v>
      </c>
      <c r="E29" s="986" t="n">
        <v>0.73</v>
      </c>
      <c r="F29" s="986"/>
      <c r="G29" s="986"/>
      <c r="H29" s="1000"/>
      <c r="I29" s="849"/>
      <c r="J29" s="849"/>
      <c r="K29" s="849"/>
      <c r="L29" s="849"/>
      <c r="M29" s="849"/>
      <c r="N29" s="849"/>
      <c r="O29" s="849"/>
      <c r="P29" s="849"/>
      <c r="Q29" s="849"/>
      <c r="R29" s="849"/>
      <c r="S29" s="849"/>
      <c r="T29" s="849"/>
      <c r="U29" s="849"/>
      <c r="V29" s="849"/>
      <c r="W29" s="849"/>
      <c r="X29" s="849"/>
    </row>
    <row r="30" customFormat="false" ht="30.75" hidden="false" customHeight="true" outlineLevel="0" collapsed="false">
      <c r="A30" s="849"/>
      <c r="B30" s="988" t="s">
        <v>180</v>
      </c>
      <c r="C30" s="988" t="s">
        <v>62</v>
      </c>
      <c r="D30" s="988" t="s">
        <v>62</v>
      </c>
      <c r="E30" s="988" t="s">
        <v>54</v>
      </c>
      <c r="F30" s="988"/>
      <c r="G30" s="988"/>
      <c r="H30" s="1001"/>
      <c r="I30" s="849"/>
      <c r="J30" s="849"/>
      <c r="K30" s="849"/>
      <c r="L30" s="849"/>
      <c r="M30" s="849"/>
      <c r="N30" s="849"/>
      <c r="O30" s="849"/>
      <c r="P30" s="849"/>
      <c r="Q30" s="849"/>
      <c r="R30" s="849"/>
      <c r="S30" s="849"/>
      <c r="T30" s="849"/>
      <c r="U30" s="849"/>
      <c r="V30" s="849"/>
      <c r="W30" s="849"/>
      <c r="X30" s="849"/>
    </row>
    <row r="31" customFormat="false" ht="30.75" hidden="false" customHeight="true" outlineLevel="0" collapsed="false">
      <c r="A31" s="849"/>
      <c r="B31" s="994"/>
      <c r="C31" s="994" t="s">
        <v>621</v>
      </c>
      <c r="D31" s="994" t="s">
        <v>621</v>
      </c>
      <c r="E31" s="994" t="s">
        <v>584</v>
      </c>
      <c r="F31" s="994"/>
      <c r="G31" s="994"/>
      <c r="H31" s="1011"/>
      <c r="I31" s="849"/>
      <c r="J31" s="849"/>
      <c r="K31" s="849"/>
      <c r="L31" s="849"/>
      <c r="M31" s="849"/>
      <c r="N31" s="849"/>
      <c r="O31" s="849"/>
      <c r="P31" s="849"/>
      <c r="Q31" s="849"/>
      <c r="R31" s="849"/>
      <c r="S31" s="849"/>
      <c r="T31" s="849"/>
      <c r="U31" s="849"/>
      <c r="V31" s="849"/>
      <c r="W31" s="849"/>
      <c r="X31" s="849"/>
    </row>
    <row r="32" customFormat="false" ht="30.75" hidden="false" customHeight="true" outlineLevel="0" collapsed="false">
      <c r="A32" s="849"/>
      <c r="B32" s="994"/>
      <c r="C32" s="989" t="s">
        <v>551</v>
      </c>
      <c r="D32" s="989" t="s">
        <v>551</v>
      </c>
      <c r="E32" s="989" t="s">
        <v>551</v>
      </c>
      <c r="F32" s="989"/>
      <c r="G32" s="989"/>
      <c r="H32" s="990"/>
      <c r="I32" s="849"/>
      <c r="J32" s="849"/>
      <c r="K32" s="849"/>
      <c r="L32" s="849"/>
      <c r="M32" s="849"/>
      <c r="N32" s="849"/>
      <c r="O32" s="849"/>
      <c r="P32" s="849"/>
      <c r="Q32" s="849"/>
      <c r="R32" s="849"/>
      <c r="S32" s="849"/>
      <c r="T32" s="849"/>
      <c r="U32" s="849"/>
      <c r="V32" s="849"/>
      <c r="W32" s="849"/>
      <c r="X32" s="849"/>
    </row>
    <row r="33" customFormat="false" ht="30.75" hidden="false" customHeight="true" outlineLevel="0" collapsed="false">
      <c r="A33" s="849"/>
      <c r="B33" s="849"/>
      <c r="C33" s="849"/>
      <c r="D33" s="849"/>
      <c r="E33" s="849"/>
      <c r="F33" s="849"/>
      <c r="G33" s="849"/>
      <c r="H33" s="849"/>
      <c r="I33" s="849"/>
      <c r="J33" s="849"/>
      <c r="K33" s="849"/>
      <c r="L33" s="849"/>
      <c r="M33" s="849"/>
      <c r="N33" s="849"/>
      <c r="O33" s="849"/>
      <c r="P33" s="849"/>
      <c r="Q33" s="849"/>
      <c r="R33" s="849"/>
      <c r="S33" s="849"/>
    </row>
    <row r="34" customFormat="false" ht="30.75" hidden="false" customHeight="true" outlineLevel="0" collapsed="false">
      <c r="A34" s="849"/>
      <c r="B34" s="849"/>
      <c r="C34" s="849"/>
      <c r="D34" s="849"/>
      <c r="E34" s="849"/>
      <c r="F34" s="849"/>
      <c r="G34" s="849"/>
      <c r="H34" s="849"/>
      <c r="I34" s="849"/>
      <c r="J34" s="849"/>
      <c r="K34" s="849"/>
      <c r="L34" s="849"/>
      <c r="M34" s="849"/>
      <c r="N34" s="849"/>
      <c r="O34" s="849"/>
      <c r="P34" s="849"/>
      <c r="Q34" s="849"/>
      <c r="R34" s="849"/>
      <c r="S34" s="849"/>
      <c r="T34" s="849"/>
      <c r="U34" s="849"/>
      <c r="V34" s="849"/>
    </row>
    <row r="35" customFormat="false" ht="30.75" hidden="false" customHeight="true" outlineLevel="0" collapsed="false">
      <c r="A35" s="849"/>
      <c r="B35" s="849"/>
      <c r="C35" s="849"/>
      <c r="D35" s="849"/>
      <c r="E35" s="849"/>
      <c r="F35" s="849"/>
      <c r="G35" s="849"/>
      <c r="H35" s="849"/>
      <c r="I35" s="849"/>
      <c r="J35" s="849"/>
      <c r="K35" s="849"/>
      <c r="L35" s="849"/>
      <c r="M35" s="849"/>
      <c r="N35" s="849"/>
      <c r="O35" s="849"/>
      <c r="P35" s="849"/>
      <c r="Q35" s="849"/>
      <c r="R35" s="849"/>
      <c r="S35" s="849"/>
      <c r="T35" s="849"/>
      <c r="U35" s="849"/>
      <c r="V35" s="849"/>
    </row>
    <row r="36" customFormat="false" ht="30.75" hidden="false" customHeight="true" outlineLevel="0" collapsed="false">
      <c r="A36" s="849"/>
      <c r="B36" s="849"/>
      <c r="C36" s="849"/>
      <c r="D36" s="849"/>
      <c r="E36" s="849"/>
      <c r="F36" s="849"/>
      <c r="G36" s="849"/>
      <c r="H36" s="849"/>
      <c r="I36" s="849"/>
      <c r="J36" s="849"/>
      <c r="K36" s="849"/>
      <c r="L36" s="849"/>
      <c r="M36" s="849"/>
      <c r="N36" s="849"/>
      <c r="O36" s="849"/>
      <c r="P36" s="849"/>
      <c r="Q36" s="849"/>
      <c r="R36" s="849"/>
      <c r="S36" s="849"/>
      <c r="T36" s="849"/>
      <c r="U36" s="849"/>
      <c r="V36" s="849"/>
    </row>
    <row r="37" customFormat="false" ht="30.75" hidden="false" customHeight="true" outlineLevel="0" collapsed="false">
      <c r="A37" s="849"/>
      <c r="B37" s="849"/>
      <c r="C37" s="849"/>
      <c r="D37" s="849"/>
      <c r="E37" s="849"/>
      <c r="F37" s="849"/>
      <c r="G37" s="849"/>
      <c r="H37" s="849"/>
      <c r="I37" s="849"/>
      <c r="J37" s="849"/>
      <c r="K37" s="849"/>
      <c r="L37" s="849"/>
      <c r="M37" s="849"/>
      <c r="N37" s="849"/>
      <c r="O37" s="849"/>
      <c r="P37" s="849"/>
      <c r="Q37" s="849"/>
      <c r="R37" s="849"/>
      <c r="S37" s="849"/>
      <c r="T37" s="849"/>
      <c r="U37" s="849"/>
      <c r="V37" s="849"/>
    </row>
    <row r="38" customFormat="false" ht="30.75" hidden="false" customHeight="true" outlineLevel="0" collapsed="false">
      <c r="A38" s="849"/>
      <c r="B38" s="849"/>
      <c r="C38" s="849"/>
      <c r="D38" s="849"/>
      <c r="E38" s="849"/>
      <c r="F38" s="849"/>
      <c r="G38" s="849"/>
      <c r="H38" s="849"/>
      <c r="I38" s="849"/>
      <c r="J38" s="849"/>
      <c r="K38" s="849"/>
      <c r="L38" s="849"/>
      <c r="M38" s="849"/>
      <c r="N38" s="849"/>
      <c r="O38" s="849"/>
      <c r="P38" s="849"/>
      <c r="Q38" s="849"/>
      <c r="R38" s="849"/>
      <c r="S38" s="849"/>
      <c r="T38" s="849"/>
      <c r="U38" s="849"/>
      <c r="V38" s="849"/>
    </row>
    <row r="39" customFormat="false" ht="30.75" hidden="false" customHeight="true" outlineLevel="0" collapsed="false">
      <c r="A39" s="849"/>
      <c r="B39" s="849"/>
      <c r="C39" s="849"/>
      <c r="D39" s="849"/>
      <c r="E39" s="849"/>
      <c r="F39" s="849"/>
      <c r="G39" s="849"/>
      <c r="H39" s="849"/>
      <c r="I39" s="849"/>
      <c r="J39" s="849"/>
      <c r="K39" s="849"/>
      <c r="L39" s="849"/>
      <c r="M39" s="849"/>
      <c r="N39" s="849"/>
      <c r="O39" s="849"/>
      <c r="P39" s="849"/>
      <c r="Q39" s="849"/>
      <c r="R39" s="849"/>
      <c r="S39" s="849"/>
      <c r="T39" s="849"/>
      <c r="U39" s="849"/>
      <c r="V39" s="849"/>
    </row>
    <row r="40" customFormat="false" ht="30.75" hidden="false" customHeight="true" outlineLevel="0" collapsed="false">
      <c r="A40" s="849"/>
      <c r="B40" s="849"/>
      <c r="C40" s="849"/>
      <c r="D40" s="849"/>
      <c r="E40" s="849"/>
      <c r="F40" s="849"/>
      <c r="G40" s="849"/>
      <c r="H40" s="849"/>
      <c r="I40" s="849"/>
      <c r="J40" s="849"/>
      <c r="K40" s="849"/>
      <c r="L40" s="849"/>
      <c r="M40" s="849"/>
      <c r="N40" s="849"/>
      <c r="O40" s="849"/>
      <c r="P40" s="849"/>
      <c r="Q40" s="849"/>
      <c r="R40" s="849"/>
      <c r="S40" s="849"/>
      <c r="T40" s="849"/>
      <c r="U40" s="849"/>
      <c r="V40" s="849"/>
    </row>
    <row r="41" customFormat="false" ht="30.75" hidden="false" customHeight="true" outlineLevel="0" collapsed="false">
      <c r="A41" s="849"/>
      <c r="B41" s="849"/>
      <c r="C41" s="849"/>
      <c r="D41" s="849"/>
      <c r="E41" s="849"/>
      <c r="F41" s="849"/>
      <c r="G41" s="849"/>
      <c r="H41" s="849"/>
      <c r="I41" s="849"/>
      <c r="J41" s="849"/>
      <c r="K41" s="849"/>
      <c r="L41" s="849"/>
      <c r="M41" s="849"/>
      <c r="N41" s="849"/>
      <c r="O41" s="849"/>
      <c r="P41" s="849"/>
      <c r="Q41" s="849"/>
      <c r="R41" s="849"/>
      <c r="S41" s="849"/>
      <c r="T41" s="849"/>
      <c r="U41" s="849"/>
      <c r="V41" s="849"/>
    </row>
    <row r="42" customFormat="false" ht="30.75" hidden="false" customHeight="true" outlineLevel="0" collapsed="false">
      <c r="A42" s="849"/>
      <c r="B42" s="849"/>
      <c r="C42" s="849"/>
      <c r="D42" s="849"/>
      <c r="E42" s="849"/>
      <c r="F42" s="849"/>
      <c r="G42" s="849"/>
      <c r="H42" s="849"/>
      <c r="I42" s="849"/>
      <c r="J42" s="849"/>
      <c r="K42" s="849"/>
      <c r="L42" s="849"/>
      <c r="M42" s="849"/>
      <c r="N42" s="849"/>
      <c r="O42" s="849"/>
      <c r="P42" s="849"/>
      <c r="Q42" s="849"/>
      <c r="R42" s="849"/>
      <c r="S42" s="849"/>
      <c r="T42" s="849"/>
      <c r="U42" s="849"/>
      <c r="V42" s="849"/>
    </row>
    <row r="43" customFormat="false" ht="30.75" hidden="false" customHeight="true" outlineLevel="0" collapsed="false">
      <c r="A43" s="849"/>
      <c r="B43" s="849"/>
      <c r="C43" s="849"/>
      <c r="D43" s="849"/>
      <c r="E43" s="849"/>
      <c r="F43" s="849"/>
      <c r="G43" s="849"/>
      <c r="H43" s="849"/>
      <c r="I43" s="849"/>
      <c r="J43" s="849"/>
      <c r="K43" s="849"/>
      <c r="L43" s="849"/>
      <c r="M43" s="849"/>
      <c r="N43" s="849"/>
      <c r="O43" s="849"/>
      <c r="P43" s="849"/>
      <c r="Q43" s="849"/>
      <c r="R43" s="849"/>
      <c r="S43" s="849"/>
      <c r="T43" s="849"/>
      <c r="U43" s="849"/>
      <c r="V43" s="849"/>
    </row>
    <row r="44" customFormat="false" ht="30.75" hidden="false" customHeight="true" outlineLevel="0" collapsed="false">
      <c r="A44" s="849"/>
      <c r="B44" s="849"/>
      <c r="C44" s="849"/>
      <c r="D44" s="849"/>
      <c r="E44" s="849"/>
      <c r="F44" s="849"/>
      <c r="G44" s="849"/>
      <c r="H44" s="849"/>
      <c r="I44" s="849"/>
      <c r="J44" s="849"/>
      <c r="K44" s="849"/>
      <c r="L44" s="849"/>
      <c r="M44" s="849"/>
      <c r="N44" s="849"/>
      <c r="O44" s="849"/>
      <c r="P44" s="849"/>
      <c r="Q44" s="849"/>
      <c r="R44" s="849"/>
      <c r="S44" s="849"/>
      <c r="T44" s="849"/>
      <c r="U44" s="849"/>
      <c r="V44" s="849"/>
    </row>
    <row r="45" customFormat="false" ht="30.75" hidden="false" customHeight="true" outlineLevel="0" collapsed="false">
      <c r="A45" s="849"/>
      <c r="B45" s="849"/>
      <c r="C45" s="849"/>
      <c r="D45" s="849"/>
      <c r="E45" s="849"/>
      <c r="F45" s="849"/>
      <c r="G45" s="849"/>
      <c r="H45" s="849"/>
      <c r="I45" s="849"/>
      <c r="J45" s="849"/>
      <c r="K45" s="849"/>
      <c r="L45" s="849"/>
      <c r="M45" s="849"/>
      <c r="N45" s="849"/>
      <c r="O45" s="849"/>
      <c r="P45" s="849"/>
      <c r="Q45" s="849"/>
      <c r="R45" s="849"/>
      <c r="S45" s="849"/>
      <c r="T45" s="849"/>
      <c r="U45" s="849"/>
      <c r="V45" s="849"/>
    </row>
    <row r="46" customFormat="false" ht="30.75" hidden="false" customHeight="true" outlineLevel="0" collapsed="false">
      <c r="A46" s="849"/>
      <c r="B46" s="849"/>
      <c r="C46" s="849"/>
      <c r="D46" s="849"/>
      <c r="E46" s="849"/>
      <c r="F46" s="849"/>
      <c r="G46" s="849"/>
      <c r="H46" s="849"/>
      <c r="I46" s="849"/>
      <c r="J46" s="849"/>
      <c r="K46" s="849"/>
      <c r="L46" s="849"/>
      <c r="M46" s="849"/>
      <c r="N46" s="849"/>
      <c r="O46" s="849"/>
      <c r="P46" s="849"/>
      <c r="Q46" s="849"/>
      <c r="R46" s="849"/>
      <c r="S46" s="849"/>
      <c r="T46" s="849"/>
      <c r="U46" s="849"/>
      <c r="V46" s="849"/>
    </row>
    <row r="47" customFormat="false" ht="30.75" hidden="false" customHeight="true" outlineLevel="0" collapsed="false">
      <c r="A47" s="849"/>
      <c r="B47" s="849"/>
      <c r="C47" s="849"/>
      <c r="D47" s="849"/>
      <c r="E47" s="849"/>
      <c r="F47" s="849"/>
      <c r="G47" s="849"/>
      <c r="H47" s="849"/>
      <c r="I47" s="849"/>
      <c r="J47" s="849"/>
      <c r="K47" s="849"/>
      <c r="L47" s="849"/>
      <c r="M47" s="849"/>
      <c r="N47" s="849"/>
      <c r="O47" s="849"/>
      <c r="P47" s="849"/>
      <c r="Q47" s="849"/>
      <c r="R47" s="849"/>
      <c r="S47" s="849"/>
      <c r="T47" s="849"/>
      <c r="U47" s="849"/>
      <c r="V47" s="849"/>
    </row>
    <row r="48" customFormat="false" ht="30.75" hidden="false" customHeight="true" outlineLevel="0" collapsed="false">
      <c r="A48" s="849"/>
      <c r="B48" s="849"/>
      <c r="C48" s="849"/>
      <c r="D48" s="849"/>
      <c r="E48" s="849"/>
      <c r="F48" s="849"/>
      <c r="G48" s="849"/>
      <c r="H48" s="849"/>
      <c r="I48" s="849"/>
      <c r="J48" s="849"/>
      <c r="K48" s="849"/>
      <c r="L48" s="849"/>
      <c r="M48" s="849"/>
      <c r="N48" s="849"/>
      <c r="O48" s="849"/>
      <c r="P48" s="849"/>
      <c r="Q48" s="849"/>
      <c r="R48" s="849"/>
      <c r="S48" s="849"/>
      <c r="T48" s="849"/>
      <c r="U48" s="849"/>
      <c r="V48" s="849"/>
    </row>
    <row r="49" customFormat="false" ht="30.75" hidden="false" customHeight="true" outlineLevel="0" collapsed="false">
      <c r="A49" s="849"/>
      <c r="B49" s="849"/>
      <c r="C49" s="849"/>
      <c r="D49" s="849"/>
      <c r="E49" s="849"/>
      <c r="F49" s="849"/>
      <c r="G49" s="849"/>
      <c r="H49" s="849"/>
      <c r="I49" s="849"/>
      <c r="J49" s="849"/>
      <c r="K49" s="849"/>
      <c r="L49" s="849"/>
      <c r="M49" s="849"/>
      <c r="N49" s="849"/>
      <c r="O49" s="849"/>
      <c r="P49" s="849"/>
      <c r="Q49" s="849"/>
      <c r="R49" s="849"/>
      <c r="S49" s="849"/>
      <c r="T49" s="849"/>
      <c r="U49" s="849"/>
      <c r="V49" s="849"/>
    </row>
    <row r="50" customFormat="false" ht="30.75" hidden="false" customHeight="true" outlineLevel="0" collapsed="false">
      <c r="A50" s="849"/>
      <c r="B50" s="849"/>
      <c r="C50" s="849"/>
      <c r="D50" s="849"/>
      <c r="E50" s="849"/>
      <c r="F50" s="849"/>
      <c r="G50" s="849"/>
      <c r="H50" s="849"/>
      <c r="I50" s="849"/>
      <c r="J50" s="849"/>
      <c r="K50" s="849"/>
      <c r="L50" s="849"/>
      <c r="M50" s="849"/>
      <c r="N50" s="849"/>
      <c r="O50" s="849"/>
      <c r="P50" s="849"/>
      <c r="Q50" s="849"/>
      <c r="R50" s="849"/>
      <c r="S50" s="849"/>
      <c r="T50" s="849"/>
      <c r="U50" s="849"/>
      <c r="V50" s="849"/>
    </row>
    <row r="51" customFormat="false" ht="30.75" hidden="false" customHeight="true" outlineLevel="0" collapsed="false">
      <c r="A51" s="849"/>
      <c r="B51" s="849"/>
      <c r="C51" s="849"/>
      <c r="D51" s="849"/>
      <c r="E51" s="849"/>
      <c r="F51" s="849"/>
      <c r="G51" s="849"/>
      <c r="H51" s="849"/>
      <c r="I51" s="849"/>
      <c r="J51" s="849"/>
      <c r="K51" s="849"/>
      <c r="L51" s="849"/>
      <c r="M51" s="849"/>
      <c r="N51" s="849"/>
      <c r="O51" s="849"/>
      <c r="P51" s="849"/>
      <c r="Q51" s="849"/>
      <c r="R51" s="849"/>
      <c r="S51" s="849"/>
      <c r="T51" s="849"/>
      <c r="U51" s="849"/>
      <c r="V51" s="849"/>
    </row>
    <row r="52" customFormat="false" ht="30.75" hidden="false" customHeight="true" outlineLevel="0" collapsed="false">
      <c r="A52" s="849"/>
      <c r="B52" s="849"/>
      <c r="C52" s="849"/>
      <c r="D52" s="849"/>
      <c r="E52" s="849"/>
      <c r="F52" s="849"/>
      <c r="G52" s="849"/>
      <c r="H52" s="849"/>
      <c r="I52" s="849"/>
      <c r="J52" s="849"/>
      <c r="K52" s="849"/>
      <c r="L52" s="849"/>
      <c r="M52" s="849"/>
      <c r="N52" s="849"/>
      <c r="O52" s="849"/>
      <c r="P52" s="849"/>
      <c r="Q52" s="849"/>
      <c r="R52" s="849"/>
      <c r="S52" s="849"/>
      <c r="T52" s="849"/>
      <c r="U52" s="849"/>
    </row>
    <row r="53" customFormat="false" ht="30.75" hidden="false" customHeight="true" outlineLevel="0" collapsed="false">
      <c r="A53" s="849"/>
      <c r="B53" s="849"/>
      <c r="C53" s="849"/>
      <c r="D53" s="849"/>
      <c r="E53" s="849"/>
      <c r="F53" s="849"/>
      <c r="G53" s="849"/>
      <c r="H53" s="849"/>
      <c r="I53" s="849"/>
      <c r="J53" s="849"/>
      <c r="K53" s="849"/>
      <c r="L53" s="849"/>
      <c r="M53" s="849"/>
      <c r="N53" s="849"/>
      <c r="O53" s="849"/>
      <c r="P53" s="849"/>
      <c r="Q53" s="849"/>
      <c r="R53" s="849"/>
      <c r="S53" s="849"/>
      <c r="T53" s="849"/>
      <c r="U53" s="849"/>
    </row>
    <row r="54" customFormat="false" ht="30.75" hidden="false" customHeight="true" outlineLevel="0" collapsed="false">
      <c r="A54" s="849"/>
      <c r="B54" s="849"/>
      <c r="C54" s="849"/>
      <c r="D54" s="849"/>
      <c r="E54" s="849"/>
      <c r="F54" s="849"/>
      <c r="G54" s="849"/>
      <c r="H54" s="849"/>
      <c r="I54" s="849"/>
      <c r="J54" s="849"/>
      <c r="K54" s="849"/>
      <c r="L54" s="849"/>
      <c r="M54" s="849"/>
      <c r="N54" s="849"/>
      <c r="O54" s="849"/>
      <c r="P54" s="849"/>
      <c r="Q54" s="849"/>
      <c r="R54" s="849"/>
      <c r="S54" s="849"/>
      <c r="T54" s="849"/>
      <c r="U54" s="849"/>
    </row>
    <row r="55" customFormat="false" ht="30.75" hidden="false" customHeight="true" outlineLevel="0" collapsed="false">
      <c r="A55" s="849"/>
      <c r="B55" s="849"/>
      <c r="C55" s="849"/>
      <c r="D55" s="849"/>
      <c r="E55" s="849"/>
      <c r="F55" s="849"/>
      <c r="G55" s="849"/>
      <c r="H55" s="849"/>
      <c r="I55" s="849"/>
      <c r="J55" s="849"/>
      <c r="K55" s="849"/>
      <c r="L55" s="849"/>
      <c r="M55" s="849"/>
      <c r="N55" s="849"/>
      <c r="O55" s="849"/>
      <c r="P55" s="849"/>
      <c r="Q55" s="849"/>
      <c r="R55" s="849"/>
      <c r="S55" s="849"/>
      <c r="T55" s="849"/>
      <c r="U55" s="849"/>
    </row>
    <row r="56" customFormat="false" ht="30.75" hidden="false" customHeight="true" outlineLevel="0" collapsed="false">
      <c r="A56" s="849"/>
      <c r="B56" s="849"/>
      <c r="C56" s="849"/>
      <c r="D56" s="849"/>
      <c r="E56" s="849"/>
      <c r="F56" s="849"/>
      <c r="G56" s="849"/>
      <c r="H56" s="849"/>
      <c r="I56" s="849"/>
      <c r="J56" s="849"/>
      <c r="K56" s="849"/>
      <c r="L56" s="849"/>
      <c r="M56" s="849"/>
      <c r="N56" s="849"/>
      <c r="O56" s="849"/>
      <c r="P56" s="849"/>
      <c r="Q56" s="849"/>
      <c r="R56" s="849"/>
      <c r="S56" s="849"/>
      <c r="T56" s="849"/>
      <c r="U56" s="849"/>
    </row>
    <row r="57" customFormat="false" ht="30.75" hidden="false" customHeight="true" outlineLevel="0" collapsed="false">
      <c r="A57" s="849"/>
      <c r="B57" s="849"/>
      <c r="C57" s="849"/>
      <c r="D57" s="849"/>
      <c r="E57" s="849"/>
      <c r="F57" s="849"/>
      <c r="G57" s="849"/>
      <c r="H57" s="849"/>
      <c r="I57" s="849"/>
      <c r="J57" s="849"/>
      <c r="K57" s="849"/>
      <c r="L57" s="849"/>
      <c r="M57" s="849"/>
      <c r="N57" s="849"/>
      <c r="O57" s="849"/>
      <c r="P57" s="849"/>
      <c r="Q57" s="849"/>
      <c r="R57" s="849"/>
      <c r="S57" s="849"/>
      <c r="T57" s="849"/>
      <c r="U57" s="849"/>
    </row>
    <row r="58" customFormat="false" ht="30.75" hidden="false" customHeight="true" outlineLevel="0" collapsed="false">
      <c r="A58" s="849"/>
      <c r="B58" s="849"/>
      <c r="C58" s="849"/>
      <c r="D58" s="849"/>
      <c r="E58" s="849"/>
      <c r="F58" s="849"/>
      <c r="G58" s="849"/>
      <c r="H58" s="849"/>
      <c r="I58" s="849"/>
      <c r="J58" s="849"/>
      <c r="K58" s="849"/>
      <c r="L58" s="849"/>
      <c r="M58" s="849"/>
      <c r="N58" s="849"/>
      <c r="O58" s="849"/>
      <c r="P58" s="849"/>
      <c r="Q58" s="849"/>
      <c r="R58" s="849"/>
      <c r="S58" s="849"/>
      <c r="T58" s="849"/>
      <c r="U58" s="849"/>
    </row>
    <row r="59" customFormat="false" ht="30.75" hidden="false" customHeight="true" outlineLevel="0" collapsed="false">
      <c r="A59" s="849"/>
      <c r="B59" s="849"/>
      <c r="C59" s="849"/>
      <c r="D59" s="849"/>
      <c r="E59" s="849"/>
      <c r="F59" s="849"/>
      <c r="G59" s="849"/>
      <c r="H59" s="849"/>
      <c r="I59" s="849"/>
      <c r="J59" s="849"/>
      <c r="K59" s="849"/>
      <c r="L59" s="849"/>
      <c r="M59" s="849"/>
      <c r="N59" s="849"/>
      <c r="O59" s="849"/>
      <c r="P59" s="849"/>
      <c r="Q59" s="849"/>
      <c r="R59" s="849"/>
      <c r="S59" s="849"/>
      <c r="T59" s="849"/>
      <c r="U59" s="849"/>
    </row>
    <row r="60" customFormat="false" ht="30.75" hidden="false" customHeight="true" outlineLevel="0" collapsed="false">
      <c r="A60" s="849"/>
      <c r="B60" s="849"/>
      <c r="C60" s="849"/>
      <c r="D60" s="849"/>
      <c r="E60" s="849"/>
      <c r="F60" s="849"/>
      <c r="G60" s="849"/>
      <c r="H60" s="849"/>
      <c r="I60" s="849"/>
      <c r="J60" s="849"/>
      <c r="K60" s="849"/>
      <c r="L60" s="849"/>
      <c r="M60" s="849"/>
      <c r="N60" s="849"/>
      <c r="O60" s="849"/>
      <c r="P60" s="849"/>
      <c r="Q60" s="849"/>
      <c r="R60" s="849"/>
      <c r="S60" s="849"/>
      <c r="T60" s="849"/>
      <c r="U60" s="849"/>
    </row>
    <row r="61" customFormat="false" ht="30.75" hidden="false" customHeight="true" outlineLevel="0" collapsed="false">
      <c r="A61" s="849"/>
      <c r="B61" s="849"/>
      <c r="C61" s="849"/>
      <c r="D61" s="849"/>
      <c r="E61" s="849"/>
      <c r="F61" s="849"/>
      <c r="G61" s="849"/>
      <c r="H61" s="849"/>
      <c r="I61" s="849"/>
      <c r="J61" s="849"/>
      <c r="K61" s="849"/>
      <c r="L61" s="849"/>
      <c r="M61" s="849"/>
      <c r="N61" s="849"/>
      <c r="O61" s="849"/>
      <c r="P61" s="849"/>
      <c r="Q61" s="849"/>
      <c r="R61" s="849"/>
      <c r="S61" s="849"/>
      <c r="T61" s="849"/>
      <c r="U61" s="849"/>
    </row>
    <row r="62" customFormat="false" ht="30.75" hidden="false" customHeight="true" outlineLevel="0" collapsed="false">
      <c r="A62" s="849"/>
      <c r="B62" s="849"/>
      <c r="C62" s="849"/>
      <c r="D62" s="849"/>
      <c r="E62" s="849"/>
      <c r="F62" s="849"/>
      <c r="G62" s="849"/>
      <c r="H62" s="849"/>
      <c r="I62" s="849"/>
      <c r="J62" s="849"/>
      <c r="K62" s="849"/>
      <c r="L62" s="849"/>
      <c r="M62" s="849"/>
      <c r="N62" s="849"/>
      <c r="O62" s="849"/>
      <c r="P62" s="849"/>
      <c r="Q62" s="849"/>
      <c r="R62" s="849"/>
      <c r="S62" s="849"/>
      <c r="T62" s="849"/>
      <c r="U62" s="849"/>
    </row>
    <row r="63" customFormat="false" ht="30.75" hidden="false" customHeight="true" outlineLevel="0" collapsed="false">
      <c r="B63" s="849"/>
      <c r="C63" s="849"/>
      <c r="D63" s="849"/>
      <c r="E63" s="849"/>
      <c r="F63" s="849"/>
      <c r="G63" s="849"/>
      <c r="H63" s="849"/>
    </row>
    <row r="64" customFormat="false" ht="30.75" hidden="false" customHeight="true" outlineLevel="0" collapsed="false">
      <c r="B64" s="849"/>
      <c r="C64" s="849"/>
      <c r="D64" s="849"/>
      <c r="E64" s="849"/>
      <c r="F64" s="849"/>
      <c r="G64" s="849"/>
      <c r="H64" s="849"/>
    </row>
    <row r="65" customFormat="false" ht="30.75" hidden="false" customHeight="true" outlineLevel="0" collapsed="false">
      <c r="B65" s="849"/>
      <c r="C65" s="849"/>
      <c r="D65" s="849"/>
      <c r="E65" s="849"/>
      <c r="F65" s="849"/>
      <c r="G65" s="849"/>
      <c r="H65" s="849"/>
    </row>
    <row r="66" customFormat="false" ht="30.75" hidden="false" customHeight="true" outlineLevel="0" collapsed="false">
      <c r="B66" s="849"/>
      <c r="C66" s="849"/>
      <c r="D66" s="849"/>
      <c r="E66" s="849"/>
      <c r="F66" s="849"/>
      <c r="G66" s="849"/>
      <c r="H66" s="849"/>
    </row>
    <row r="67" customFormat="false" ht="30.75" hidden="false" customHeight="true" outlineLevel="0" collapsed="false">
      <c r="B67" s="849"/>
      <c r="C67" s="849"/>
      <c r="D67" s="849"/>
      <c r="E67" s="849"/>
      <c r="F67" s="849"/>
      <c r="G67" s="849"/>
      <c r="H67" s="849"/>
    </row>
    <row r="68" customFormat="false" ht="30.75" hidden="false" customHeight="true" outlineLevel="0" collapsed="false">
      <c r="B68" s="849"/>
      <c r="C68" s="849"/>
      <c r="D68" s="849"/>
      <c r="E68" s="849"/>
      <c r="F68" s="849"/>
      <c r="G68" s="849"/>
      <c r="H68" s="84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2"/>
  <sheetViews>
    <sheetView showFormulas="false" showGridLines="false" showRowColHeaders="true" showZeros="true" rightToLeft="false" tabSelected="false" showOutlineSymbols="true" defaultGridColor="true" view="normal" topLeftCell="A3" colorId="64" zoomScale="140" zoomScaleNormal="140" zoomScalePageLayoutView="100" workbookViewId="0">
      <selection pane="topLeft" activeCell="J13" activeCellId="0" sqref="J13"/>
    </sheetView>
  </sheetViews>
  <sheetFormatPr defaultColWidth="19.859375" defaultRowHeight="30.75" zeroHeight="false" outlineLevelRow="0" outlineLevelCol="0"/>
  <cols>
    <col collapsed="false" customWidth="false" hidden="false" outlineLevel="0" max="16384" min="1" style="958" width="19.86"/>
  </cols>
  <sheetData>
    <row r="1" customFormat="false" ht="30.75" hidden="false" customHeight="true" outlineLevel="0" collapsed="false">
      <c r="A1" s="849"/>
      <c r="B1" s="977" t="s">
        <v>351</v>
      </c>
      <c r="C1" s="849"/>
      <c r="D1" s="849"/>
      <c r="E1" s="849"/>
      <c r="F1" s="849"/>
      <c r="G1" s="849"/>
      <c r="H1" s="849"/>
      <c r="I1" s="849"/>
      <c r="J1" s="849"/>
      <c r="K1" s="849"/>
      <c r="L1" s="849"/>
      <c r="M1" s="849"/>
      <c r="N1" s="849"/>
      <c r="O1" s="849"/>
      <c r="P1" s="849"/>
      <c r="Q1" s="849"/>
      <c r="R1" s="849"/>
      <c r="S1" s="849"/>
      <c r="T1" s="849"/>
      <c r="U1" s="849"/>
      <c r="V1" s="849"/>
      <c r="W1" s="849"/>
      <c r="X1" s="849"/>
      <c r="Y1" s="849"/>
      <c r="Z1" s="849"/>
      <c r="AA1" s="849"/>
      <c r="AB1" s="849"/>
      <c r="AC1" s="849"/>
      <c r="AD1" s="849"/>
      <c r="AE1" s="849"/>
      <c r="AF1" s="849"/>
      <c r="AG1" s="849"/>
    </row>
    <row r="2" customFormat="false" ht="30.75" hidden="false" customHeight="true" outlineLevel="0" collapsed="false">
      <c r="A2" s="849"/>
      <c r="B2" s="978" t="s">
        <v>6</v>
      </c>
      <c r="C2" s="979" t="s">
        <v>7</v>
      </c>
      <c r="D2" s="979" t="s">
        <v>8</v>
      </c>
      <c r="E2" s="979" t="s">
        <v>9</v>
      </c>
      <c r="F2" s="979" t="s">
        <v>8</v>
      </c>
      <c r="G2" s="979" t="s">
        <v>11</v>
      </c>
      <c r="H2" s="980" t="s">
        <v>6</v>
      </c>
      <c r="I2" s="849"/>
      <c r="J2" s="849"/>
      <c r="K2" s="849"/>
      <c r="L2" s="849"/>
      <c r="M2" s="849"/>
      <c r="N2" s="849"/>
      <c r="O2" s="849"/>
      <c r="P2" s="849"/>
      <c r="Q2" s="849"/>
      <c r="R2" s="849"/>
      <c r="S2" s="849"/>
      <c r="T2" s="849"/>
      <c r="U2" s="849"/>
      <c r="V2" s="849"/>
      <c r="W2" s="849"/>
      <c r="X2" s="849"/>
      <c r="Y2" s="849"/>
      <c r="Z2" s="849"/>
      <c r="AA2" s="849"/>
      <c r="AB2" s="849"/>
      <c r="AC2" s="849"/>
      <c r="AD2" s="849"/>
      <c r="AE2" s="849"/>
      <c r="AF2" s="849"/>
      <c r="AG2" s="849"/>
    </row>
    <row r="3" customFormat="false" ht="30.75" hidden="false" customHeight="true" outlineLevel="0" collapsed="false">
      <c r="A3" s="849"/>
      <c r="B3" s="1021"/>
      <c r="C3" s="1021"/>
      <c r="D3" s="1021"/>
      <c r="E3" s="1021"/>
      <c r="F3" s="1021"/>
      <c r="G3" s="981" t="n">
        <v>1</v>
      </c>
      <c r="H3" s="998" t="n">
        <v>2</v>
      </c>
      <c r="I3" s="1022" t="s">
        <v>14</v>
      </c>
      <c r="J3" s="849"/>
      <c r="K3" s="849"/>
      <c r="L3" s="849"/>
      <c r="M3" s="849"/>
      <c r="N3" s="849"/>
      <c r="O3" s="849"/>
      <c r="P3" s="849"/>
      <c r="Q3" s="849"/>
      <c r="R3" s="849"/>
      <c r="S3" s="849"/>
      <c r="T3" s="849"/>
      <c r="U3" s="849"/>
      <c r="V3" s="849"/>
      <c r="W3" s="849"/>
      <c r="X3" s="849"/>
      <c r="Y3" s="849"/>
      <c r="Z3" s="849"/>
      <c r="AA3" s="849"/>
      <c r="AB3" s="849"/>
      <c r="AC3" s="849"/>
      <c r="AD3" s="849"/>
      <c r="AE3" s="849"/>
      <c r="AF3" s="849"/>
      <c r="AG3" s="849"/>
    </row>
    <row r="4" customFormat="false" ht="30.75" hidden="false" customHeight="true" outlineLevel="0" collapsed="false">
      <c r="A4" s="849"/>
      <c r="B4" s="1023"/>
      <c r="C4" s="1023"/>
      <c r="D4" s="1023"/>
      <c r="E4" s="1023"/>
      <c r="F4" s="1023"/>
      <c r="G4" s="983" t="s">
        <v>169</v>
      </c>
      <c r="H4" s="999" t="s">
        <v>169</v>
      </c>
      <c r="I4" s="1024" t="s">
        <v>16</v>
      </c>
      <c r="J4" s="849"/>
      <c r="K4" s="849"/>
      <c r="L4" s="849"/>
      <c r="M4" s="849"/>
      <c r="N4" s="849"/>
      <c r="O4" s="849"/>
      <c r="P4" s="849"/>
      <c r="Q4" s="849"/>
      <c r="R4" s="849"/>
      <c r="S4" s="849"/>
      <c r="T4" s="849"/>
      <c r="U4" s="849"/>
      <c r="V4" s="849"/>
      <c r="W4" s="849"/>
      <c r="X4" s="849"/>
      <c r="Y4" s="849"/>
      <c r="Z4" s="849"/>
      <c r="AA4" s="849"/>
      <c r="AB4" s="849"/>
      <c r="AC4" s="849"/>
      <c r="AD4" s="849"/>
      <c r="AE4" s="849"/>
      <c r="AF4" s="849"/>
      <c r="AG4" s="849"/>
    </row>
    <row r="5" customFormat="false" ht="30.75" hidden="false" customHeight="true" outlineLevel="0" collapsed="false">
      <c r="A5" s="849"/>
      <c r="B5" s="1025"/>
      <c r="C5" s="1025"/>
      <c r="D5" s="1025"/>
      <c r="E5" s="1025"/>
      <c r="F5" s="1025"/>
      <c r="G5" s="1026" t="n">
        <v>0.83</v>
      </c>
      <c r="H5" s="1027" t="n">
        <v>0.75</v>
      </c>
      <c r="I5" s="1028" t="s">
        <v>536</v>
      </c>
      <c r="J5" s="849"/>
      <c r="K5" s="849"/>
      <c r="L5" s="849"/>
      <c r="M5" s="849"/>
      <c r="N5" s="849"/>
      <c r="O5" s="849"/>
      <c r="P5" s="849"/>
      <c r="Q5" s="849"/>
      <c r="R5" s="849"/>
      <c r="S5" s="849"/>
      <c r="T5" s="849"/>
      <c r="U5" s="849"/>
      <c r="V5" s="849"/>
      <c r="W5" s="849"/>
      <c r="X5" s="849"/>
      <c r="Y5" s="849"/>
      <c r="Z5" s="849"/>
      <c r="AA5" s="849"/>
      <c r="AB5" s="849"/>
      <c r="AC5" s="849"/>
      <c r="AD5" s="849"/>
      <c r="AE5" s="849"/>
      <c r="AF5" s="849"/>
      <c r="AG5" s="849"/>
    </row>
    <row r="6" customFormat="false" ht="30.75" hidden="false" customHeight="true" outlineLevel="0" collapsed="false">
      <c r="A6" s="849"/>
      <c r="B6" s="981" t="n">
        <v>3</v>
      </c>
      <c r="C6" s="981" t="n">
        <v>4</v>
      </c>
      <c r="D6" s="981" t="n">
        <v>5</v>
      </c>
      <c r="E6" s="981" t="n">
        <v>6</v>
      </c>
      <c r="F6" s="981" t="n">
        <v>7</v>
      </c>
      <c r="G6" s="981" t="n">
        <v>8</v>
      </c>
      <c r="H6" s="998" t="n">
        <v>9</v>
      </c>
      <c r="I6" s="849"/>
      <c r="J6" s="849"/>
      <c r="K6" s="849"/>
      <c r="L6" s="849"/>
      <c r="M6" s="849"/>
      <c r="N6" s="849"/>
      <c r="O6" s="849"/>
      <c r="P6" s="849"/>
      <c r="Q6" s="849"/>
      <c r="R6" s="849"/>
      <c r="S6" s="849"/>
      <c r="T6" s="849"/>
      <c r="U6" s="849"/>
      <c r="V6" s="849"/>
      <c r="W6" s="849"/>
      <c r="X6" s="849"/>
      <c r="Y6" s="849"/>
      <c r="Z6" s="849"/>
      <c r="AA6" s="849"/>
      <c r="AB6" s="849"/>
      <c r="AC6" s="849"/>
      <c r="AD6" s="849"/>
      <c r="AE6" s="849"/>
      <c r="AF6" s="849"/>
      <c r="AG6" s="849"/>
    </row>
    <row r="7" customFormat="false" ht="30.75" hidden="false" customHeight="true" outlineLevel="0" collapsed="false">
      <c r="A7" s="849"/>
      <c r="B7" s="983" t="s">
        <v>62</v>
      </c>
      <c r="C7" s="983" t="s">
        <v>352</v>
      </c>
      <c r="D7" s="983" t="s">
        <v>62</v>
      </c>
      <c r="E7" s="983" t="s">
        <v>352</v>
      </c>
      <c r="F7" s="983" t="s">
        <v>541</v>
      </c>
      <c r="G7" s="983" t="s">
        <v>352</v>
      </c>
      <c r="H7" s="999" t="s">
        <v>169</v>
      </c>
      <c r="I7" s="849"/>
      <c r="J7" s="849"/>
      <c r="K7" s="849"/>
      <c r="L7" s="849"/>
      <c r="M7" s="849"/>
      <c r="N7" s="849"/>
      <c r="O7" s="849"/>
      <c r="P7" s="849"/>
      <c r="Q7" s="849"/>
      <c r="R7" s="849"/>
      <c r="S7" s="849"/>
      <c r="T7" s="849"/>
      <c r="U7" s="849"/>
      <c r="V7" s="849"/>
      <c r="W7" s="849"/>
      <c r="X7" s="849"/>
      <c r="Y7" s="849"/>
      <c r="Z7" s="849"/>
      <c r="AA7" s="849"/>
      <c r="AB7" s="849"/>
      <c r="AC7" s="849"/>
      <c r="AD7" s="849"/>
      <c r="AE7" s="849"/>
      <c r="AF7" s="849"/>
      <c r="AG7" s="849"/>
    </row>
    <row r="8" customFormat="false" ht="30.75" hidden="false" customHeight="true" outlineLevel="0" collapsed="false">
      <c r="A8" s="849"/>
      <c r="B8" s="1026" t="n">
        <v>0.66</v>
      </c>
      <c r="C8" s="1026" t="n">
        <v>0.56</v>
      </c>
      <c r="D8" s="1026" t="n">
        <v>0.47</v>
      </c>
      <c r="E8" s="1026" t="n">
        <v>0.37</v>
      </c>
      <c r="F8" s="1026" t="n">
        <v>0.28</v>
      </c>
      <c r="G8" s="1026" t="n">
        <v>0.19</v>
      </c>
      <c r="H8" s="1027" t="n">
        <v>0.12</v>
      </c>
      <c r="I8" s="849"/>
      <c r="J8" s="849"/>
      <c r="K8" s="849"/>
      <c r="L8" s="849"/>
      <c r="M8" s="849"/>
      <c r="N8" s="849"/>
      <c r="O8" s="849"/>
      <c r="P8" s="849"/>
      <c r="Q8" s="849"/>
      <c r="R8" s="849"/>
      <c r="S8" s="849"/>
      <c r="T8" s="849"/>
      <c r="U8" s="849"/>
      <c r="V8" s="849"/>
      <c r="W8" s="849"/>
      <c r="X8" s="849"/>
      <c r="Y8" s="849"/>
      <c r="Z8" s="849"/>
      <c r="AA8" s="849"/>
      <c r="AB8" s="849"/>
      <c r="AC8" s="849"/>
      <c r="AD8" s="849"/>
      <c r="AE8" s="849"/>
      <c r="AF8" s="849"/>
      <c r="AG8" s="849"/>
    </row>
    <row r="9" customFormat="false" ht="30.75" hidden="false" customHeight="true" outlineLevel="0" collapsed="false">
      <c r="A9" s="849"/>
      <c r="B9" s="981" t="n">
        <v>10</v>
      </c>
      <c r="C9" s="981" t="n">
        <v>11</v>
      </c>
      <c r="D9" s="981" t="n">
        <v>12</v>
      </c>
      <c r="E9" s="981" t="n">
        <v>13</v>
      </c>
      <c r="F9" s="981" t="n">
        <v>14</v>
      </c>
      <c r="G9" s="981" t="n">
        <v>15</v>
      </c>
      <c r="H9" s="998" t="n">
        <v>16</v>
      </c>
      <c r="I9" s="849"/>
      <c r="J9" s="849"/>
      <c r="K9" s="849"/>
      <c r="L9" s="849"/>
      <c r="M9" s="849"/>
      <c r="N9" s="849"/>
      <c r="O9" s="849"/>
      <c r="P9" s="849"/>
      <c r="Q9" s="849"/>
      <c r="R9" s="849"/>
      <c r="S9" s="849"/>
      <c r="T9" s="849"/>
      <c r="U9" s="849"/>
      <c r="V9" s="849"/>
      <c r="W9" s="849"/>
      <c r="X9" s="849"/>
      <c r="Y9" s="849"/>
      <c r="Z9" s="849"/>
      <c r="AA9" s="849"/>
      <c r="AB9" s="849"/>
      <c r="AC9" s="849"/>
      <c r="AD9" s="849"/>
      <c r="AE9" s="849"/>
      <c r="AF9" s="849"/>
      <c r="AG9" s="849"/>
    </row>
    <row r="10" customFormat="false" ht="30.75" hidden="false" customHeight="true" outlineLevel="0" collapsed="false">
      <c r="A10" s="849"/>
      <c r="B10" s="983" t="s">
        <v>541</v>
      </c>
      <c r="C10" s="983" t="s">
        <v>54</v>
      </c>
      <c r="D10" s="983" t="s">
        <v>62</v>
      </c>
      <c r="E10" s="983" t="s">
        <v>622</v>
      </c>
      <c r="F10" s="983" t="s">
        <v>623</v>
      </c>
      <c r="G10" s="983" t="s">
        <v>54</v>
      </c>
      <c r="H10" s="999" t="s">
        <v>169</v>
      </c>
      <c r="I10" s="849"/>
      <c r="J10" s="849"/>
      <c r="K10" s="849"/>
      <c r="L10" s="849"/>
      <c r="M10" s="849"/>
      <c r="N10" s="849"/>
      <c r="O10" s="849"/>
      <c r="P10" s="849"/>
      <c r="Q10" s="849"/>
      <c r="R10" s="849"/>
      <c r="S10" s="849"/>
      <c r="T10" s="849"/>
      <c r="U10" s="849"/>
      <c r="V10" s="849"/>
      <c r="W10" s="849"/>
      <c r="X10" s="849"/>
      <c r="Y10" s="849"/>
      <c r="Z10" s="849"/>
      <c r="AA10" s="849"/>
      <c r="AB10" s="849"/>
      <c r="AC10" s="849"/>
      <c r="AD10" s="849"/>
      <c r="AE10" s="849"/>
      <c r="AF10" s="849"/>
      <c r="AG10" s="849"/>
    </row>
    <row r="11" customFormat="false" ht="30.75" hidden="false" customHeight="true" outlineLevel="0" collapsed="false">
      <c r="A11" s="849"/>
      <c r="B11" s="1026" t="s">
        <v>4</v>
      </c>
      <c r="C11" s="1026" t="n">
        <v>0.02</v>
      </c>
      <c r="D11" s="1026" t="n">
        <v>0</v>
      </c>
      <c r="E11" s="1026" t="n">
        <v>0.01</v>
      </c>
      <c r="F11" s="1026" t="n">
        <v>0.05</v>
      </c>
      <c r="G11" s="1026" t="n">
        <v>0.11</v>
      </c>
      <c r="H11" s="1027" t="n">
        <v>0.2</v>
      </c>
      <c r="I11" s="849"/>
      <c r="J11" s="849"/>
      <c r="K11" s="849"/>
      <c r="L11" s="849"/>
      <c r="M11" s="849"/>
      <c r="N11" s="849"/>
      <c r="O11" s="849"/>
      <c r="P11" s="849"/>
      <c r="Q11" s="849"/>
      <c r="R11" s="849"/>
      <c r="S11" s="849"/>
      <c r="T11" s="849"/>
      <c r="U11" s="849"/>
      <c r="V11" s="849"/>
      <c r="W11" s="849"/>
      <c r="X11" s="849"/>
      <c r="Y11" s="849"/>
      <c r="Z11" s="849"/>
      <c r="AA11" s="849"/>
      <c r="AB11" s="849"/>
      <c r="AC11" s="849"/>
      <c r="AD11" s="849"/>
      <c r="AE11" s="849"/>
      <c r="AF11" s="849"/>
      <c r="AG11" s="849"/>
    </row>
    <row r="12" customFormat="false" ht="30.75" hidden="false" customHeight="true" outlineLevel="0" collapsed="false">
      <c r="A12" s="849"/>
      <c r="B12" s="981" t="n">
        <v>17</v>
      </c>
      <c r="C12" s="981" t="n">
        <v>18</v>
      </c>
      <c r="D12" s="981" t="n">
        <v>19</v>
      </c>
      <c r="E12" s="981" t="n">
        <v>20</v>
      </c>
      <c r="F12" s="981" t="n">
        <v>21</v>
      </c>
      <c r="G12" s="981" t="n">
        <v>22</v>
      </c>
      <c r="H12" s="998" t="n">
        <v>23</v>
      </c>
      <c r="I12" s="849"/>
      <c r="J12" s="849"/>
      <c r="K12" s="849"/>
      <c r="L12" s="849"/>
      <c r="M12" s="849"/>
      <c r="N12" s="849"/>
      <c r="O12" s="849"/>
      <c r="P12" s="849"/>
      <c r="Q12" s="849"/>
      <c r="R12" s="849"/>
      <c r="S12" s="849"/>
      <c r="T12" s="849"/>
      <c r="U12" s="849"/>
      <c r="V12" s="849"/>
      <c r="W12" s="849"/>
      <c r="X12" s="849"/>
      <c r="Y12" s="849"/>
      <c r="Z12" s="849"/>
      <c r="AA12" s="849"/>
      <c r="AB12" s="849"/>
      <c r="AC12" s="849"/>
      <c r="AD12" s="849"/>
      <c r="AE12" s="849"/>
      <c r="AF12" s="849"/>
      <c r="AG12" s="849"/>
    </row>
    <row r="13" customFormat="false" ht="30.75" hidden="false" customHeight="true" outlineLevel="0" collapsed="false">
      <c r="A13" s="849"/>
      <c r="B13" s="983" t="s">
        <v>62</v>
      </c>
      <c r="C13" s="983" t="s">
        <v>54</v>
      </c>
      <c r="D13" s="983" t="s">
        <v>62</v>
      </c>
      <c r="E13" s="983" t="s">
        <v>352</v>
      </c>
      <c r="F13" s="983" t="s">
        <v>352</v>
      </c>
      <c r="G13" s="983" t="s">
        <v>54</v>
      </c>
      <c r="H13" s="1006"/>
      <c r="I13" s="849"/>
      <c r="J13" s="849" t="s">
        <v>624</v>
      </c>
      <c r="K13" s="849"/>
      <c r="L13" s="849"/>
      <c r="M13" s="849"/>
      <c r="N13" s="849"/>
      <c r="O13" s="849"/>
      <c r="P13" s="849"/>
      <c r="Q13" s="849"/>
      <c r="R13" s="849"/>
      <c r="S13" s="849"/>
      <c r="T13" s="849"/>
      <c r="U13" s="849"/>
      <c r="V13" s="849"/>
      <c r="W13" s="849"/>
      <c r="X13" s="849"/>
      <c r="Y13" s="849"/>
      <c r="Z13" s="849"/>
      <c r="AA13" s="849"/>
      <c r="AB13" s="849"/>
      <c r="AC13" s="849"/>
      <c r="AD13" s="849"/>
      <c r="AE13" s="849"/>
      <c r="AF13" s="849"/>
      <c r="AG13" s="849"/>
    </row>
    <row r="14" customFormat="false" ht="30.75" hidden="false" customHeight="true" outlineLevel="0" collapsed="false">
      <c r="A14" s="849"/>
      <c r="B14" s="1026" t="n">
        <v>0.3</v>
      </c>
      <c r="C14" s="1026" t="n">
        <v>0.42</v>
      </c>
      <c r="D14" s="1026" t="n">
        <v>0.44</v>
      </c>
      <c r="E14" s="1026" t="n">
        <v>0.65</v>
      </c>
      <c r="F14" s="1026" t="n">
        <v>0.75</v>
      </c>
      <c r="G14" s="1026" t="n">
        <v>0.84</v>
      </c>
      <c r="H14" s="1027" t="n">
        <v>0.91</v>
      </c>
      <c r="I14" s="849"/>
      <c r="J14" s="849"/>
      <c r="K14" s="849"/>
      <c r="L14" s="849"/>
      <c r="M14" s="849"/>
      <c r="N14" s="849"/>
      <c r="O14" s="849"/>
      <c r="P14" s="849"/>
      <c r="Q14" s="849"/>
      <c r="R14" s="849"/>
      <c r="S14" s="849"/>
      <c r="T14" s="849"/>
      <c r="U14" s="849"/>
      <c r="V14" s="849"/>
      <c r="W14" s="849"/>
      <c r="X14" s="849"/>
      <c r="Y14" s="849"/>
      <c r="Z14" s="849"/>
      <c r="AA14" s="849"/>
      <c r="AB14" s="849"/>
      <c r="AC14" s="849"/>
      <c r="AD14" s="849"/>
      <c r="AE14" s="849"/>
      <c r="AF14" s="849"/>
      <c r="AG14" s="849"/>
    </row>
    <row r="15" customFormat="false" ht="30.75" hidden="false" customHeight="true" outlineLevel="0" collapsed="false">
      <c r="A15" s="849"/>
      <c r="B15" s="981" t="n">
        <v>24</v>
      </c>
      <c r="C15" s="981" t="n">
        <v>25</v>
      </c>
      <c r="D15" s="981" t="n">
        <v>26</v>
      </c>
      <c r="E15" s="981" t="n">
        <v>27</v>
      </c>
      <c r="F15" s="981" t="n">
        <v>28</v>
      </c>
      <c r="G15" s="981" t="n">
        <v>29</v>
      </c>
      <c r="H15" s="998" t="n">
        <v>30</v>
      </c>
      <c r="I15" s="849"/>
      <c r="J15" s="849"/>
      <c r="K15" s="849"/>
      <c r="L15" s="849"/>
      <c r="M15" s="849"/>
      <c r="N15" s="849"/>
      <c r="O15" s="849"/>
      <c r="P15" s="849"/>
      <c r="Q15" s="849"/>
      <c r="R15" s="849"/>
      <c r="S15" s="849"/>
      <c r="T15" s="849"/>
      <c r="U15" s="849"/>
      <c r="V15" s="849"/>
      <c r="W15" s="849"/>
      <c r="X15" s="849"/>
      <c r="Y15" s="849"/>
      <c r="Z15" s="849"/>
      <c r="AA15" s="849"/>
      <c r="AB15" s="849"/>
      <c r="AC15" s="849"/>
      <c r="AD15" s="849"/>
      <c r="AE15" s="849"/>
      <c r="AF15" s="849"/>
      <c r="AG15" s="849"/>
    </row>
    <row r="16" customFormat="false" ht="30.75" hidden="false" customHeight="true" outlineLevel="0" collapsed="false">
      <c r="A16" s="849"/>
      <c r="B16" s="1005"/>
      <c r="C16" s="1005"/>
      <c r="D16" s="1005"/>
      <c r="E16" s="1005"/>
      <c r="F16" s="1005"/>
      <c r="G16" s="1005"/>
      <c r="H16" s="1006"/>
      <c r="I16" s="849"/>
      <c r="J16" s="849"/>
      <c r="K16" s="849"/>
      <c r="L16" s="849"/>
      <c r="M16" s="849"/>
      <c r="N16" s="849"/>
      <c r="O16" s="849"/>
      <c r="P16" s="849"/>
      <c r="Q16" s="849"/>
      <c r="R16" s="849"/>
      <c r="S16" s="849"/>
      <c r="T16" s="849"/>
      <c r="U16" s="849"/>
      <c r="V16" s="849"/>
      <c r="W16" s="849"/>
      <c r="X16" s="849"/>
      <c r="Y16" s="849"/>
      <c r="Z16" s="849"/>
      <c r="AA16" s="849"/>
      <c r="AB16" s="849"/>
      <c r="AC16" s="849"/>
      <c r="AD16" s="849"/>
      <c r="AE16" s="849"/>
      <c r="AF16" s="849"/>
      <c r="AG16" s="849"/>
    </row>
    <row r="17" customFormat="false" ht="30.75" hidden="false" customHeight="true" outlineLevel="0" collapsed="false">
      <c r="A17" s="849"/>
      <c r="B17" s="1026" t="n">
        <v>0.96</v>
      </c>
      <c r="C17" s="1026" t="n">
        <v>0.99</v>
      </c>
      <c r="D17" s="1026" t="n">
        <v>1</v>
      </c>
      <c r="E17" s="1026" t="n">
        <v>1</v>
      </c>
      <c r="F17" s="1026" t="n">
        <v>0.98</v>
      </c>
      <c r="G17" s="1026" t="n">
        <v>0.94</v>
      </c>
      <c r="H17" s="1027" t="n">
        <v>0.89</v>
      </c>
      <c r="I17" s="849"/>
      <c r="J17" s="849"/>
      <c r="K17" s="849"/>
      <c r="L17" s="849"/>
      <c r="M17" s="849"/>
      <c r="N17" s="849"/>
      <c r="O17" s="849"/>
      <c r="P17" s="849"/>
      <c r="Q17" s="849"/>
      <c r="R17" s="849"/>
      <c r="S17" s="849"/>
      <c r="T17" s="849"/>
      <c r="U17" s="849"/>
      <c r="V17" s="849"/>
      <c r="W17" s="849"/>
      <c r="X17" s="849"/>
      <c r="Y17" s="849"/>
      <c r="Z17" s="849"/>
      <c r="AA17" s="849"/>
      <c r="AB17" s="849"/>
      <c r="AC17" s="849"/>
      <c r="AD17" s="849"/>
      <c r="AE17" s="849"/>
      <c r="AF17" s="849"/>
      <c r="AG17" s="849"/>
    </row>
    <row r="18" customFormat="false" ht="30.75" hidden="false" customHeight="true" outlineLevel="0" collapsed="false">
      <c r="A18" s="849"/>
      <c r="B18" s="981" t="n">
        <v>31</v>
      </c>
      <c r="C18" s="981"/>
      <c r="D18" s="981"/>
      <c r="E18" s="981"/>
      <c r="F18" s="981"/>
      <c r="G18" s="981"/>
      <c r="H18" s="998"/>
      <c r="I18" s="849"/>
      <c r="J18" s="849"/>
      <c r="K18" s="849"/>
      <c r="L18" s="849"/>
      <c r="M18" s="849"/>
      <c r="N18" s="849"/>
      <c r="O18" s="849"/>
      <c r="P18" s="849"/>
      <c r="Q18" s="849"/>
      <c r="R18" s="849"/>
      <c r="S18" s="849"/>
      <c r="T18" s="849"/>
      <c r="U18" s="849"/>
      <c r="V18" s="849"/>
      <c r="W18" s="849"/>
      <c r="X18" s="849"/>
      <c r="Y18" s="849"/>
      <c r="Z18" s="849"/>
      <c r="AA18" s="849"/>
      <c r="AB18" s="849"/>
      <c r="AC18" s="849"/>
      <c r="AD18" s="849"/>
      <c r="AE18" s="849"/>
      <c r="AF18" s="849"/>
      <c r="AG18" s="849"/>
    </row>
    <row r="19" customFormat="false" ht="30.75" hidden="false" customHeight="true" outlineLevel="0" collapsed="false">
      <c r="A19" s="849"/>
      <c r="B19" s="1005"/>
      <c r="C19" s="983"/>
      <c r="D19" s="983"/>
      <c r="E19" s="983"/>
      <c r="F19" s="983"/>
      <c r="G19" s="983"/>
      <c r="H19" s="999"/>
      <c r="I19" s="849"/>
      <c r="J19" s="849"/>
      <c r="K19" s="849"/>
      <c r="L19" s="849"/>
      <c r="M19" s="849"/>
      <c r="N19" s="849"/>
      <c r="O19" s="849"/>
      <c r="P19" s="849"/>
      <c r="Q19" s="849"/>
    </row>
    <row r="20" customFormat="false" ht="30.75" hidden="false" customHeight="true" outlineLevel="0" collapsed="false">
      <c r="A20" s="849"/>
      <c r="B20" s="1026" t="n">
        <v>0.82</v>
      </c>
      <c r="C20" s="1026"/>
      <c r="D20" s="1026"/>
      <c r="E20" s="1026"/>
      <c r="F20" s="1026"/>
      <c r="G20" s="1026"/>
      <c r="H20" s="1027"/>
      <c r="I20" s="849"/>
      <c r="J20" s="849"/>
      <c r="K20" s="849"/>
      <c r="L20" s="849"/>
      <c r="M20" s="849"/>
      <c r="N20" s="849"/>
      <c r="O20" s="849"/>
      <c r="P20" s="849"/>
      <c r="Q20" s="849"/>
    </row>
    <row r="21" customFormat="false" ht="30.75" hidden="false" customHeight="true" outlineLevel="0" collapsed="false">
      <c r="A21" s="849"/>
      <c r="B21" s="849"/>
      <c r="C21" s="849"/>
      <c r="D21" s="849"/>
      <c r="E21" s="849"/>
      <c r="F21" s="849"/>
      <c r="G21" s="849"/>
      <c r="H21" s="849"/>
      <c r="I21" s="849"/>
      <c r="J21" s="849"/>
      <c r="K21" s="849"/>
      <c r="L21" s="849"/>
      <c r="M21" s="849"/>
      <c r="N21" s="849"/>
      <c r="O21" s="849"/>
      <c r="P21" s="849"/>
      <c r="Q21" s="849"/>
    </row>
    <row r="22" customFormat="false" ht="30.75" hidden="false" customHeight="true" outlineLevel="0" collapsed="false">
      <c r="A22" s="849"/>
      <c r="B22" s="849"/>
      <c r="C22" s="849"/>
      <c r="D22" s="849"/>
      <c r="E22" s="849"/>
      <c r="F22" s="849"/>
      <c r="G22" s="849"/>
      <c r="H22" s="849"/>
      <c r="I22" s="849"/>
      <c r="J22" s="849"/>
      <c r="K22" s="849"/>
      <c r="L22" s="849"/>
      <c r="M22" s="849"/>
      <c r="N22" s="849"/>
      <c r="O22" s="849"/>
      <c r="P22" s="849"/>
      <c r="Q22" s="849"/>
    </row>
    <row r="23" customFormat="false" ht="30.75" hidden="false" customHeight="true" outlineLevel="0" collapsed="false">
      <c r="A23" s="849"/>
      <c r="B23" s="849"/>
      <c r="C23" s="849"/>
      <c r="D23" s="849"/>
      <c r="E23" s="849"/>
      <c r="F23" s="849"/>
      <c r="G23" s="849"/>
      <c r="H23" s="849"/>
      <c r="I23" s="849"/>
      <c r="J23" s="849"/>
      <c r="K23" s="849"/>
      <c r="L23" s="849"/>
      <c r="M23" s="849"/>
      <c r="N23" s="849"/>
      <c r="O23" s="849"/>
      <c r="P23" s="849"/>
      <c r="Q23" s="849"/>
    </row>
    <row r="24" customFormat="false" ht="30.75" hidden="false" customHeight="true" outlineLevel="0" collapsed="false">
      <c r="A24" s="849"/>
      <c r="B24" s="849"/>
      <c r="C24" s="849"/>
      <c r="D24" s="849"/>
      <c r="E24" s="849"/>
      <c r="F24" s="849"/>
      <c r="G24" s="849"/>
      <c r="H24" s="849"/>
      <c r="I24" s="849"/>
      <c r="J24" s="849"/>
      <c r="K24" s="849"/>
      <c r="L24" s="849"/>
      <c r="M24" s="849"/>
      <c r="N24" s="849"/>
      <c r="O24" s="849"/>
      <c r="P24" s="849"/>
      <c r="Q24" s="849"/>
    </row>
    <row r="25" customFormat="false" ht="30.75" hidden="false" customHeight="true" outlineLevel="0" collapsed="false">
      <c r="A25" s="849"/>
      <c r="B25" s="849"/>
      <c r="C25" s="849"/>
      <c r="D25" s="849"/>
      <c r="E25" s="849"/>
      <c r="F25" s="849"/>
      <c r="G25" s="849"/>
      <c r="H25" s="849"/>
      <c r="I25" s="849"/>
      <c r="J25" s="849"/>
      <c r="K25" s="849"/>
      <c r="L25" s="849"/>
      <c r="M25" s="849"/>
      <c r="N25" s="849"/>
      <c r="O25" s="849"/>
      <c r="P25" s="849"/>
      <c r="Q25" s="849"/>
    </row>
    <row r="26" customFormat="false" ht="30.75" hidden="false" customHeight="true" outlineLevel="0" collapsed="false">
      <c r="A26" s="849"/>
      <c r="B26" s="849"/>
      <c r="C26" s="849"/>
      <c r="D26" s="849"/>
      <c r="E26" s="849"/>
      <c r="F26" s="849"/>
      <c r="G26" s="849"/>
      <c r="H26" s="849"/>
      <c r="I26" s="849"/>
      <c r="J26" s="849"/>
      <c r="K26" s="849"/>
      <c r="L26" s="849"/>
      <c r="M26" s="849"/>
      <c r="N26" s="849"/>
      <c r="O26" s="849"/>
      <c r="P26" s="849"/>
      <c r="Q26" s="849"/>
    </row>
    <row r="27" customFormat="false" ht="30.75" hidden="false" customHeight="true" outlineLevel="0" collapsed="false">
      <c r="A27" s="849"/>
      <c r="B27" s="849"/>
      <c r="C27" s="849"/>
      <c r="D27" s="849"/>
      <c r="E27" s="849"/>
      <c r="F27" s="849"/>
      <c r="G27" s="849"/>
      <c r="H27" s="849"/>
      <c r="I27" s="849"/>
      <c r="J27" s="849"/>
      <c r="K27" s="849"/>
      <c r="L27" s="849"/>
      <c r="M27" s="849"/>
      <c r="N27" s="849"/>
      <c r="O27" s="849"/>
      <c r="P27" s="849"/>
      <c r="Q27" s="849"/>
    </row>
    <row r="28" customFormat="false" ht="30.75" hidden="false" customHeight="true" outlineLevel="0" collapsed="false">
      <c r="A28" s="849"/>
      <c r="B28" s="849"/>
      <c r="C28" s="849"/>
      <c r="D28" s="849"/>
      <c r="E28" s="849"/>
      <c r="F28" s="849"/>
      <c r="G28" s="849"/>
      <c r="H28" s="849"/>
      <c r="I28" s="849"/>
      <c r="J28" s="849"/>
      <c r="K28" s="849"/>
      <c r="L28" s="849"/>
      <c r="M28" s="849"/>
      <c r="N28" s="849"/>
      <c r="O28" s="849"/>
      <c r="P28" s="849"/>
      <c r="Q28" s="849"/>
    </row>
    <row r="29" customFormat="false" ht="30.75" hidden="false" customHeight="true" outlineLevel="0" collapsed="false">
      <c r="A29" s="849"/>
      <c r="B29" s="849"/>
      <c r="C29" s="849"/>
      <c r="D29" s="849"/>
      <c r="E29" s="849"/>
      <c r="F29" s="849"/>
      <c r="G29" s="849"/>
      <c r="H29" s="849"/>
      <c r="I29" s="849"/>
      <c r="J29" s="849"/>
      <c r="K29" s="849"/>
      <c r="L29" s="849"/>
    </row>
    <row r="30" customFormat="false" ht="30.75" hidden="false" customHeight="true" outlineLevel="0" collapsed="false">
      <c r="A30" s="849"/>
      <c r="B30" s="849"/>
      <c r="C30" s="849"/>
      <c r="D30" s="849"/>
      <c r="E30" s="849"/>
      <c r="F30" s="849"/>
      <c r="G30" s="849"/>
      <c r="H30" s="849"/>
      <c r="I30" s="849"/>
      <c r="J30" s="849"/>
      <c r="K30" s="849"/>
      <c r="L30" s="849"/>
    </row>
    <row r="31" customFormat="false" ht="30.75" hidden="false" customHeight="true" outlineLevel="0" collapsed="false">
      <c r="A31" s="849"/>
      <c r="B31" s="849"/>
      <c r="C31" s="849"/>
      <c r="D31" s="849"/>
      <c r="E31" s="849"/>
      <c r="F31" s="849"/>
      <c r="G31" s="849"/>
      <c r="H31" s="849"/>
      <c r="I31" s="849"/>
      <c r="J31" s="849"/>
      <c r="K31" s="849"/>
      <c r="L31" s="849"/>
    </row>
    <row r="32" customFormat="false" ht="30.75" hidden="false" customHeight="true" outlineLevel="0" collapsed="false">
      <c r="A32" s="849"/>
      <c r="B32" s="849"/>
      <c r="C32" s="849"/>
      <c r="D32" s="849"/>
      <c r="E32" s="849"/>
      <c r="F32" s="849"/>
      <c r="G32" s="849"/>
      <c r="H32" s="849"/>
      <c r="I32" s="849"/>
      <c r="J32" s="849"/>
      <c r="K32" s="849"/>
      <c r="L32" s="849"/>
    </row>
    <row r="33" customFormat="false" ht="30.75" hidden="false" customHeight="true" outlineLevel="0" collapsed="false">
      <c r="A33" s="849"/>
      <c r="B33" s="849"/>
      <c r="C33" s="849"/>
      <c r="D33" s="849"/>
      <c r="E33" s="849"/>
      <c r="F33" s="849"/>
      <c r="G33" s="849"/>
      <c r="H33" s="849"/>
      <c r="I33" s="849"/>
      <c r="J33" s="849"/>
      <c r="K33" s="849"/>
      <c r="L33" s="849"/>
    </row>
    <row r="34" customFormat="false" ht="30.75" hidden="false" customHeight="true" outlineLevel="0" collapsed="false">
      <c r="A34" s="849"/>
      <c r="B34" s="849"/>
      <c r="C34" s="849"/>
      <c r="D34" s="849"/>
      <c r="E34" s="849"/>
      <c r="F34" s="849"/>
      <c r="G34" s="849"/>
      <c r="H34" s="849"/>
      <c r="I34" s="849"/>
      <c r="J34" s="849"/>
      <c r="K34" s="849"/>
      <c r="L34" s="849"/>
    </row>
    <row r="35" customFormat="false" ht="30.75" hidden="false" customHeight="true" outlineLevel="0" collapsed="false">
      <c r="A35" s="849"/>
      <c r="B35" s="849"/>
      <c r="C35" s="849"/>
      <c r="D35" s="849"/>
      <c r="E35" s="849"/>
      <c r="F35" s="849"/>
      <c r="G35" s="849"/>
      <c r="H35" s="849"/>
      <c r="I35" s="849"/>
      <c r="J35" s="849"/>
      <c r="K35" s="849"/>
      <c r="L35" s="849"/>
    </row>
    <row r="36" customFormat="false" ht="30.75" hidden="false" customHeight="true" outlineLevel="0" collapsed="false">
      <c r="A36" s="849"/>
      <c r="B36" s="849"/>
      <c r="C36" s="849"/>
      <c r="D36" s="849"/>
      <c r="E36" s="849"/>
      <c r="F36" s="849"/>
      <c r="G36" s="849"/>
      <c r="H36" s="849"/>
      <c r="I36" s="849"/>
      <c r="J36" s="849"/>
      <c r="K36" s="849"/>
      <c r="L36" s="849"/>
    </row>
    <row r="37" customFormat="false" ht="30.75" hidden="false" customHeight="true" outlineLevel="0" collapsed="false">
      <c r="A37" s="849"/>
      <c r="B37" s="849"/>
      <c r="C37" s="849"/>
      <c r="D37" s="849"/>
      <c r="E37" s="849"/>
      <c r="F37" s="849"/>
      <c r="G37" s="849"/>
      <c r="H37" s="849"/>
      <c r="I37" s="849"/>
      <c r="J37" s="849"/>
      <c r="K37" s="849"/>
      <c r="L37" s="849"/>
    </row>
    <row r="38" customFormat="false" ht="30.75" hidden="false" customHeight="true" outlineLevel="0" collapsed="false">
      <c r="A38" s="849"/>
      <c r="B38" s="849"/>
      <c r="C38" s="849"/>
      <c r="D38" s="849"/>
      <c r="E38" s="849"/>
      <c r="F38" s="849"/>
      <c r="G38" s="849"/>
      <c r="H38" s="849"/>
      <c r="I38" s="849"/>
      <c r="J38" s="849"/>
      <c r="K38" s="849"/>
      <c r="L38" s="849"/>
    </row>
    <row r="39" customFormat="false" ht="30.75" hidden="false" customHeight="true" outlineLevel="0" collapsed="false">
      <c r="A39" s="849"/>
      <c r="B39" s="849"/>
      <c r="C39" s="849"/>
      <c r="D39" s="849"/>
      <c r="E39" s="849"/>
      <c r="F39" s="849"/>
      <c r="G39" s="849"/>
      <c r="H39" s="849"/>
      <c r="I39" s="849"/>
      <c r="J39" s="849"/>
      <c r="K39" s="849"/>
      <c r="L39" s="849"/>
    </row>
    <row r="40" customFormat="false" ht="30.75" hidden="false" customHeight="true" outlineLevel="0" collapsed="false">
      <c r="A40" s="849"/>
      <c r="B40" s="849"/>
      <c r="C40" s="849"/>
      <c r="D40" s="849"/>
      <c r="E40" s="849"/>
      <c r="F40" s="849"/>
      <c r="G40" s="849"/>
      <c r="H40" s="849"/>
      <c r="I40" s="849"/>
      <c r="J40" s="849"/>
      <c r="K40" s="849"/>
      <c r="L40" s="849"/>
    </row>
    <row r="41" customFormat="false" ht="30.75" hidden="false" customHeight="true" outlineLevel="0" collapsed="false">
      <c r="A41" s="849"/>
      <c r="B41" s="849"/>
      <c r="C41" s="849"/>
      <c r="D41" s="849"/>
      <c r="E41" s="849"/>
      <c r="F41" s="849"/>
      <c r="G41" s="849"/>
      <c r="H41" s="849"/>
      <c r="I41" s="849"/>
      <c r="J41" s="849"/>
      <c r="K41" s="849"/>
      <c r="L41" s="849"/>
    </row>
    <row r="42" customFormat="false" ht="30.75" hidden="false" customHeight="true" outlineLevel="0" collapsed="false">
      <c r="A42" s="849"/>
      <c r="B42" s="849"/>
      <c r="C42" s="849"/>
      <c r="D42" s="849"/>
      <c r="E42" s="849"/>
      <c r="F42" s="849"/>
      <c r="G42" s="849"/>
      <c r="H42" s="849"/>
      <c r="I42" s="849"/>
      <c r="J42" s="849"/>
      <c r="K42" s="849"/>
      <c r="L42" s="84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H20"/>
  <sheetViews>
    <sheetView showFormulas="false" showGridLines="true" showRowColHeaders="true" showZeros="true" rightToLeft="false" tabSelected="false" showOutlineSymbols="true" defaultGridColor="true" view="normal" topLeftCell="A4" colorId="64" zoomScale="140" zoomScaleNormal="140" zoomScalePageLayoutView="100" workbookViewId="0">
      <selection pane="topLeft" activeCell="E16" activeCellId="0" sqref="E16"/>
    </sheetView>
  </sheetViews>
  <sheetFormatPr defaultColWidth="19.859375" defaultRowHeight="30.75" zeroHeight="false" outlineLevelRow="0" outlineLevelCol="0"/>
  <cols>
    <col collapsed="false" customWidth="false" hidden="false" outlineLevel="0" max="16384" min="1" style="958" width="19.86"/>
  </cols>
  <sheetData>
    <row r="3" customFormat="false" ht="30.75" hidden="false" customHeight="true" outlineLevel="0" collapsed="false">
      <c r="B3" s="958" t="s">
        <v>381</v>
      </c>
    </row>
    <row r="4" customFormat="false" ht="30.75" hidden="false" customHeight="true" outlineLevel="0" collapsed="false">
      <c r="B4" s="1029" t="s">
        <v>6</v>
      </c>
      <c r="C4" s="1030" t="s">
        <v>7</v>
      </c>
      <c r="D4" s="1030" t="s">
        <v>8</v>
      </c>
      <c r="E4" s="1030" t="s">
        <v>9</v>
      </c>
      <c r="F4" s="1030" t="s">
        <v>8</v>
      </c>
      <c r="G4" s="1030" t="s">
        <v>11</v>
      </c>
      <c r="H4" s="1031" t="s">
        <v>6</v>
      </c>
    </row>
    <row r="5" customFormat="false" ht="30.75" hidden="false" customHeight="true" outlineLevel="0" collapsed="false">
      <c r="A5" s="1032" t="s">
        <v>14</v>
      </c>
      <c r="B5" s="1033"/>
      <c r="C5" s="1034"/>
      <c r="D5" s="1034"/>
      <c r="E5" s="1034" t="n">
        <v>1</v>
      </c>
      <c r="F5" s="1034" t="n">
        <v>2</v>
      </c>
      <c r="G5" s="1034" t="n">
        <v>3</v>
      </c>
      <c r="H5" s="1035" t="n">
        <v>4</v>
      </c>
    </row>
    <row r="6" customFormat="false" ht="30.75" hidden="false" customHeight="true" outlineLevel="0" collapsed="false">
      <c r="A6" s="1036" t="s">
        <v>16</v>
      </c>
      <c r="B6" s="1037"/>
      <c r="C6" s="1038"/>
      <c r="D6" s="1038"/>
      <c r="E6" s="1038" t="s">
        <v>54</v>
      </c>
      <c r="F6" s="1038" t="s">
        <v>62</v>
      </c>
      <c r="G6" s="1038" t="s">
        <v>169</v>
      </c>
      <c r="H6" s="1039" t="s">
        <v>169</v>
      </c>
    </row>
    <row r="7" customFormat="false" ht="30.75" hidden="false" customHeight="true" outlineLevel="0" collapsed="false">
      <c r="A7" s="1040" t="s">
        <v>536</v>
      </c>
      <c r="B7" s="1041"/>
      <c r="C7" s="1042"/>
      <c r="D7" s="1042"/>
      <c r="E7" s="1042" t="n">
        <v>0.88</v>
      </c>
      <c r="F7" s="1042" t="n">
        <v>0.81</v>
      </c>
      <c r="G7" s="1042" t="n">
        <v>0.72</v>
      </c>
      <c r="H7" s="1043" t="n">
        <v>0.63</v>
      </c>
    </row>
    <row r="8" customFormat="false" ht="30.75" hidden="false" customHeight="true" outlineLevel="0" collapsed="false">
      <c r="B8" s="1033" t="n">
        <v>5</v>
      </c>
      <c r="C8" s="1034" t="n">
        <v>6</v>
      </c>
      <c r="D8" s="1034" t="n">
        <v>7</v>
      </c>
      <c r="E8" s="1034" t="n">
        <v>8</v>
      </c>
      <c r="F8" s="1034" t="n">
        <v>9</v>
      </c>
      <c r="G8" s="1034" t="n">
        <v>10</v>
      </c>
      <c r="H8" s="1035" t="n">
        <v>11</v>
      </c>
    </row>
    <row r="9" customFormat="false" ht="30.75" hidden="false" customHeight="true" outlineLevel="0" collapsed="false">
      <c r="B9" s="1044" t="s">
        <v>169</v>
      </c>
      <c r="C9" s="1045" t="s">
        <v>625</v>
      </c>
      <c r="D9" s="1045" t="s">
        <v>626</v>
      </c>
      <c r="E9" s="1045" t="s">
        <v>627</v>
      </c>
      <c r="F9" s="1045" t="s">
        <v>62</v>
      </c>
      <c r="G9" s="1045" t="s">
        <v>54</v>
      </c>
      <c r="H9" s="1046" t="s">
        <v>352</v>
      </c>
    </row>
    <row r="10" customFormat="false" ht="30.75" hidden="false" customHeight="true" outlineLevel="0" collapsed="false">
      <c r="B10" s="1041" t="n">
        <v>0.54</v>
      </c>
      <c r="C10" s="1042" t="n">
        <v>0.44</v>
      </c>
      <c r="D10" s="1042" t="n">
        <v>0.35</v>
      </c>
      <c r="E10" s="1042" t="n">
        <v>0.26</v>
      </c>
      <c r="F10" s="1042" t="n">
        <v>0.18</v>
      </c>
      <c r="G10" s="1042" t="n">
        <v>0.11</v>
      </c>
      <c r="H10" s="1043" t="n">
        <v>0.06</v>
      </c>
    </row>
    <row r="11" customFormat="false" ht="30.75" hidden="false" customHeight="true" outlineLevel="0" collapsed="false">
      <c r="B11" s="1047" t="n">
        <v>12</v>
      </c>
      <c r="C11" s="1047" t="n">
        <v>13</v>
      </c>
      <c r="D11" s="1047" t="n">
        <v>14</v>
      </c>
      <c r="E11" s="1047" t="n">
        <v>15</v>
      </c>
      <c r="F11" s="1047" t="n">
        <v>16</v>
      </c>
      <c r="G11" s="1047" t="n">
        <v>17</v>
      </c>
      <c r="H11" s="1047" t="n">
        <v>18</v>
      </c>
    </row>
    <row r="12" customFormat="false" ht="30.75" hidden="false" customHeight="true" outlineLevel="0" collapsed="false">
      <c r="B12" s="1048" t="s">
        <v>62</v>
      </c>
      <c r="C12" s="1048" t="s">
        <v>54</v>
      </c>
      <c r="D12" s="1048" t="s">
        <v>628</v>
      </c>
      <c r="E12" s="1048" t="s">
        <v>352</v>
      </c>
      <c r="F12" s="1048" t="s">
        <v>62</v>
      </c>
      <c r="G12" s="1048" t="s">
        <v>169</v>
      </c>
      <c r="H12" s="1048" t="s">
        <v>352</v>
      </c>
    </row>
    <row r="13" customFormat="false" ht="30.75" hidden="false" customHeight="true" outlineLevel="0" collapsed="false">
      <c r="B13" s="1049" t="n">
        <v>0.02</v>
      </c>
      <c r="C13" s="1049" t="n">
        <v>0</v>
      </c>
      <c r="D13" s="1049" t="n">
        <v>0</v>
      </c>
      <c r="E13" s="1049" t="n">
        <v>0.03</v>
      </c>
      <c r="F13" s="1049" t="n">
        <v>0.08</v>
      </c>
      <c r="G13" s="1049" t="n">
        <v>0.15</v>
      </c>
      <c r="H13" s="1049" t="n">
        <v>0.24</v>
      </c>
    </row>
    <row r="15" customFormat="false" ht="30.75" hidden="false" customHeight="true" outlineLevel="0" collapsed="false">
      <c r="B15" s="1047" t="n">
        <v>19</v>
      </c>
      <c r="C15" s="1047" t="n">
        <v>20</v>
      </c>
      <c r="D15" s="1047" t="n">
        <v>21</v>
      </c>
      <c r="E15" s="1047" t="n">
        <v>22</v>
      </c>
      <c r="F15" s="1047" t="n">
        <v>23</v>
      </c>
      <c r="G15" s="1047" t="n">
        <v>24</v>
      </c>
      <c r="H15" s="1047" t="n">
        <v>25</v>
      </c>
    </row>
    <row r="16" customFormat="false" ht="30.75" hidden="false" customHeight="true" outlineLevel="0" collapsed="false">
      <c r="B16" s="1048" t="s">
        <v>62</v>
      </c>
      <c r="C16" s="1048" t="s">
        <v>169</v>
      </c>
      <c r="D16" s="1048" t="s">
        <v>62</v>
      </c>
      <c r="E16" s="1048"/>
      <c r="F16" s="1050"/>
      <c r="G16" s="1050"/>
      <c r="H16" s="1050"/>
    </row>
    <row r="17" customFormat="false" ht="30.75" hidden="false" customHeight="true" outlineLevel="0" collapsed="false">
      <c r="B17" s="1049" t="n">
        <v>0.34</v>
      </c>
      <c r="C17" s="1049" t="n">
        <v>0.45</v>
      </c>
      <c r="D17" s="1049" t="n">
        <v>0.56</v>
      </c>
      <c r="E17" s="1049" t="n">
        <v>0.67</v>
      </c>
      <c r="F17" s="1049" t="n">
        <v>0.78</v>
      </c>
      <c r="G17" s="1049" t="n">
        <v>0.86</v>
      </c>
      <c r="H17" s="1049" t="n">
        <v>0.93</v>
      </c>
    </row>
    <row r="18" customFormat="false" ht="30.75" hidden="false" customHeight="true" outlineLevel="0" collapsed="false">
      <c r="B18" s="1047" t="n">
        <v>26</v>
      </c>
      <c r="C18" s="1047" t="n">
        <v>27</v>
      </c>
      <c r="D18" s="1047" t="n">
        <v>28</v>
      </c>
      <c r="E18" s="1047" t="n">
        <v>29</v>
      </c>
      <c r="F18" s="1047" t="n">
        <v>30</v>
      </c>
      <c r="G18" s="1047"/>
      <c r="H18" s="1047"/>
    </row>
    <row r="19" customFormat="false" ht="30.75" hidden="false" customHeight="true" outlineLevel="0" collapsed="false">
      <c r="B19" s="1050"/>
      <c r="C19" s="1050"/>
      <c r="D19" s="1050"/>
      <c r="E19" s="1050"/>
      <c r="F19" s="1050"/>
      <c r="G19" s="1048"/>
      <c r="H19" s="1048"/>
    </row>
    <row r="20" customFormat="false" ht="30.75" hidden="false" customHeight="true" outlineLevel="0" collapsed="false">
      <c r="B20" s="1049" t="n">
        <v>0.98</v>
      </c>
      <c r="C20" s="1049" t="n">
        <v>1</v>
      </c>
      <c r="D20" s="1049" t="n">
        <v>0.99</v>
      </c>
      <c r="E20" s="1049" t="n">
        <v>0.97</v>
      </c>
      <c r="F20" s="1049" t="n">
        <v>0.92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H13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10" activeCellId="0" sqref="B10"/>
    </sheetView>
  </sheetViews>
  <sheetFormatPr defaultColWidth="19.859375" defaultRowHeight="30.75" zeroHeight="false" outlineLevelRow="0" outlineLevelCol="0"/>
  <cols>
    <col collapsed="false" customWidth="false" hidden="false" outlineLevel="0" max="1" min="1" style="958" width="19.86"/>
    <col collapsed="false" customWidth="true" hidden="false" outlineLevel="0" max="2" min="2" style="958" width="22.28"/>
    <col collapsed="false" customWidth="false" hidden="false" outlineLevel="0" max="16384" min="3" style="958" width="19.86"/>
  </cols>
  <sheetData>
    <row r="3" customFormat="false" ht="30.75" hidden="false" customHeight="true" outlineLevel="0" collapsed="false">
      <c r="B3" s="958" t="s">
        <v>412</v>
      </c>
    </row>
    <row r="4" customFormat="false" ht="30.75" hidden="false" customHeight="true" outlineLevel="0" collapsed="false">
      <c r="B4" s="1029" t="s">
        <v>6</v>
      </c>
      <c r="C4" s="1030" t="s">
        <v>7</v>
      </c>
      <c r="D4" s="1030" t="s">
        <v>8</v>
      </c>
      <c r="E4" s="1030" t="s">
        <v>9</v>
      </c>
      <c r="F4" s="1030" t="s">
        <v>8</v>
      </c>
      <c r="G4" s="1030" t="s">
        <v>11</v>
      </c>
      <c r="H4" s="1031" t="s">
        <v>6</v>
      </c>
    </row>
    <row r="5" customFormat="false" ht="30.75" hidden="false" customHeight="true" outlineLevel="0" collapsed="false">
      <c r="A5" s="1032" t="s">
        <v>14</v>
      </c>
      <c r="B5" s="1033" t="n">
        <v>15</v>
      </c>
      <c r="C5" s="1034" t="n">
        <v>16</v>
      </c>
      <c r="D5" s="1034" t="n">
        <v>17</v>
      </c>
      <c r="E5" s="1034" t="n">
        <v>18</v>
      </c>
      <c r="F5" s="1034" t="n">
        <v>19</v>
      </c>
      <c r="G5" s="1034" t="n">
        <v>20</v>
      </c>
      <c r="H5" s="1035" t="n">
        <v>21</v>
      </c>
    </row>
    <row r="6" customFormat="false" ht="30.75" hidden="false" customHeight="true" outlineLevel="0" collapsed="false">
      <c r="A6" s="1036" t="s">
        <v>16</v>
      </c>
      <c r="B6" s="1037" t="s">
        <v>169</v>
      </c>
      <c r="C6" s="1038" t="s">
        <v>54</v>
      </c>
      <c r="D6" s="1038" t="s">
        <v>629</v>
      </c>
      <c r="E6" s="1038" t="s">
        <v>54</v>
      </c>
      <c r="F6" s="1038" t="s">
        <v>169</v>
      </c>
      <c r="G6" s="1038" t="s">
        <v>630</v>
      </c>
      <c r="H6" s="1039" t="s">
        <v>169</v>
      </c>
    </row>
    <row r="7" customFormat="false" ht="30.75" hidden="false" customHeight="true" outlineLevel="0" collapsed="false">
      <c r="A7" s="1040" t="s">
        <v>497</v>
      </c>
      <c r="B7" s="1041" t="n">
        <v>0.016</v>
      </c>
      <c r="C7" s="1042" t="n">
        <v>0.052</v>
      </c>
      <c r="D7" s="1042" t="n">
        <v>0.107</v>
      </c>
      <c r="E7" s="1042" t="n">
        <v>0.181</v>
      </c>
      <c r="F7" s="1042" t="n">
        <v>0.272</v>
      </c>
      <c r="G7" s="1042" t="n">
        <v>0.374</v>
      </c>
      <c r="H7" s="1043" t="n">
        <v>0.485</v>
      </c>
    </row>
    <row r="8" customFormat="false" ht="30.75" hidden="false" customHeight="true" outlineLevel="0" collapsed="false">
      <c r="B8" s="1033" t="n">
        <v>22</v>
      </c>
      <c r="C8" s="1034" t="n">
        <v>23</v>
      </c>
      <c r="D8" s="1034" t="n">
        <v>24</v>
      </c>
      <c r="E8" s="1034" t="n">
        <v>25</v>
      </c>
      <c r="F8" s="1034" t="n">
        <v>26</v>
      </c>
      <c r="G8" s="1034" t="n">
        <v>27</v>
      </c>
      <c r="H8" s="1035" t="n">
        <v>28</v>
      </c>
    </row>
    <row r="9" customFormat="false" ht="30.75" hidden="false" customHeight="true" outlineLevel="0" collapsed="false">
      <c r="B9" s="1044" t="s">
        <v>62</v>
      </c>
      <c r="C9" s="1045" t="s">
        <v>54</v>
      </c>
      <c r="D9" s="1045" t="s">
        <v>62</v>
      </c>
      <c r="E9" s="1045" t="s">
        <v>54</v>
      </c>
      <c r="F9" s="1045" t="s">
        <v>169</v>
      </c>
      <c r="G9" s="1045" t="s">
        <v>54</v>
      </c>
      <c r="H9" s="1046" t="s">
        <v>169</v>
      </c>
    </row>
    <row r="10" customFormat="false" ht="30.75" hidden="false" customHeight="true" outlineLevel="0" collapsed="false">
      <c r="B10" s="1041" t="n">
        <v>0.5</v>
      </c>
      <c r="C10" s="1042" t="n">
        <v>0.708</v>
      </c>
      <c r="D10" s="1042" t="n">
        <v>0.808</v>
      </c>
      <c r="E10" s="1042" t="n">
        <v>0.892</v>
      </c>
      <c r="F10" s="1042" t="n">
        <v>0.954</v>
      </c>
      <c r="G10" s="1042" t="n">
        <v>0.99</v>
      </c>
      <c r="H10" s="1043" t="n">
        <v>1</v>
      </c>
    </row>
    <row r="11" customFormat="false" ht="30.75" hidden="false" customHeight="true" outlineLevel="0" collapsed="false">
      <c r="B11" s="1047" t="n">
        <v>29</v>
      </c>
      <c r="C11" s="1047" t="n">
        <v>30</v>
      </c>
      <c r="D11" s="958" t="n">
        <v>31</v>
      </c>
    </row>
    <row r="12" customFormat="false" ht="30.75" hidden="false" customHeight="true" outlineLevel="0" collapsed="false">
      <c r="B12" s="1051" t="n">
        <v>0.98</v>
      </c>
      <c r="C12" s="1051" t="n">
        <v>0.94</v>
      </c>
    </row>
    <row r="13" customFormat="false" ht="30.75" hidden="false" customHeight="true" outlineLevel="0" collapsed="false">
      <c r="B13" s="958" t="s">
        <v>62</v>
      </c>
      <c r="C13" s="958" t="s">
        <v>54</v>
      </c>
      <c r="D13" s="958" t="s">
        <v>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4:O27"/>
  <sheetViews>
    <sheetView showFormulas="false" showGridLines="fals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X6" activeCellId="0" sqref="X6"/>
    </sheetView>
  </sheetViews>
  <sheetFormatPr defaultColWidth="8.859375" defaultRowHeight="15" zeroHeight="false" outlineLevelRow="0" outlineLevelCol="0"/>
  <cols>
    <col collapsed="false" customWidth="true" hidden="false" outlineLevel="0" max="2" min="2" style="0" width="8.71"/>
    <col collapsed="false" customWidth="true" hidden="false" outlineLevel="0" max="3" min="3" style="0" width="10.29"/>
    <col collapsed="false" customWidth="true" hidden="false" outlineLevel="0" max="5" min="4" style="0" width="9.71"/>
    <col collapsed="false" customWidth="true" hidden="false" outlineLevel="0" max="7" min="6" style="0" width="12.86"/>
    <col collapsed="false" customWidth="true" hidden="false" outlineLevel="0" max="8" min="8" style="0" width="9.43"/>
  </cols>
  <sheetData>
    <row r="4" customFormat="false" ht="15" hidden="false" customHeight="false" outlineLevel="0" collapsed="false">
      <c r="B4" s="1052" t="s">
        <v>631</v>
      </c>
      <c r="C4" s="1053" t="s">
        <v>632</v>
      </c>
      <c r="D4" s="1054" t="s">
        <v>633</v>
      </c>
      <c r="E4" s="1054" t="s">
        <v>634</v>
      </c>
      <c r="F4" s="1054" t="s">
        <v>635</v>
      </c>
      <c r="G4" s="1053" t="s">
        <v>636</v>
      </c>
      <c r="H4" s="1053" t="s">
        <v>637</v>
      </c>
      <c r="I4" s="0" t="s">
        <v>638</v>
      </c>
      <c r="L4" s="0" t="s">
        <v>639</v>
      </c>
      <c r="O4" s="0" t="s">
        <v>640</v>
      </c>
    </row>
    <row r="5" customFormat="false" ht="15" hidden="false" customHeight="false" outlineLevel="0" collapsed="false">
      <c r="B5" s="1055" t="s">
        <v>40</v>
      </c>
      <c r="C5" s="1056" t="s">
        <v>641</v>
      </c>
      <c r="D5" s="1057" t="s">
        <v>642</v>
      </c>
      <c r="E5" s="1057" t="s">
        <v>643</v>
      </c>
      <c r="F5" s="1057" t="s">
        <v>642</v>
      </c>
      <c r="G5" s="1058" t="s">
        <v>644</v>
      </c>
      <c r="H5" s="1059" t="s">
        <v>642</v>
      </c>
      <c r="I5" s="0" t="s">
        <v>645</v>
      </c>
      <c r="L5" s="0" t="s">
        <v>646</v>
      </c>
    </row>
    <row r="6" customFormat="false" ht="15" hidden="false" customHeight="false" outlineLevel="0" collapsed="false">
      <c r="B6" s="1055" t="s">
        <v>209</v>
      </c>
      <c r="C6" s="1056" t="s">
        <v>641</v>
      </c>
      <c r="D6" s="1057" t="s">
        <v>642</v>
      </c>
      <c r="E6" s="1057" t="s">
        <v>643</v>
      </c>
      <c r="F6" s="1057" t="s">
        <v>644</v>
      </c>
      <c r="G6" s="1058" t="s">
        <v>642</v>
      </c>
      <c r="H6" s="1059" t="s">
        <v>642</v>
      </c>
      <c r="L6" s="0" t="s">
        <v>646</v>
      </c>
    </row>
    <row r="7" customFormat="false" ht="15" hidden="false" customHeight="false" outlineLevel="0" collapsed="false">
      <c r="B7" s="1055" t="s">
        <v>45</v>
      </c>
      <c r="C7" s="1056" t="s">
        <v>641</v>
      </c>
      <c r="D7" s="1057" t="s">
        <v>642</v>
      </c>
      <c r="E7" s="1057" t="s">
        <v>642</v>
      </c>
      <c r="F7" s="1057" t="s">
        <v>644</v>
      </c>
      <c r="G7" s="1058" t="s">
        <v>642</v>
      </c>
      <c r="H7" s="1059" t="s">
        <v>642</v>
      </c>
      <c r="L7" s="0" t="s">
        <v>646</v>
      </c>
    </row>
    <row r="8" customFormat="false" ht="15" hidden="false" customHeight="false" outlineLevel="0" collapsed="false">
      <c r="B8" s="1060" t="s">
        <v>79</v>
      </c>
      <c r="C8" s="1061" t="s">
        <v>641</v>
      </c>
      <c r="D8" s="1062" t="s">
        <v>642</v>
      </c>
      <c r="E8" s="1062" t="s">
        <v>643</v>
      </c>
      <c r="F8" s="1062" t="s">
        <v>644</v>
      </c>
      <c r="G8" s="1059" t="s">
        <v>642</v>
      </c>
      <c r="H8" s="1059" t="s">
        <v>642</v>
      </c>
      <c r="L8" s="0" t="s">
        <v>646</v>
      </c>
    </row>
    <row r="9" customFormat="false" ht="15" hidden="false" customHeight="false" outlineLevel="0" collapsed="false">
      <c r="B9" s="1060" t="s">
        <v>44</v>
      </c>
      <c r="C9" s="1061" t="s">
        <v>641</v>
      </c>
      <c r="D9" s="1062" t="s">
        <v>644</v>
      </c>
      <c r="E9" s="1062" t="s">
        <v>647</v>
      </c>
      <c r="F9" s="1062" t="s">
        <v>644</v>
      </c>
      <c r="G9" s="1059" t="s">
        <v>642</v>
      </c>
      <c r="H9" s="1059" t="s">
        <v>644</v>
      </c>
      <c r="L9" s="0" t="s">
        <v>646</v>
      </c>
    </row>
    <row r="10" customFormat="false" ht="15" hidden="false" customHeight="false" outlineLevel="0" collapsed="false">
      <c r="B10" s="1060" t="s">
        <v>38</v>
      </c>
      <c r="C10" s="1061" t="s">
        <v>648</v>
      </c>
      <c r="D10" s="1062" t="s">
        <v>643</v>
      </c>
      <c r="E10" s="1062" t="s">
        <v>644</v>
      </c>
      <c r="F10" s="1062" t="s">
        <v>643</v>
      </c>
      <c r="G10" s="1059" t="s">
        <v>642</v>
      </c>
      <c r="H10" s="1059" t="s">
        <v>643</v>
      </c>
      <c r="L10" s="0" t="s">
        <v>646</v>
      </c>
    </row>
    <row r="11" customFormat="false" ht="15" hidden="false" customHeight="false" outlineLevel="0" collapsed="false">
      <c r="B11" s="1060" t="s">
        <v>70</v>
      </c>
      <c r="C11" s="1061" t="s">
        <v>641</v>
      </c>
      <c r="D11" s="1062"/>
      <c r="E11" s="1062"/>
      <c r="F11" s="1062"/>
      <c r="G11" s="1059"/>
      <c r="H11" s="1059"/>
      <c r="L11" s="0" t="s">
        <v>649</v>
      </c>
    </row>
    <row r="12" customFormat="false" ht="15" hidden="false" customHeight="false" outlineLevel="0" collapsed="false">
      <c r="B12" s="1060" t="s">
        <v>43</v>
      </c>
      <c r="C12" s="1061" t="s">
        <v>641</v>
      </c>
      <c r="D12" s="1062" t="s">
        <v>642</v>
      </c>
      <c r="E12" s="1062" t="s">
        <v>642</v>
      </c>
      <c r="F12" s="1062" t="s">
        <v>642</v>
      </c>
      <c r="G12" s="1059" t="s">
        <v>642</v>
      </c>
      <c r="H12" s="1059" t="s">
        <v>642</v>
      </c>
    </row>
    <row r="13" customFormat="false" ht="15" hidden="false" customHeight="false" outlineLevel="0" collapsed="false">
      <c r="B13" s="1060" t="s">
        <v>62</v>
      </c>
      <c r="C13" s="1061" t="s">
        <v>650</v>
      </c>
      <c r="D13" s="1062"/>
      <c r="E13" s="1062"/>
      <c r="F13" s="1062"/>
      <c r="G13" s="1059"/>
      <c r="H13" s="1059" t="s">
        <v>651</v>
      </c>
      <c r="I13" s="0" t="s">
        <v>645</v>
      </c>
      <c r="L13" s="0" t="s">
        <v>646</v>
      </c>
    </row>
    <row r="14" customFormat="false" ht="15" hidden="false" customHeight="false" outlineLevel="0" collapsed="false">
      <c r="B14" s="1060" t="s">
        <v>169</v>
      </c>
      <c r="C14" s="1061" t="s">
        <v>650</v>
      </c>
      <c r="D14" s="1062"/>
      <c r="E14" s="1062"/>
      <c r="F14" s="1062"/>
      <c r="G14" s="1059"/>
      <c r="H14" s="1059" t="s">
        <v>651</v>
      </c>
      <c r="I14" s="0" t="s">
        <v>645</v>
      </c>
      <c r="L14" s="0" t="s">
        <v>646</v>
      </c>
    </row>
    <row r="15" customFormat="false" ht="15" hidden="false" customHeight="false" outlineLevel="0" collapsed="false">
      <c r="B15" s="1060" t="s">
        <v>54</v>
      </c>
      <c r="C15" s="1061" t="s">
        <v>652</v>
      </c>
      <c r="D15" s="1062"/>
      <c r="E15" s="1062"/>
      <c r="F15" s="1062"/>
      <c r="G15" s="1059"/>
      <c r="H15" s="1059" t="s">
        <v>651</v>
      </c>
      <c r="I15" s="0" t="s">
        <v>645</v>
      </c>
      <c r="L15" s="0" t="s">
        <v>646</v>
      </c>
    </row>
    <row r="16" customFormat="false" ht="15" hidden="false" customHeight="false" outlineLevel="0" collapsed="false">
      <c r="B16" s="1060" t="s">
        <v>39</v>
      </c>
      <c r="C16" s="1061" t="s">
        <v>650</v>
      </c>
      <c r="D16" s="1062" t="s">
        <v>644</v>
      </c>
      <c r="E16" s="1062" t="s">
        <v>642</v>
      </c>
      <c r="F16" s="1062" t="s">
        <v>643</v>
      </c>
      <c r="G16" s="1059" t="s">
        <v>644</v>
      </c>
      <c r="H16" s="1059" t="s">
        <v>644</v>
      </c>
      <c r="I16" s="0" t="s">
        <v>645</v>
      </c>
      <c r="L16" s="0" t="s">
        <v>646</v>
      </c>
    </row>
    <row r="17" customFormat="false" ht="15" hidden="false" customHeight="false" outlineLevel="0" collapsed="false">
      <c r="B17" s="1063" t="s">
        <v>81</v>
      </c>
      <c r="C17" s="1064" t="s">
        <v>650</v>
      </c>
      <c r="D17" s="1065" t="s">
        <v>644</v>
      </c>
      <c r="E17" s="1065" t="s">
        <v>642</v>
      </c>
      <c r="F17" s="1065" t="s">
        <v>642</v>
      </c>
      <c r="G17" s="1066" t="s">
        <v>644</v>
      </c>
      <c r="H17" s="1059" t="s">
        <v>644</v>
      </c>
      <c r="I17" s="0" t="s">
        <v>645</v>
      </c>
      <c r="L17" s="0" t="s">
        <v>646</v>
      </c>
    </row>
    <row r="19" customFormat="false" ht="15" hidden="false" customHeight="false" outlineLevel="0" collapsed="false">
      <c r="B19" s="0" t="s">
        <v>653</v>
      </c>
    </row>
    <row r="20" customFormat="false" ht="15" hidden="false" customHeight="false" outlineLevel="0" collapsed="false">
      <c r="B20" s="1067" t="s">
        <v>541</v>
      </c>
      <c r="C20" s="1068" t="s">
        <v>641</v>
      </c>
      <c r="D20" s="1069" t="s">
        <v>651</v>
      </c>
      <c r="E20" s="1069" t="s">
        <v>651</v>
      </c>
      <c r="F20" s="1069" t="s">
        <v>651</v>
      </c>
      <c r="G20" s="1070" t="s">
        <v>651</v>
      </c>
    </row>
    <row r="21" customFormat="false" ht="15" hidden="false" customHeight="false" outlineLevel="0" collapsed="false">
      <c r="B21" s="1067" t="s">
        <v>506</v>
      </c>
      <c r="C21" s="1068" t="s">
        <v>641</v>
      </c>
      <c r="D21" s="1069" t="s">
        <v>651</v>
      </c>
      <c r="E21" s="1069" t="s">
        <v>651</v>
      </c>
      <c r="F21" s="1069" t="s">
        <v>643</v>
      </c>
      <c r="G21" s="1070" t="s">
        <v>642</v>
      </c>
    </row>
    <row r="22" customFormat="false" ht="15" hidden="false" customHeight="false" outlineLevel="0" collapsed="false">
      <c r="B22" s="1067" t="s">
        <v>558</v>
      </c>
      <c r="C22" s="1068" t="s">
        <v>641</v>
      </c>
      <c r="D22" s="1069" t="s">
        <v>642</v>
      </c>
      <c r="E22" s="1069" t="s">
        <v>643</v>
      </c>
      <c r="F22" s="1069" t="s">
        <v>642</v>
      </c>
      <c r="G22" s="1070" t="s">
        <v>644</v>
      </c>
    </row>
    <row r="23" customFormat="false" ht="15" hidden="false" customHeight="false" outlineLevel="0" collapsed="false">
      <c r="B23" s="1060" t="s">
        <v>359</v>
      </c>
      <c r="C23" s="1061" t="s">
        <v>641</v>
      </c>
      <c r="D23" s="1062" t="s">
        <v>651</v>
      </c>
      <c r="E23" s="1062" t="s">
        <v>651</v>
      </c>
      <c r="F23" s="1062" t="s">
        <v>651</v>
      </c>
      <c r="G23" s="1059" t="s">
        <v>651</v>
      </c>
      <c r="H23" s="1059" t="s">
        <v>642</v>
      </c>
    </row>
    <row r="24" customFormat="false" ht="15" hidden="false" customHeight="false" outlineLevel="0" collapsed="false">
      <c r="B24" s="1060" t="s">
        <v>352</v>
      </c>
      <c r="C24" s="1061" t="s">
        <v>641</v>
      </c>
      <c r="D24" s="1062" t="s">
        <v>651</v>
      </c>
      <c r="E24" s="1062" t="s">
        <v>651</v>
      </c>
      <c r="F24" s="1062" t="s">
        <v>651</v>
      </c>
      <c r="G24" s="1059" t="s">
        <v>651</v>
      </c>
      <c r="H24" s="1059" t="s">
        <v>642</v>
      </c>
    </row>
    <row r="25" customFormat="false" ht="15" hidden="false" customHeight="false" outlineLevel="0" collapsed="false">
      <c r="B25" s="1060" t="s">
        <v>216</v>
      </c>
      <c r="C25" s="1061" t="s">
        <v>641</v>
      </c>
      <c r="D25" s="1062" t="s">
        <v>642</v>
      </c>
      <c r="E25" s="1062" t="s">
        <v>642</v>
      </c>
      <c r="F25" s="1062" t="s">
        <v>642</v>
      </c>
      <c r="G25" s="1059" t="s">
        <v>642</v>
      </c>
      <c r="H25" s="1059" t="s">
        <v>642</v>
      </c>
    </row>
    <row r="26" customFormat="false" ht="15" hidden="false" customHeight="false" outlineLevel="0" collapsed="false">
      <c r="B26" s="1071" t="s">
        <v>152</v>
      </c>
      <c r="C26" s="1072" t="s">
        <v>641</v>
      </c>
      <c r="D26" s="1073" t="s">
        <v>642</v>
      </c>
      <c r="E26" s="1073" t="s">
        <v>642</v>
      </c>
      <c r="F26" s="1073" t="s">
        <v>644</v>
      </c>
      <c r="G26" s="1074" t="s">
        <v>651</v>
      </c>
      <c r="H26" s="1059" t="s">
        <v>642</v>
      </c>
      <c r="L26" s="0" t="s">
        <v>646</v>
      </c>
      <c r="O26" s="0" t="s">
        <v>654</v>
      </c>
    </row>
    <row r="27" customFormat="false" ht="15" hidden="false" customHeight="false" outlineLevel="0" collapsed="false">
      <c r="B27" s="1071" t="s">
        <v>134</v>
      </c>
      <c r="C27" s="1072" t="s">
        <v>655</v>
      </c>
      <c r="D27" s="1073" t="s">
        <v>644</v>
      </c>
      <c r="E27" s="1073" t="s">
        <v>644</v>
      </c>
      <c r="F27" s="1073" t="s">
        <v>642</v>
      </c>
      <c r="G27" s="1074" t="s">
        <v>644</v>
      </c>
      <c r="H27" s="1059" t="s">
        <v>644</v>
      </c>
      <c r="L27" s="0" t="s">
        <v>646</v>
      </c>
      <c r="O27" s="0" t="s">
        <v>656</v>
      </c>
    </row>
  </sheetData>
  <conditionalFormatting sqref="H5:H17 H23:H27">
    <cfRule type="expression" priority="2" aboveAverage="0" equalAverage="0" bottom="0" percent="0" rank="0" text="" dxfId="8">
      <formula>LEN(TRIM(H5))&gt;0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2A5BBEAD3DF749910E680647962C4E" ma:contentTypeVersion="14" ma:contentTypeDescription="Create a new document." ma:contentTypeScope="" ma:versionID="ff6feb35dce362402f6989f9a46916d2">
  <xsd:schema xmlns:xsd="http://www.w3.org/2001/XMLSchema" xmlns:xs="http://www.w3.org/2001/XMLSchema" xmlns:p="http://schemas.microsoft.com/office/2006/metadata/properties" xmlns:ns2="d1b2900c-6ad1-44b7-b64b-75a62368d7bf" xmlns:ns3="c23826f6-52f9-46ef-bdec-e30b4f1570da" targetNamespace="http://schemas.microsoft.com/office/2006/metadata/properties" ma:root="true" ma:fieldsID="9f238689ef1e930a8905850c2e495c05" ns2:_="" ns3:_="">
    <xsd:import namespace="d1b2900c-6ad1-44b7-b64b-75a62368d7bf"/>
    <xsd:import namespace="c23826f6-52f9-46ef-bdec-e30b4f1570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b2900c-6ad1-44b7-b64b-75a62368d7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c2506c3-735d-4e70-aa79-204d06275b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3826f6-52f9-46ef-bdec-e30b4f1570d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6cb2bdd-57cd-4742-bd62-77868a4f93fa}" ma:internalName="TaxCatchAll" ma:showField="CatchAllData" ma:web="c23826f6-52f9-46ef-bdec-e30b4f1570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b2900c-6ad1-44b7-b64b-75a62368d7bf">
      <Terms xmlns="http://schemas.microsoft.com/office/infopath/2007/PartnerControls"/>
    </lcf76f155ced4ddcb4097134ff3c332f>
    <TaxCatchAll xmlns="c23826f6-52f9-46ef-bdec-e30b4f1570da" xsi:nil="true"/>
    <SharedWithUsers xmlns="c23826f6-52f9-46ef-bdec-e30b4f1570da">
      <UserInfo>
        <DisplayName>Fedkevych, Mariia</DisplayName>
        <AccountId>14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B50E9C7-7D64-4228-9F68-A3FAD5E88363}"/>
</file>

<file path=customXml/itemProps2.xml><?xml version="1.0" encoding="utf-8"?>
<ds:datastoreItem xmlns:ds="http://schemas.openxmlformats.org/officeDocument/2006/customXml" ds:itemID="{A25D8007-D0E7-4F57-B440-94263AAB438E}"/>
</file>

<file path=customXml/itemProps3.xml><?xml version="1.0" encoding="utf-8"?>
<ds:datastoreItem xmlns:ds="http://schemas.openxmlformats.org/officeDocument/2006/customXml" ds:itemID="{C3E74DCA-F986-46B2-83B2-41774C8709B3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LibreOffice/7.6.5.2$Linux_X86_64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2023-10-15T01:27:41Z</dcterms:created>
  <dc:creator/>
  <dc:description/>
  <dc:language>en-US</dc:language>
  <cp:lastModifiedBy/>
  <dcterms:modified xsi:type="dcterms:W3CDTF">2025-08-04T14:35:10Z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0x010100062A5BBEAD3DF749910E680647962C4E</vt:lpwstr>
  </property>
  <property fmtid="{D5CDD505-2E9C-101B-9397-08002B2CF9AE}" pid="3" name="MediaServiceImageTags">
    <vt:lpwstr/>
  </property>
</Properties>
</file>