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<sst xmlns="http://schemas.openxmlformats.org/spreadsheetml/2006/main" count="200" uniqueCount="42">
  <si>
    <t xml:space="preserve">Address</t>
  </si>
  <si>
    <t xml:space="preserve">Value (DEC)</t>
  </si>
  <si>
    <t xml:space="preserve">enCh</t>
  </si>
  <si>
    <t xml:space="preserve">disIn</t>
  </si>
  <si>
    <t xml:space="preserve">DVoffset</t>
  </si>
  <si>
    <t xml:space="preserve">X</t>
  </si>
  <si>
    <t xml:space="preserve">Value (HEX)</t>
  </si>
  <si>
    <t xml:space="preserve">HLAna</t>
  </si>
  <si>
    <t xml:space="preserve">enChSW</t>
  </si>
  <si>
    <t xml:space="preserve">enPZ</t>
  </si>
  <si>
    <t xml:space="preserve">enDrvSE</t>
  </si>
  <si>
    <t xml:space="preserve">DVth</t>
  </si>
  <si>
    <t xml:space="preserve">pHLComp</t>
  </si>
  <si>
    <t xml:space="preserve">pEnCompSW</t>
  </si>
  <si>
    <t xml:space="preserve">pEnPZComp</t>
  </si>
  <si>
    <t xml:space="preserve">V_dcLG</t>
  </si>
  <si>
    <t xml:space="preserve">V_dcHG</t>
  </si>
  <si>
    <t xml:space="preserve">V_dcCh</t>
  </si>
  <si>
    <t xml:space="preserve">V_cm</t>
  </si>
  <si>
    <t xml:space="preserve">I_bComp</t>
  </si>
  <si>
    <t xml:space="preserve">V_BG_adj</t>
  </si>
  <si>
    <t xml:space="preserve">I_bOP_SE</t>
  </si>
  <si>
    <t xml:space="preserve">I_bAB_SE</t>
  </si>
  <si>
    <t xml:space="preserve">HLSUM_HG</t>
  </si>
  <si>
    <t xml:space="preserve">HLSUM_LG</t>
  </si>
  <si>
    <t xml:space="preserve">EnDiffDrv_HG</t>
  </si>
  <si>
    <t xml:space="preserve">EnDiffDrv_LG</t>
  </si>
  <si>
    <t xml:space="preserve">enBypass_HG</t>
  </si>
  <si>
    <t xml:space="preserve">enBypass_LG</t>
  </si>
  <si>
    <t xml:space="preserve">enPZ_HG</t>
  </si>
  <si>
    <t xml:space="preserve">enPZ_LG</t>
  </si>
  <si>
    <t xml:space="preserve">enChSUM</t>
  </si>
  <si>
    <t xml:space="preserve">V_lim</t>
  </si>
  <si>
    <t xml:space="preserve">Cap_PZ</t>
  </si>
  <si>
    <t xml:space="preserve">R_lad</t>
  </si>
  <si>
    <t xml:space="preserve">LowAtLad_PZ</t>
  </si>
  <si>
    <t xml:space="preserve">I_bAB_Diff</t>
  </si>
  <si>
    <t xml:space="preserve">I_bOP_Diff</t>
  </si>
  <si>
    <t xml:space="preserve">I_bPair</t>
  </si>
  <si>
    <t xml:space="preserve">I_bAB_PZ</t>
  </si>
  <si>
    <t xml:space="preserve">I_bIN</t>
  </si>
  <si>
    <t xml:space="preserve">I_bPZ_Buf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</si>
</sst>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006100"/>
      <name val="Calibri"/>
      <family val="2"/>
      <charset val="1"/>
    </font>
    <font>
      <b val="true"/>
      <sz val="11"/>
      <color rgb="FF3F3F3F"/>
      <name val="Calibri"/>
      <family val="2"/>
      <charset val="1"/>
    </font>
    <font>
      <sz val="11"/>
      <color rgb="FF3F3F76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FFEB9C"/>
        <bgColor rgb="FFFFCC99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FFCC99"/>
        <bgColor rgb="FFFFEB9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7" fillId="5" borderId="2" applyFont="true" applyBorder="true" applyAlignment="true" applyProtection="false">
      <alignment horizontal="general" vertical="bottom" textRotation="0" wrapText="false" indent="0" shrinkToFit="false"/>
    </xf>
    <xf numFmtId="164" fontId="8" fillId="6" borderId="3" applyFont="true" applyBorder="tru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2" xfId="23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3" xfId="24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heck Cell" xfId="20"/>
    <cellStyle name="Excel Built-in Neutral" xfId="21"/>
    <cellStyle name="Excel Built-in Good" xfId="22"/>
    <cellStyle name="Excel Built-in Output" xfId="23"/>
    <cellStyle name="Excel Built-in Input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C5700"/>
      <rgbColor rgb="FF993366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3.14"/>
    <col collapsed="false" customWidth="true" hidden="false" outlineLevel="0" max="3" min="3" style="1" width="14.15"/>
    <col collapsed="false" customWidth="true" hidden="false" outlineLevel="0" max="4" min="4" style="1" width="13.86"/>
    <col collapsed="false" customWidth="true" hidden="false" outlineLevel="0" max="5" min="5" style="1" width="15.42"/>
    <col collapsed="false" customWidth="true" hidden="false" outlineLevel="0" max="6" min="6" style="1" width="15.29"/>
    <col collapsed="false" customWidth="true" hidden="false" outlineLevel="0" max="7" min="7" style="1" width="17.14"/>
    <col collapsed="false" customWidth="true" hidden="false" outlineLevel="0" max="8" min="8" style="1" width="15"/>
    <col collapsed="false" customWidth="true" hidden="false" outlineLevel="0" max="9" min="9" style="1" width="14.43"/>
    <col collapsed="false" customWidth="true" hidden="false" outlineLevel="0" max="10" min="10" style="1" width="14.15"/>
    <col collapsed="false" customWidth="false" hidden="false" outlineLevel="0" max="11" min="11" style="1" width="11.42"/>
    <col collapsed="false" customWidth="true" hidden="false" outlineLevel="0" max="12" min="12" style="1" width="12.86"/>
    <col collapsed="false" customWidth="true" hidden="false" outlineLevel="0" max="1025" min="13" style="1" width="9.14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5</v>
      </c>
      <c r="H1" s="3" t="s">
        <v>5</v>
      </c>
      <c r="I1" s="3" t="s">
        <v>5</v>
      </c>
      <c r="J1" s="3" t="s">
        <v>5</v>
      </c>
      <c r="K1" s="3" t="s">
        <v>5</v>
      </c>
      <c r="L1" s="2" t="s">
        <v>6</v>
      </c>
    </row>
    <row r="2" customFormat="false" ht="15.75" hidden="false" customHeight="false" outlineLevel="0" collapsed="false">
      <c r="A2" s="4" t="n">
        <v>0</v>
      </c>
      <c r="B2" s="5" t="n">
        <f aca="false">_xlfn.BITOR(_xlfn.BITOR(_xlfn.BITLSHIFT(C2,10),_xlfn.BITLSHIFT(D2,9)),E2)</f>
        <v>1279</v>
      </c>
      <c r="C2" s="6" t="n">
        <v>1</v>
      </c>
      <c r="D2" s="6" t="n">
        <v>0</v>
      </c>
      <c r="E2" s="6" t="n">
        <v>255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5" t="str">
        <f aca="false">DEC2HEX(B2)</f>
        <v>4FF</v>
      </c>
    </row>
    <row r="3" customFormat="false" ht="15" hidden="false" customHeight="false" outlineLevel="0" collapsed="false">
      <c r="A3" s="4" t="n">
        <v>1</v>
      </c>
      <c r="B3" s="5" t="n">
        <f aca="false">_xlfn.BITOR(_xlfn.BITOR(_xlfn.BITLSHIFT(C3,10),_xlfn.BITLSHIFT(D3,9)),E3)</f>
        <v>1279</v>
      </c>
      <c r="C3" s="6" t="n">
        <v>1</v>
      </c>
      <c r="D3" s="6" t="n">
        <v>0</v>
      </c>
      <c r="E3" s="6" t="n">
        <v>255</v>
      </c>
      <c r="F3" s="3" t="s">
        <v>5</v>
      </c>
      <c r="G3" s="3" t="s">
        <v>5</v>
      </c>
      <c r="H3" s="3" t="s">
        <v>5</v>
      </c>
      <c r="I3" s="3" t="s">
        <v>5</v>
      </c>
      <c r="J3" s="3" t="s">
        <v>5</v>
      </c>
      <c r="K3" s="3" t="s">
        <v>5</v>
      </c>
      <c r="L3" s="5" t="str">
        <f aca="false">DEC2HEX(B3)</f>
        <v>4FF</v>
      </c>
    </row>
    <row r="4" customFormat="false" ht="15" hidden="false" customHeight="false" outlineLevel="0" collapsed="false">
      <c r="A4" s="4" t="n">
        <v>2</v>
      </c>
      <c r="B4" s="5" t="n">
        <f aca="false">_xlfn.BITOR(_xlfn.BITOR(_xlfn.BITLSHIFT(C4,10),_xlfn.BITLSHIFT(D4,9)),E4)</f>
        <v>1279</v>
      </c>
      <c r="C4" s="6" t="n">
        <v>1</v>
      </c>
      <c r="D4" s="6" t="n">
        <v>0</v>
      </c>
      <c r="E4" s="6" t="n">
        <v>255</v>
      </c>
      <c r="F4" s="3" t="s">
        <v>5</v>
      </c>
      <c r="G4" s="3" t="s">
        <v>5</v>
      </c>
      <c r="H4" s="3" t="s">
        <v>5</v>
      </c>
      <c r="I4" s="3" t="s">
        <v>5</v>
      </c>
      <c r="J4" s="3" t="s">
        <v>5</v>
      </c>
      <c r="K4" s="3" t="s">
        <v>5</v>
      </c>
      <c r="L4" s="5" t="str">
        <f aca="false">DEC2HEX(B4)</f>
        <v>4FF</v>
      </c>
    </row>
    <row r="5" customFormat="false" ht="15" hidden="false" customHeight="false" outlineLevel="0" collapsed="false">
      <c r="A5" s="4" t="n">
        <v>3</v>
      </c>
      <c r="B5" s="5" t="n">
        <f aca="false">_xlfn.BITOR(_xlfn.BITOR(_xlfn.BITLSHIFT(C5,10),_xlfn.BITLSHIFT(D5,9)),E5)</f>
        <v>1279</v>
      </c>
      <c r="C5" s="6" t="n">
        <v>1</v>
      </c>
      <c r="D5" s="6" t="n">
        <v>0</v>
      </c>
      <c r="E5" s="6" t="n">
        <v>255</v>
      </c>
      <c r="F5" s="3" t="s">
        <v>5</v>
      </c>
      <c r="G5" s="3" t="s">
        <v>5</v>
      </c>
      <c r="H5" s="3" t="s">
        <v>5</v>
      </c>
      <c r="I5" s="3" t="s">
        <v>5</v>
      </c>
      <c r="J5" s="3" t="s">
        <v>5</v>
      </c>
      <c r="K5" s="3" t="s">
        <v>5</v>
      </c>
      <c r="L5" s="5" t="str">
        <f aca="false">DEC2HEX(B5)</f>
        <v>4FF</v>
      </c>
    </row>
    <row r="6" customFormat="false" ht="15" hidden="false" customHeight="false" outlineLevel="0" collapsed="false">
      <c r="A6" s="4" t="n">
        <v>4</v>
      </c>
      <c r="B6" s="5" t="n">
        <f aca="false">_xlfn.BITOR(_xlfn.BITOR(_xlfn.BITLSHIFT(C6,10),_xlfn.BITLSHIFT(D6,9)),E6)</f>
        <v>1279</v>
      </c>
      <c r="C6" s="6" t="n">
        <v>1</v>
      </c>
      <c r="D6" s="6" t="n">
        <v>0</v>
      </c>
      <c r="E6" s="6" t="n">
        <v>255</v>
      </c>
      <c r="F6" s="3" t="s">
        <v>5</v>
      </c>
      <c r="G6" s="3" t="s">
        <v>5</v>
      </c>
      <c r="H6" s="3" t="s">
        <v>5</v>
      </c>
      <c r="I6" s="3" t="s">
        <v>5</v>
      </c>
      <c r="J6" s="3" t="s">
        <v>5</v>
      </c>
      <c r="K6" s="3" t="s">
        <v>5</v>
      </c>
      <c r="L6" s="5" t="str">
        <f aca="false">DEC2HEX(B6)</f>
        <v>4FF</v>
      </c>
    </row>
    <row r="7" customFormat="false" ht="15" hidden="false" customHeight="false" outlineLevel="0" collapsed="false">
      <c r="A7" s="4" t="n">
        <v>5</v>
      </c>
      <c r="B7" s="5" t="n">
        <f aca="false">_xlfn.BITOR(_xlfn.BITOR(_xlfn.BITLSHIFT(C7,10),_xlfn.BITLSHIFT(D7,9)),E7)</f>
        <v>1279</v>
      </c>
      <c r="C7" s="6" t="n">
        <v>1</v>
      </c>
      <c r="D7" s="6" t="n">
        <v>0</v>
      </c>
      <c r="E7" s="6" t="n">
        <v>255</v>
      </c>
      <c r="F7" s="3" t="s">
        <v>5</v>
      </c>
      <c r="G7" s="3" t="s">
        <v>5</v>
      </c>
      <c r="H7" s="3" t="s">
        <v>5</v>
      </c>
      <c r="I7" s="3" t="s">
        <v>5</v>
      </c>
      <c r="J7" s="3" t="s">
        <v>5</v>
      </c>
      <c r="K7" s="3" t="s">
        <v>5</v>
      </c>
      <c r="L7" s="5" t="str">
        <f aca="false">DEC2HEX(B7)</f>
        <v>4FF</v>
      </c>
    </row>
    <row r="8" customFormat="false" ht="15" hidden="false" customHeight="false" outlineLevel="0" collapsed="false">
      <c r="A8" s="4" t="n">
        <v>6</v>
      </c>
      <c r="B8" s="5" t="n">
        <f aca="false">_xlfn.BITOR(_xlfn.BITOR(_xlfn.BITLSHIFT(C8,10),_xlfn.BITLSHIFT(D8,9)),E8)</f>
        <v>1279</v>
      </c>
      <c r="C8" s="6" t="n">
        <v>1</v>
      </c>
      <c r="D8" s="6" t="n">
        <v>0</v>
      </c>
      <c r="E8" s="6" t="n">
        <v>255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5" t="str">
        <f aca="false">DEC2HEX(B8)</f>
        <v>4FF</v>
      </c>
    </row>
    <row r="9" customFormat="false" ht="15.75" hidden="false" customHeight="false" outlineLevel="0" collapsed="false">
      <c r="A9" s="4" t="n">
        <v>7</v>
      </c>
      <c r="B9" s="5" t="n">
        <f aca="false">_xlfn.BITOR(_xlfn.BITOR(_xlfn.BITLSHIFT(C9,10),_xlfn.BITLSHIFT(D9,9)),E9)</f>
        <v>1279</v>
      </c>
      <c r="C9" s="6" t="n">
        <v>1</v>
      </c>
      <c r="D9" s="6" t="n">
        <v>0</v>
      </c>
      <c r="E9" s="6" t="n">
        <v>255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5" t="str">
        <f aca="false">DEC2HEX(B9)</f>
        <v>4FF</v>
      </c>
    </row>
    <row r="10" customFormat="false" ht="16.5" hidden="false" customHeight="false" outlineLevel="0" collapsed="false">
      <c r="A10" s="2" t="s">
        <v>0</v>
      </c>
      <c r="B10" s="2" t="s">
        <v>1</v>
      </c>
      <c r="C10" s="2" t="s">
        <v>7</v>
      </c>
      <c r="D10" s="2" t="s">
        <v>8</v>
      </c>
      <c r="E10" s="2" t="s">
        <v>9</v>
      </c>
      <c r="F10" s="2" t="s">
        <v>10</v>
      </c>
      <c r="G10" s="2" t="s">
        <v>11</v>
      </c>
      <c r="H10" s="2" t="s">
        <v>12</v>
      </c>
      <c r="I10" s="2" t="s">
        <v>13</v>
      </c>
      <c r="J10" s="2" t="s">
        <v>14</v>
      </c>
      <c r="K10" s="3" t="s">
        <v>5</v>
      </c>
      <c r="L10" s="2" t="s">
        <v>6</v>
      </c>
    </row>
    <row r="11" customFormat="false" ht="15.75" hidden="false" customHeight="false" outlineLevel="0" collapsed="false">
      <c r="A11" s="4" t="n">
        <v>8</v>
      </c>
      <c r="B11" s="5" t="n">
        <f aca="false">_xlfn.BITOR(_xlfn.BITOR(_xlfn.BITOR(_xlfn.BITLSHIFT(C11,15),_xlfn.BITLSHIFT(D11,14)),_xlfn.BITOR(_xlfn.BITLSHIFT(E11,13),_xlfn.BITLSHIFT(F11,12))),_xlfn.BITOR(_xlfn.BITOR(_xlfn.BITLSHIFT(G11,3),_xlfn.BITLSHIFT(H11,2)),_xlfn.BITOR(_xlfn.BITLSHIFT(I11,1),_xlfn.BITLSHIFT(J11,0))))</f>
        <v>62407</v>
      </c>
      <c r="C11" s="6" t="n">
        <v>1</v>
      </c>
      <c r="D11" s="6" t="n">
        <v>1</v>
      </c>
      <c r="E11" s="6" t="n">
        <v>1</v>
      </c>
      <c r="F11" s="6" t="n">
        <v>1</v>
      </c>
      <c r="G11" s="6" t="n">
        <v>120</v>
      </c>
      <c r="H11" s="6" t="n">
        <v>1</v>
      </c>
      <c r="I11" s="6" t="n">
        <v>1</v>
      </c>
      <c r="J11" s="6" t="n">
        <v>1</v>
      </c>
      <c r="K11" s="3" t="s">
        <v>5</v>
      </c>
      <c r="L11" s="5" t="str">
        <f aca="false">DEC2HEX(B11)</f>
        <v>F3C7</v>
      </c>
    </row>
    <row r="12" customFormat="false" ht="15" hidden="false" customHeight="false" outlineLevel="0" collapsed="false">
      <c r="A12" s="4" t="n">
        <v>9</v>
      </c>
      <c r="B12" s="5" t="n">
        <f aca="false">_xlfn.BITOR(_xlfn.BITOR(_xlfn.BITOR(_xlfn.BITLSHIFT(C12,15),_xlfn.BITLSHIFT(D12,14)),_xlfn.BITOR(_xlfn.BITLSHIFT(E12,13),_xlfn.BITLSHIFT(F12,12))),_xlfn.BITOR(_xlfn.BITOR(_xlfn.BITLSHIFT(G12,3),_xlfn.BITLSHIFT(H12,2)),_xlfn.BITOR(_xlfn.BITLSHIFT(I12,1),_xlfn.BITLSHIFT(J12,0))))</f>
        <v>62407</v>
      </c>
      <c r="C12" s="6" t="n">
        <v>1</v>
      </c>
      <c r="D12" s="6" t="n">
        <v>1</v>
      </c>
      <c r="E12" s="6" t="n">
        <v>1</v>
      </c>
      <c r="F12" s="6" t="n">
        <v>1</v>
      </c>
      <c r="G12" s="6" t="n">
        <v>120</v>
      </c>
      <c r="H12" s="6" t="n">
        <v>1</v>
      </c>
      <c r="I12" s="6" t="n">
        <v>1</v>
      </c>
      <c r="J12" s="6" t="n">
        <v>1</v>
      </c>
      <c r="K12" s="3" t="s">
        <v>5</v>
      </c>
      <c r="L12" s="5" t="str">
        <f aca="false">DEC2HEX(B12)</f>
        <v>F3C7</v>
      </c>
    </row>
    <row r="13" customFormat="false" ht="15" hidden="false" customHeight="false" outlineLevel="0" collapsed="false">
      <c r="A13" s="4" t="n">
        <v>10</v>
      </c>
      <c r="B13" s="5" t="n">
        <f aca="false">_xlfn.BITOR(_xlfn.BITOR(_xlfn.BITOR(_xlfn.BITLSHIFT(C13,15),_xlfn.BITLSHIFT(D13,14)),_xlfn.BITOR(_xlfn.BITLSHIFT(E13,13),_xlfn.BITLSHIFT(F13,12))),_xlfn.BITOR(_xlfn.BITOR(_xlfn.BITLSHIFT(G13,3),_xlfn.BITLSHIFT(H13,2)),_xlfn.BITOR(_xlfn.BITLSHIFT(I13,1),_xlfn.BITLSHIFT(J13,0))))</f>
        <v>62407</v>
      </c>
      <c r="C13" s="6" t="n">
        <v>1</v>
      </c>
      <c r="D13" s="6" t="n">
        <v>1</v>
      </c>
      <c r="E13" s="6" t="n">
        <v>1</v>
      </c>
      <c r="F13" s="6" t="n">
        <v>1</v>
      </c>
      <c r="G13" s="6" t="n">
        <v>120</v>
      </c>
      <c r="H13" s="6" t="n">
        <v>1</v>
      </c>
      <c r="I13" s="6" t="n">
        <v>1</v>
      </c>
      <c r="J13" s="6" t="n">
        <v>1</v>
      </c>
      <c r="K13" s="3" t="s">
        <v>5</v>
      </c>
      <c r="L13" s="5" t="str">
        <f aca="false">DEC2HEX(B13)</f>
        <v>F3C7</v>
      </c>
    </row>
    <row r="14" customFormat="false" ht="15" hidden="false" customHeight="false" outlineLevel="0" collapsed="false">
      <c r="A14" s="4" t="n">
        <v>11</v>
      </c>
      <c r="B14" s="5" t="n">
        <f aca="false">_xlfn.BITOR(_xlfn.BITOR(_xlfn.BITOR(_xlfn.BITLSHIFT(C14,15),_xlfn.BITLSHIFT(D14,14)),_xlfn.BITOR(_xlfn.BITLSHIFT(E14,13),_xlfn.BITLSHIFT(F14,12))),_xlfn.BITOR(_xlfn.BITOR(_xlfn.BITLSHIFT(G14,3),_xlfn.BITLSHIFT(H14,2)),_xlfn.BITOR(_xlfn.BITLSHIFT(I14,1),_xlfn.BITLSHIFT(J14,0))))</f>
        <v>62407</v>
      </c>
      <c r="C14" s="6" t="n">
        <v>1</v>
      </c>
      <c r="D14" s="6" t="n">
        <v>1</v>
      </c>
      <c r="E14" s="6" t="n">
        <v>1</v>
      </c>
      <c r="F14" s="6" t="n">
        <v>1</v>
      </c>
      <c r="G14" s="6" t="n">
        <v>120</v>
      </c>
      <c r="H14" s="6" t="n">
        <v>1</v>
      </c>
      <c r="I14" s="6" t="n">
        <v>1</v>
      </c>
      <c r="J14" s="6" t="n">
        <v>1</v>
      </c>
      <c r="K14" s="3" t="s">
        <v>5</v>
      </c>
      <c r="L14" s="5" t="str">
        <f aca="false">DEC2HEX(B14)</f>
        <v>F3C7</v>
      </c>
    </row>
    <row r="15" customFormat="false" ht="15" hidden="false" customHeight="false" outlineLevel="0" collapsed="false">
      <c r="A15" s="4" t="n">
        <v>12</v>
      </c>
      <c r="B15" s="5" t="n">
        <f aca="false">_xlfn.BITOR(_xlfn.BITOR(_xlfn.BITOR(_xlfn.BITLSHIFT(C15,15),_xlfn.BITLSHIFT(D15,14)),_xlfn.BITOR(_xlfn.BITLSHIFT(E15,13),_xlfn.BITLSHIFT(F15,12))),_xlfn.BITOR(_xlfn.BITOR(_xlfn.BITLSHIFT(G15,3),_xlfn.BITLSHIFT(H15,2)),_xlfn.BITOR(_xlfn.BITLSHIFT(I15,1),_xlfn.BITLSHIFT(J15,0))))</f>
        <v>62407</v>
      </c>
      <c r="C15" s="6" t="n">
        <v>1</v>
      </c>
      <c r="D15" s="6" t="n">
        <v>1</v>
      </c>
      <c r="E15" s="6" t="n">
        <v>1</v>
      </c>
      <c r="F15" s="6" t="n">
        <v>1</v>
      </c>
      <c r="G15" s="6" t="n">
        <v>120</v>
      </c>
      <c r="H15" s="6" t="n">
        <v>1</v>
      </c>
      <c r="I15" s="6" t="n">
        <v>1</v>
      </c>
      <c r="J15" s="6" t="n">
        <v>1</v>
      </c>
      <c r="K15" s="3" t="s">
        <v>5</v>
      </c>
      <c r="L15" s="5" t="str">
        <f aca="false">DEC2HEX(B15)</f>
        <v>F3C7</v>
      </c>
    </row>
    <row r="16" customFormat="false" ht="15" hidden="false" customHeight="false" outlineLevel="0" collapsed="false">
      <c r="A16" s="4" t="n">
        <v>13</v>
      </c>
      <c r="B16" s="5" t="n">
        <f aca="false">_xlfn.BITOR(_xlfn.BITOR(_xlfn.BITOR(_xlfn.BITLSHIFT(C16,15),_xlfn.BITLSHIFT(D16,14)),_xlfn.BITOR(_xlfn.BITLSHIFT(E16,13),_xlfn.BITLSHIFT(F16,12))),_xlfn.BITOR(_xlfn.BITOR(_xlfn.BITLSHIFT(G16,3),_xlfn.BITLSHIFT(H16,2)),_xlfn.BITOR(_xlfn.BITLSHIFT(I16,1),_xlfn.BITLSHIFT(J16,0))))</f>
        <v>62407</v>
      </c>
      <c r="C16" s="6" t="n">
        <v>1</v>
      </c>
      <c r="D16" s="6" t="n">
        <v>1</v>
      </c>
      <c r="E16" s="6" t="n">
        <v>1</v>
      </c>
      <c r="F16" s="6" t="n">
        <v>1</v>
      </c>
      <c r="G16" s="6" t="n">
        <v>120</v>
      </c>
      <c r="H16" s="6" t="n">
        <v>1</v>
      </c>
      <c r="I16" s="6" t="n">
        <v>1</v>
      </c>
      <c r="J16" s="6" t="n">
        <v>1</v>
      </c>
      <c r="K16" s="3" t="s">
        <v>5</v>
      </c>
      <c r="L16" s="5" t="str">
        <f aca="false">DEC2HEX(B16)</f>
        <v>F3C7</v>
      </c>
    </row>
    <row r="17" customFormat="false" ht="15" hidden="false" customHeight="false" outlineLevel="0" collapsed="false">
      <c r="A17" s="4" t="n">
        <v>14</v>
      </c>
      <c r="B17" s="5" t="n">
        <f aca="false">_xlfn.BITOR(_xlfn.BITOR(_xlfn.BITOR(_xlfn.BITLSHIFT(C17,15),_xlfn.BITLSHIFT(D17,14)),_xlfn.BITOR(_xlfn.BITLSHIFT(E17,13),_xlfn.BITLSHIFT(F17,12))),_xlfn.BITOR(_xlfn.BITOR(_xlfn.BITLSHIFT(G17,3),_xlfn.BITLSHIFT(H17,2)),_xlfn.BITOR(_xlfn.BITLSHIFT(I17,1),_xlfn.BITLSHIFT(J17,0))))</f>
        <v>62407</v>
      </c>
      <c r="C17" s="6" t="n">
        <v>1</v>
      </c>
      <c r="D17" s="6" t="n">
        <v>1</v>
      </c>
      <c r="E17" s="6" t="n">
        <v>1</v>
      </c>
      <c r="F17" s="6" t="n">
        <v>1</v>
      </c>
      <c r="G17" s="6" t="n">
        <v>120</v>
      </c>
      <c r="H17" s="6" t="n">
        <v>1</v>
      </c>
      <c r="I17" s="6" t="n">
        <v>1</v>
      </c>
      <c r="J17" s="6" t="n">
        <v>1</v>
      </c>
      <c r="K17" s="3" t="s">
        <v>5</v>
      </c>
      <c r="L17" s="5" t="str">
        <f aca="false">DEC2HEX(B17)</f>
        <v>F3C7</v>
      </c>
    </row>
    <row r="18" customFormat="false" ht="15.75" hidden="false" customHeight="false" outlineLevel="0" collapsed="false">
      <c r="A18" s="4" t="n">
        <v>15</v>
      </c>
      <c r="B18" s="5" t="n">
        <f aca="false">_xlfn.BITOR(_xlfn.BITOR(_xlfn.BITOR(_xlfn.BITLSHIFT(C18,15),_xlfn.BITLSHIFT(D18,14)),_xlfn.BITOR(_xlfn.BITLSHIFT(E18,13),_xlfn.BITLSHIFT(F18,12))),_xlfn.BITOR(_xlfn.BITOR(_xlfn.BITLSHIFT(G18,3),_xlfn.BITLSHIFT(H18,2)),_xlfn.BITOR(_xlfn.BITLSHIFT(I18,1),_xlfn.BITLSHIFT(J18,0))))</f>
        <v>62407</v>
      </c>
      <c r="C18" s="6" t="n">
        <v>1</v>
      </c>
      <c r="D18" s="6" t="n">
        <v>1</v>
      </c>
      <c r="E18" s="6" t="n">
        <v>1</v>
      </c>
      <c r="F18" s="6" t="n">
        <v>1</v>
      </c>
      <c r="G18" s="6" t="n">
        <v>120</v>
      </c>
      <c r="H18" s="6" t="n">
        <v>1</v>
      </c>
      <c r="I18" s="6" t="n">
        <v>1</v>
      </c>
      <c r="J18" s="6" t="n">
        <v>1</v>
      </c>
      <c r="K18" s="3" t="s">
        <v>5</v>
      </c>
      <c r="L18" s="5" t="str">
        <f aca="false">DEC2HEX(B18)</f>
        <v>F3C7</v>
      </c>
    </row>
    <row r="19" customFormat="false" ht="16.5" hidden="false" customHeight="false" outlineLevel="0" collapsed="false">
      <c r="A19" s="2" t="s">
        <v>0</v>
      </c>
      <c r="B19" s="2" t="s">
        <v>1</v>
      </c>
      <c r="C19" s="2" t="s">
        <v>15</v>
      </c>
      <c r="D19" s="2" t="s">
        <v>16</v>
      </c>
      <c r="E19" s="3" t="s">
        <v>5</v>
      </c>
      <c r="F19" s="3" t="s">
        <v>5</v>
      </c>
      <c r="G19" s="3" t="s">
        <v>5</v>
      </c>
      <c r="H19" s="3" t="s">
        <v>5</v>
      </c>
      <c r="I19" s="3" t="s">
        <v>5</v>
      </c>
      <c r="J19" s="3" t="s">
        <v>5</v>
      </c>
      <c r="K19" s="3" t="s">
        <v>5</v>
      </c>
      <c r="L19" s="2" t="s">
        <v>6</v>
      </c>
    </row>
    <row r="20" customFormat="false" ht="16.5" hidden="false" customHeight="false" outlineLevel="0" collapsed="false">
      <c r="A20" s="4" t="n">
        <v>32</v>
      </c>
      <c r="B20" s="5" t="n">
        <f aca="false">_xlfn.BITOR(_xlfn.BITLSHIFT(C20,8),D20)</f>
        <v>37008</v>
      </c>
      <c r="C20" s="6" t="n">
        <v>144</v>
      </c>
      <c r="D20" s="6" t="n">
        <v>144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5" t="str">
        <f aca="false">DEC2HEX(B20)</f>
        <v>9090</v>
      </c>
    </row>
    <row r="21" customFormat="false" ht="16.5" hidden="false" customHeight="false" outlineLevel="0" collapsed="false">
      <c r="A21" s="2" t="s">
        <v>0</v>
      </c>
      <c r="B21" s="2" t="s">
        <v>1</v>
      </c>
      <c r="C21" s="2" t="s">
        <v>17</v>
      </c>
      <c r="D21" s="2" t="s">
        <v>18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2" t="s">
        <v>6</v>
      </c>
    </row>
    <row r="22" customFormat="false" ht="16.5" hidden="false" customHeight="false" outlineLevel="0" collapsed="false">
      <c r="A22" s="4" t="n">
        <v>33</v>
      </c>
      <c r="B22" s="5" t="n">
        <f aca="false">_xlfn.BITOR(_xlfn.BITLSHIFT(C22,8),D22)</f>
        <v>28545</v>
      </c>
      <c r="C22" s="6" t="n">
        <v>111</v>
      </c>
      <c r="D22" s="6" t="n">
        <v>129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5" t="str">
        <f aca="false">DEC2HEX(B22)</f>
        <v>6F81</v>
      </c>
    </row>
    <row r="23" customFormat="false" ht="16.5" hidden="false" customHeight="false" outlineLevel="0" collapsed="false">
      <c r="A23" s="2" t="s">
        <v>0</v>
      </c>
      <c r="B23" s="2" t="s">
        <v>1</v>
      </c>
      <c r="C23" s="2" t="s">
        <v>19</v>
      </c>
      <c r="D23" s="2" t="s">
        <v>20</v>
      </c>
      <c r="E23" s="2" t="s">
        <v>21</v>
      </c>
      <c r="F23" s="2" t="s">
        <v>22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2" t="s">
        <v>6</v>
      </c>
    </row>
    <row r="24" customFormat="false" ht="13.8" hidden="false" customHeight="false" outlineLevel="0" collapsed="false">
      <c r="A24" s="4" t="n">
        <v>34</v>
      </c>
      <c r="B24" s="5" t="n">
        <f aca="false">_xlfn.BITOR(_xlfn.BITOR(_xlfn.BITLSHIFT(C24,13),_xlfn.BITLSHIFT(D24,10)),_xlfn.BITOR(_xlfn.BITLSHIFT(E24,7),_xlfn.BITLSHIFT(F24,1)))</f>
        <v>29086</v>
      </c>
      <c r="C24" s="6" t="n">
        <v>3</v>
      </c>
      <c r="D24" s="6" t="n">
        <v>4</v>
      </c>
      <c r="E24" s="6" t="n">
        <v>3</v>
      </c>
      <c r="F24" s="6" t="n">
        <v>15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5" t="str">
        <f aca="false">DEC2HEX(B24)</f>
        <v>719E</v>
      </c>
    </row>
    <row r="25" customFormat="false" ht="16.5" hidden="false" customHeight="false" outlineLevel="0" collapsed="false">
      <c r="A25" s="2" t="s">
        <v>0</v>
      </c>
      <c r="B25" s="2" t="s">
        <v>1</v>
      </c>
      <c r="C25" s="2" t="s">
        <v>23</v>
      </c>
      <c r="D25" s="2" t="s">
        <v>24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31</v>
      </c>
      <c r="L25" s="2" t="s">
        <v>6</v>
      </c>
    </row>
    <row r="26" customFormat="false" ht="16.5" hidden="false" customHeight="false" outlineLevel="0" collapsed="false">
      <c r="A26" s="4" t="n">
        <v>35</v>
      </c>
      <c r="B26" s="5" t="n">
        <f aca="false">_xlfn.BITOR(_xlfn.BITOR(_xlfn.BITOR(_xlfn.BITOR(_xlfn.BITLSHIFT(C26,15),_xlfn.BITLSHIFT(D26,14)),_xlfn.BITOR(_xlfn.BITLSHIFT(E26,13),_xlfn.BITLSHIFT(F26,12))),_xlfn.BITOR(_xlfn.BITOR(_xlfn.BITLSHIFT(G26,11),_xlfn.BITLSHIFT(H26,10)),_xlfn.BITOR(_xlfn.BITLSHIFT(I26,9),_xlfn.BITLSHIFT(J26,8)))),K26)</f>
        <v>62463</v>
      </c>
      <c r="C26" s="6" t="n">
        <v>1</v>
      </c>
      <c r="D26" s="6" t="n">
        <v>1</v>
      </c>
      <c r="E26" s="6" t="n">
        <v>1</v>
      </c>
      <c r="F26" s="6" t="n">
        <v>1</v>
      </c>
      <c r="G26" s="6" t="n">
        <v>0</v>
      </c>
      <c r="H26" s="6" t="n">
        <v>0</v>
      </c>
      <c r="I26" s="6" t="n">
        <v>1</v>
      </c>
      <c r="J26" s="6" t="n">
        <v>1</v>
      </c>
      <c r="K26" s="6" t="n">
        <v>255</v>
      </c>
      <c r="L26" s="5" t="str">
        <f aca="false">DEC2HEX(B26)</f>
        <v>F3FF</v>
      </c>
    </row>
    <row r="27" customFormat="false" ht="16.5" hidden="false" customHeight="false" outlineLevel="0" collapsed="false">
      <c r="A27" s="2" t="s">
        <v>0</v>
      </c>
      <c r="B27" s="2" t="s">
        <v>1</v>
      </c>
      <c r="C27" s="2" t="s">
        <v>32</v>
      </c>
      <c r="D27" s="2" t="s">
        <v>33</v>
      </c>
      <c r="E27" s="2" t="s">
        <v>34</v>
      </c>
      <c r="F27" s="2" t="s">
        <v>35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2" t="s">
        <v>6</v>
      </c>
    </row>
    <row r="28" customFormat="false" ht="16.5" hidden="false" customHeight="false" outlineLevel="0" collapsed="false">
      <c r="A28" s="4" t="n">
        <v>36</v>
      </c>
      <c r="B28" s="5" t="n">
        <f aca="false">_xlfn.BITOR(_xlfn.BITOR(_xlfn.BITLSHIFT(C28,10),_xlfn.BITLSHIFT(D28,5)),_xlfn.BITOR(_xlfn.BITLSHIFT(E28,2),_xlfn.BITLSHIFT(F28,1)))</f>
        <v>39318</v>
      </c>
      <c r="C28" s="6" t="n">
        <v>38</v>
      </c>
      <c r="D28" s="6" t="n">
        <v>12</v>
      </c>
      <c r="E28" s="6" t="n">
        <v>5</v>
      </c>
      <c r="F28" s="6" t="n">
        <v>1</v>
      </c>
      <c r="G28" s="3" t="s">
        <v>5</v>
      </c>
      <c r="H28" s="3" t="s">
        <v>5</v>
      </c>
      <c r="I28" s="3" t="s">
        <v>5</v>
      </c>
      <c r="J28" s="3" t="s">
        <v>5</v>
      </c>
      <c r="K28" s="3" t="s">
        <v>5</v>
      </c>
      <c r="L28" s="5" t="str">
        <f aca="false">DEC2HEX(B28)</f>
        <v>9996</v>
      </c>
    </row>
    <row r="29" customFormat="false" ht="16.5" hidden="false" customHeight="false" outlineLevel="0" collapsed="false">
      <c r="A29" s="2" t="s">
        <v>0</v>
      </c>
      <c r="B29" s="2" t="s">
        <v>1</v>
      </c>
      <c r="C29" s="2" t="s">
        <v>36</v>
      </c>
      <c r="D29" s="2" t="s">
        <v>37</v>
      </c>
      <c r="E29" s="2" t="s">
        <v>38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2" t="s">
        <v>6</v>
      </c>
    </row>
    <row r="30" customFormat="false" ht="16.5" hidden="false" customHeight="false" outlineLevel="0" collapsed="false">
      <c r="A30" s="4" t="n">
        <v>37</v>
      </c>
      <c r="B30" s="5" t="n">
        <f aca="false">_xlfn.BITOR(_xlfn.BITOR(_xlfn.BITLSHIFT(C30,6),_xlfn.BITLSHIFT(D30,3)),E30)</f>
        <v>988</v>
      </c>
      <c r="C30" s="6" t="n">
        <v>15</v>
      </c>
      <c r="D30" s="6" t="n">
        <v>3</v>
      </c>
      <c r="E30" s="6" t="n">
        <v>4</v>
      </c>
      <c r="F30" s="3" t="s">
        <v>5</v>
      </c>
      <c r="G30" s="3" t="s">
        <v>5</v>
      </c>
      <c r="H30" s="3" t="s">
        <v>5</v>
      </c>
      <c r="I30" s="3" t="s">
        <v>5</v>
      </c>
      <c r="J30" s="3" t="s">
        <v>5</v>
      </c>
      <c r="K30" s="3" t="s">
        <v>5</v>
      </c>
      <c r="L30" s="5" t="str">
        <f aca="false">DEC2HEX(B30)</f>
        <v>3DC</v>
      </c>
    </row>
    <row r="31" customFormat="false" ht="16.5" hidden="false" customHeight="false" outlineLevel="0" collapsed="false">
      <c r="A31" s="2" t="s">
        <v>0</v>
      </c>
      <c r="B31" s="2" t="s">
        <v>1</v>
      </c>
      <c r="C31" s="2" t="s">
        <v>39</v>
      </c>
      <c r="D31" s="2" t="s">
        <v>40</v>
      </c>
      <c r="E31" s="2" t="s">
        <v>41</v>
      </c>
      <c r="F31" s="3" t="s">
        <v>5</v>
      </c>
      <c r="G31" s="3" t="s">
        <v>5</v>
      </c>
      <c r="H31" s="3" t="s">
        <v>5</v>
      </c>
      <c r="I31" s="3" t="s">
        <v>5</v>
      </c>
      <c r="J31" s="3" t="s">
        <v>5</v>
      </c>
      <c r="K31" s="3" t="s">
        <v>5</v>
      </c>
      <c r="L31" s="2" t="s">
        <v>6</v>
      </c>
    </row>
    <row r="32" customFormat="false" ht="15.75" hidden="false" customHeight="false" outlineLevel="0" collapsed="false">
      <c r="A32" s="4" t="n">
        <v>38</v>
      </c>
      <c r="B32" s="5" t="n">
        <f aca="false">_xlfn.BITOR(_xlfn.BITOR(_xlfn.BITLSHIFT(C32,9),_xlfn.BITLSHIFT(D32,3)),E32)</f>
        <v>2251</v>
      </c>
      <c r="C32" s="6" t="n">
        <v>4</v>
      </c>
      <c r="D32" s="6" t="n">
        <v>25</v>
      </c>
      <c r="E32" s="6" t="n">
        <v>3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5" t="str">
        <f aca="false">DEC2HEX(B32)</f>
        <v>8CB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391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2021-10-20T22:27:05Z</dcterms:created>
  <dc:creator>Mahdi Bagheri</dc:creator>
  <dc:description/>
  <dc:language>en-US</dc:language>
  <cp:lastModifiedBy/>
  <dcterms:modified xsi:type="dcterms:W3CDTF">2023-02-14T21:51:56Z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